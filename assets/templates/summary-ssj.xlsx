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instantwingamingltd-my.sharepoint.com/personal/chaoyu_chu_instantwingaming_com/Documents/Documents/PPS_Codex/"/>
    </mc:Choice>
  </mc:AlternateContent>
  <xr:revisionPtr revIDLastSave="95" documentId="11_AA709BEC1CCC9474D6FF5397B747C54E03F7BD87" xr6:coauthVersionLast="47" xr6:coauthVersionMax="47" xr10:uidLastSave="{12D2B4C2-A2D3-488B-BAE4-B8ED51AFA737}"/>
  <bookViews>
    <workbookView xWindow="-108" yWindow="-108" windowWidth="23256" windowHeight="12456" tabRatio="812" xr2:uid="{00000000-000D-0000-FFFF-FFFF00000000}"/>
  </bookViews>
  <sheets>
    <sheet name="Frequency" sheetId="1" r:id="rId1"/>
    <sheet name="Progressive Jackpots" sheetId="2" r:id="rId2"/>
    <sheet name="Delivery" sheetId="3" r:id="rId3"/>
    <sheet name="Odds Table" sheetId="4" r:id="rId4"/>
    <sheet name="Summary(Delivery)" sheetId="5" r:id="rId5"/>
    <sheet name="Prize Breakdown" sheetId="6" r:id="rId6"/>
    <sheet name="Summary" sheetId="7" r:id="rId7"/>
    <sheet name="Tiers" sheetId="8" r:id="rId8"/>
    <sheet name="Win Methods" sheetId="9" r:id="rId9"/>
    <sheet name="Free Plays" sheetId="10" r:id="rId10"/>
    <sheet name="Pay Table" sheetId="11" r:id="rId11"/>
    <sheet name="Data Analysis" sheetId="12" r:id="rId12"/>
    <sheet name="Unit Test" sheetId="13" r:id="rId1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3" l="1"/>
  <c r="E224" i="3" l="1"/>
  <c r="H224" i="3" s="1"/>
  <c r="BL357" i="12"/>
  <c r="BS356" i="12"/>
  <c r="G356" i="12"/>
  <c r="E356" i="12"/>
  <c r="B356" i="12"/>
  <c r="BS355" i="12"/>
  <c r="G355" i="12"/>
  <c r="E355" i="12"/>
  <c r="B355" i="12"/>
  <c r="BS354" i="12"/>
  <c r="G354" i="12"/>
  <c r="E354" i="12"/>
  <c r="B354" i="12"/>
  <c r="BS353" i="12"/>
  <c r="G353" i="12"/>
  <c r="E353" i="12"/>
  <c r="B353" i="12"/>
  <c r="BS352" i="12"/>
  <c r="G352" i="12"/>
  <c r="E352" i="12"/>
  <c r="B352" i="12"/>
  <c r="BS351" i="12"/>
  <c r="G351" i="12"/>
  <c r="E351" i="12"/>
  <c r="B351" i="12"/>
  <c r="BS350" i="12"/>
  <c r="G350" i="12"/>
  <c r="E350" i="12"/>
  <c r="B350" i="12"/>
  <c r="BS349" i="12"/>
  <c r="E349" i="12"/>
  <c r="G349" i="12" s="1"/>
  <c r="B349" i="12"/>
  <c r="BS348" i="12"/>
  <c r="E348" i="12"/>
  <c r="G348" i="12" s="1"/>
  <c r="B348" i="12"/>
  <c r="BS347" i="12"/>
  <c r="E347" i="12"/>
  <c r="G347" i="12" s="1"/>
  <c r="B347" i="12"/>
  <c r="BS346" i="12"/>
  <c r="E346" i="12"/>
  <c r="G346" i="12" s="1"/>
  <c r="B346" i="12"/>
  <c r="BS345" i="12"/>
  <c r="E345" i="12"/>
  <c r="G345" i="12" s="1"/>
  <c r="B345" i="12"/>
  <c r="BS344" i="12"/>
  <c r="E344" i="12"/>
  <c r="G344" i="12" s="1"/>
  <c r="B344" i="12"/>
  <c r="BS343" i="12"/>
  <c r="E343" i="12"/>
  <c r="G343" i="12" s="1"/>
  <c r="B343" i="12"/>
  <c r="BS342" i="12"/>
  <c r="E342" i="12"/>
  <c r="B342" i="12"/>
  <c r="BS341" i="12"/>
  <c r="E341" i="12"/>
  <c r="G341" i="12" s="1"/>
  <c r="B341" i="12"/>
  <c r="BS340" i="12"/>
  <c r="E340" i="12"/>
  <c r="G340" i="12" s="1"/>
  <c r="B340" i="12"/>
  <c r="BS339" i="12"/>
  <c r="E339" i="12"/>
  <c r="G339" i="12" s="1"/>
  <c r="B339" i="12"/>
  <c r="BS338" i="12"/>
  <c r="E338" i="12"/>
  <c r="G338" i="12" s="1"/>
  <c r="B338" i="12"/>
  <c r="BS337" i="12"/>
  <c r="E337" i="12"/>
  <c r="G337" i="12" s="1"/>
  <c r="B337" i="12"/>
  <c r="BS336" i="12"/>
  <c r="E336" i="12"/>
  <c r="G336" i="12" s="1"/>
  <c r="B336" i="12"/>
  <c r="BS335" i="12"/>
  <c r="E335" i="12"/>
  <c r="G335" i="12" s="1"/>
  <c r="B335" i="12"/>
  <c r="BS334" i="12"/>
  <c r="E334" i="12"/>
  <c r="G334" i="12" s="1"/>
  <c r="B334" i="12"/>
  <c r="BS333" i="12"/>
  <c r="E333" i="12"/>
  <c r="G333" i="12" s="1"/>
  <c r="B333" i="12"/>
  <c r="BS332" i="12"/>
  <c r="E332" i="12"/>
  <c r="G332" i="12" s="1"/>
  <c r="B332" i="12"/>
  <c r="BS331" i="12"/>
  <c r="E331" i="12"/>
  <c r="G331" i="12" s="1"/>
  <c r="B331" i="12"/>
  <c r="BS330" i="12"/>
  <c r="E330" i="12"/>
  <c r="G330" i="12" s="1"/>
  <c r="B330" i="12"/>
  <c r="BS329" i="12"/>
  <c r="E329" i="12"/>
  <c r="B329" i="12"/>
  <c r="BS328" i="12"/>
  <c r="E328" i="12"/>
  <c r="G328" i="12" s="1"/>
  <c r="B328" i="12"/>
  <c r="BS327" i="12"/>
  <c r="E327" i="12"/>
  <c r="G327" i="12" s="1"/>
  <c r="B327" i="12"/>
  <c r="BS326" i="12"/>
  <c r="E326" i="12"/>
  <c r="G326" i="12" s="1"/>
  <c r="B326" i="12"/>
  <c r="BS325" i="12"/>
  <c r="E325" i="12"/>
  <c r="G325" i="12" s="1"/>
  <c r="B325" i="12"/>
  <c r="BS324" i="12"/>
  <c r="E324" i="12"/>
  <c r="G324" i="12" s="1"/>
  <c r="B324" i="12"/>
  <c r="BS323" i="12"/>
  <c r="E323" i="12"/>
  <c r="G323" i="12" s="1"/>
  <c r="B323" i="12"/>
  <c r="BS322" i="12"/>
  <c r="E322" i="12"/>
  <c r="G322" i="12" s="1"/>
  <c r="B322" i="12"/>
  <c r="BS321" i="12"/>
  <c r="E321" i="12"/>
  <c r="G321" i="12" s="1"/>
  <c r="B321" i="12"/>
  <c r="BS320" i="12"/>
  <c r="E320" i="12"/>
  <c r="G320" i="12" s="1"/>
  <c r="B320" i="12"/>
  <c r="BS319" i="12"/>
  <c r="E319" i="12"/>
  <c r="G319" i="12" s="1"/>
  <c r="B319" i="12"/>
  <c r="BS318" i="12"/>
  <c r="E318" i="12"/>
  <c r="G318" i="12" s="1"/>
  <c r="B318" i="12"/>
  <c r="BS317" i="12"/>
  <c r="E317" i="12"/>
  <c r="G317" i="12" s="1"/>
  <c r="B317" i="12"/>
  <c r="BS316" i="12"/>
  <c r="E316" i="12"/>
  <c r="G316" i="12" s="1"/>
  <c r="B316" i="12"/>
  <c r="BS315" i="12"/>
  <c r="E315" i="12"/>
  <c r="G315" i="12" s="1"/>
  <c r="B315" i="12"/>
  <c r="BS314" i="12"/>
  <c r="E314" i="12"/>
  <c r="B314" i="12"/>
  <c r="BS313" i="12"/>
  <c r="G313" i="12"/>
  <c r="E313" i="12"/>
  <c r="B313" i="12"/>
  <c r="BS312" i="12"/>
  <c r="G312" i="12"/>
  <c r="E312" i="12"/>
  <c r="B312" i="12"/>
  <c r="BS311" i="12"/>
  <c r="G311" i="12"/>
  <c r="E311" i="12"/>
  <c r="B311" i="12"/>
  <c r="BS310" i="12"/>
  <c r="G310" i="12"/>
  <c r="E310" i="12"/>
  <c r="B310" i="12"/>
  <c r="BS309" i="12"/>
  <c r="G309" i="12"/>
  <c r="E309" i="12"/>
  <c r="B309" i="12"/>
  <c r="BS308" i="12"/>
  <c r="G308" i="12"/>
  <c r="E308" i="12"/>
  <c r="B308" i="12"/>
  <c r="BS307" i="12"/>
  <c r="G307" i="12"/>
  <c r="E307" i="12"/>
  <c r="B307" i="12"/>
  <c r="BS306" i="12"/>
  <c r="G306" i="12"/>
  <c r="E306" i="12"/>
  <c r="B306" i="12"/>
  <c r="BS305" i="12"/>
  <c r="G305" i="12"/>
  <c r="E305" i="12"/>
  <c r="B305" i="12"/>
  <c r="BS304" i="12"/>
  <c r="G304" i="12"/>
  <c r="E304" i="12"/>
  <c r="B304" i="12"/>
  <c r="BS303" i="12"/>
  <c r="G303" i="12"/>
  <c r="E303" i="12"/>
  <c r="B303" i="12"/>
  <c r="BS302" i="12"/>
  <c r="G302" i="12"/>
  <c r="E302" i="12"/>
  <c r="B302" i="12"/>
  <c r="BS301" i="12"/>
  <c r="G301" i="12"/>
  <c r="E301" i="12"/>
  <c r="B301" i="12"/>
  <c r="BS300" i="12"/>
  <c r="G300" i="12"/>
  <c r="E300" i="12"/>
  <c r="B300" i="12"/>
  <c r="BS299" i="12"/>
  <c r="G299" i="12"/>
  <c r="E299" i="12"/>
  <c r="B299" i="12"/>
  <c r="BS298" i="12"/>
  <c r="G298" i="12"/>
  <c r="E298" i="12"/>
  <c r="B298" i="12"/>
  <c r="BS297" i="12"/>
  <c r="G297" i="12"/>
  <c r="E297" i="12"/>
  <c r="B297" i="12"/>
  <c r="BS296" i="12"/>
  <c r="G296" i="12"/>
  <c r="E296" i="12"/>
  <c r="B296" i="12"/>
  <c r="BS295" i="12"/>
  <c r="G295" i="12"/>
  <c r="E295" i="12"/>
  <c r="B295" i="12"/>
  <c r="BS294" i="12"/>
  <c r="G294" i="12"/>
  <c r="E294" i="12"/>
  <c r="B294" i="12"/>
  <c r="BS293" i="12"/>
  <c r="G293" i="12"/>
  <c r="E293" i="12"/>
  <c r="B293" i="12"/>
  <c r="BS292" i="12"/>
  <c r="G292" i="12"/>
  <c r="E292" i="12"/>
  <c r="B292" i="12"/>
  <c r="BS291" i="12"/>
  <c r="G291" i="12"/>
  <c r="E291" i="12"/>
  <c r="B291" i="12"/>
  <c r="BS290" i="12"/>
  <c r="G290" i="12"/>
  <c r="E290" i="12"/>
  <c r="B290" i="12"/>
  <c r="BS289" i="12"/>
  <c r="G289" i="12"/>
  <c r="E289" i="12"/>
  <c r="B289" i="12"/>
  <c r="BS288" i="12"/>
  <c r="G288" i="12"/>
  <c r="E288" i="12"/>
  <c r="B288" i="12"/>
  <c r="BS287" i="12"/>
  <c r="G287" i="12"/>
  <c r="E287" i="12"/>
  <c r="B287" i="12"/>
  <c r="BS286" i="12"/>
  <c r="G286" i="12"/>
  <c r="E286" i="12"/>
  <c r="B286" i="12"/>
  <c r="BS285" i="12"/>
  <c r="G285" i="12"/>
  <c r="E285" i="12"/>
  <c r="B285" i="12"/>
  <c r="BS284" i="12"/>
  <c r="G284" i="12"/>
  <c r="E284" i="12"/>
  <c r="B284" i="12"/>
  <c r="BS283" i="12"/>
  <c r="G283" i="12"/>
  <c r="E283" i="12"/>
  <c r="B283" i="12"/>
  <c r="BS282" i="12"/>
  <c r="G282" i="12"/>
  <c r="E282" i="12"/>
  <c r="B282" i="12"/>
  <c r="BS281" i="12"/>
  <c r="G281" i="12"/>
  <c r="E281" i="12"/>
  <c r="B281" i="12"/>
  <c r="BS280" i="12"/>
  <c r="G280" i="12"/>
  <c r="E280" i="12"/>
  <c r="B280" i="12"/>
  <c r="BS279" i="12"/>
  <c r="G279" i="12"/>
  <c r="E279" i="12"/>
  <c r="B279" i="12"/>
  <c r="BS278" i="12"/>
  <c r="G278" i="12"/>
  <c r="E278" i="12"/>
  <c r="B278" i="12"/>
  <c r="BS277" i="12"/>
  <c r="G277" i="12"/>
  <c r="E277" i="12"/>
  <c r="B277" i="12"/>
  <c r="BS276" i="12"/>
  <c r="G276" i="12"/>
  <c r="E276" i="12"/>
  <c r="B276" i="12"/>
  <c r="BS275" i="12"/>
  <c r="G275" i="12"/>
  <c r="E275" i="12"/>
  <c r="B275" i="12"/>
  <c r="BS274" i="12"/>
  <c r="G274" i="12"/>
  <c r="E274" i="12"/>
  <c r="B274" i="12"/>
  <c r="BS273" i="12"/>
  <c r="G273" i="12"/>
  <c r="E273" i="12"/>
  <c r="B273" i="12"/>
  <c r="BS272" i="12"/>
  <c r="G272" i="12"/>
  <c r="E272" i="12"/>
  <c r="B272" i="12"/>
  <c r="BS271" i="12"/>
  <c r="G271" i="12"/>
  <c r="E271" i="12"/>
  <c r="B271" i="12"/>
  <c r="BS270" i="12"/>
  <c r="G270" i="12"/>
  <c r="E270" i="12"/>
  <c r="B270" i="12"/>
  <c r="BS269" i="12"/>
  <c r="G269" i="12"/>
  <c r="E269" i="12"/>
  <c r="B269" i="12"/>
  <c r="BS268" i="12"/>
  <c r="G268" i="12"/>
  <c r="E268" i="12"/>
  <c r="B268" i="12"/>
  <c r="BS267" i="12"/>
  <c r="G267" i="12"/>
  <c r="E267" i="12"/>
  <c r="B267" i="12"/>
  <c r="BS266" i="12"/>
  <c r="G266" i="12"/>
  <c r="E266" i="12"/>
  <c r="B266" i="12"/>
  <c r="BS265" i="12"/>
  <c r="G265" i="12"/>
  <c r="E265" i="12"/>
  <c r="B265" i="12"/>
  <c r="BS264" i="12"/>
  <c r="G264" i="12"/>
  <c r="E264" i="12"/>
  <c r="B264" i="12"/>
  <c r="BS263" i="12"/>
  <c r="G263" i="12"/>
  <c r="E263" i="12"/>
  <c r="B263" i="12"/>
  <c r="BS262" i="12"/>
  <c r="G262" i="12"/>
  <c r="E262" i="12"/>
  <c r="B262" i="12"/>
  <c r="BS261" i="12"/>
  <c r="G261" i="12"/>
  <c r="E261" i="12"/>
  <c r="B261" i="12"/>
  <c r="BS260" i="12"/>
  <c r="G260" i="12"/>
  <c r="E260" i="12"/>
  <c r="B260" i="12"/>
  <c r="BS259" i="12"/>
  <c r="G259" i="12"/>
  <c r="E259" i="12"/>
  <c r="B259" i="12"/>
  <c r="BS258" i="12"/>
  <c r="G258" i="12"/>
  <c r="E258" i="12"/>
  <c r="B258" i="12"/>
  <c r="BS257" i="12"/>
  <c r="G257" i="12"/>
  <c r="E257" i="12"/>
  <c r="B257" i="12"/>
  <c r="BS256" i="12"/>
  <c r="G256" i="12"/>
  <c r="E256" i="12"/>
  <c r="B256" i="12"/>
  <c r="BS255" i="12"/>
  <c r="G255" i="12"/>
  <c r="E255" i="12"/>
  <c r="B255" i="12"/>
  <c r="BS254" i="12"/>
  <c r="G254" i="12"/>
  <c r="E254" i="12"/>
  <c r="B254" i="12"/>
  <c r="BS253" i="12"/>
  <c r="G253" i="12"/>
  <c r="E253" i="12"/>
  <c r="B253" i="12"/>
  <c r="BS252" i="12"/>
  <c r="G252" i="12"/>
  <c r="E252" i="12"/>
  <c r="B252" i="12"/>
  <c r="BS251" i="12"/>
  <c r="G251" i="12"/>
  <c r="E251" i="12"/>
  <c r="B251" i="12"/>
  <c r="BS250" i="12"/>
  <c r="G250" i="12"/>
  <c r="E250" i="12"/>
  <c r="B250" i="12"/>
  <c r="BS249" i="12"/>
  <c r="G249" i="12"/>
  <c r="E249" i="12"/>
  <c r="B249" i="12"/>
  <c r="BS248" i="12"/>
  <c r="G248" i="12"/>
  <c r="E248" i="12"/>
  <c r="B248" i="12"/>
  <c r="BS247" i="12"/>
  <c r="G247" i="12"/>
  <c r="E247" i="12"/>
  <c r="B247" i="12"/>
  <c r="BS246" i="12"/>
  <c r="G246" i="12"/>
  <c r="E246" i="12"/>
  <c r="B246" i="12"/>
  <c r="BS245" i="12"/>
  <c r="G245" i="12"/>
  <c r="E245" i="12"/>
  <c r="B245" i="12"/>
  <c r="BS244" i="12"/>
  <c r="G244" i="12"/>
  <c r="E244" i="12"/>
  <c r="B244" i="12"/>
  <c r="BS243" i="12"/>
  <c r="G243" i="12"/>
  <c r="E243" i="12"/>
  <c r="B243" i="12"/>
  <c r="BS242" i="12"/>
  <c r="G242" i="12"/>
  <c r="E242" i="12"/>
  <c r="B242" i="12"/>
  <c r="BS241" i="12"/>
  <c r="G241" i="12"/>
  <c r="E241" i="12"/>
  <c r="B241" i="12"/>
  <c r="BS240" i="12"/>
  <c r="G240" i="12"/>
  <c r="E240" i="12"/>
  <c r="B240" i="12"/>
  <c r="BS239" i="12"/>
  <c r="G239" i="12"/>
  <c r="E239" i="12"/>
  <c r="B239" i="12"/>
  <c r="BS238" i="12"/>
  <c r="G238" i="12"/>
  <c r="E238" i="12"/>
  <c r="B238" i="12"/>
  <c r="BS237" i="12"/>
  <c r="G237" i="12"/>
  <c r="E237" i="12"/>
  <c r="B237" i="12"/>
  <c r="BS236" i="12"/>
  <c r="G236" i="12"/>
  <c r="E236" i="12"/>
  <c r="B236" i="12"/>
  <c r="BS235" i="12"/>
  <c r="G235" i="12"/>
  <c r="E235" i="12"/>
  <c r="B235" i="12"/>
  <c r="BS234" i="12"/>
  <c r="G234" i="12"/>
  <c r="E234" i="12"/>
  <c r="B234" i="12"/>
  <c r="BS233" i="12"/>
  <c r="G233" i="12"/>
  <c r="E233" i="12"/>
  <c r="B233" i="12"/>
  <c r="BS232" i="12"/>
  <c r="G232" i="12"/>
  <c r="E232" i="12"/>
  <c r="B232" i="12"/>
  <c r="BS231" i="12"/>
  <c r="G231" i="12"/>
  <c r="E231" i="12"/>
  <c r="B231" i="12"/>
  <c r="BS230" i="12"/>
  <c r="G230" i="12"/>
  <c r="E230" i="12"/>
  <c r="B230" i="12"/>
  <c r="BS229" i="12"/>
  <c r="G229" i="12"/>
  <c r="E229" i="12"/>
  <c r="B229" i="12"/>
  <c r="BS228" i="12"/>
  <c r="G228" i="12"/>
  <c r="E228" i="12"/>
  <c r="B228" i="12"/>
  <c r="BS227" i="12"/>
  <c r="G227" i="12"/>
  <c r="E227" i="12"/>
  <c r="B227" i="12"/>
  <c r="BS226" i="12"/>
  <c r="G226" i="12"/>
  <c r="E226" i="12"/>
  <c r="B226" i="12"/>
  <c r="BS225" i="12"/>
  <c r="E225" i="12"/>
  <c r="G225" i="12" s="1"/>
  <c r="B225" i="12"/>
  <c r="BS224" i="12"/>
  <c r="E224" i="12"/>
  <c r="G224" i="12" s="1"/>
  <c r="B224" i="12"/>
  <c r="BS223" i="12"/>
  <c r="E223" i="12"/>
  <c r="G223" i="12" s="1"/>
  <c r="B223" i="12"/>
  <c r="BS222" i="12"/>
  <c r="E222" i="12"/>
  <c r="G222" i="12" s="1"/>
  <c r="B222" i="12"/>
  <c r="BS221" i="12"/>
  <c r="E221" i="12"/>
  <c r="B221" i="12"/>
  <c r="BS220" i="12"/>
  <c r="E220" i="12"/>
  <c r="G220" i="12" s="1"/>
  <c r="B220" i="12"/>
  <c r="BS219" i="12"/>
  <c r="E219" i="12"/>
  <c r="G219" i="12" s="1"/>
  <c r="B219" i="12"/>
  <c r="BS218" i="12"/>
  <c r="E218" i="12"/>
  <c r="G218" i="12" s="1"/>
  <c r="B218" i="12"/>
  <c r="BS217" i="12"/>
  <c r="E217" i="12"/>
  <c r="G217" i="12" s="1"/>
  <c r="B217" i="12"/>
  <c r="BS216" i="12"/>
  <c r="E216" i="12"/>
  <c r="G216" i="12" s="1"/>
  <c r="B216" i="12"/>
  <c r="BS215" i="12"/>
  <c r="E215" i="12"/>
  <c r="B215" i="12"/>
  <c r="BS214" i="12"/>
  <c r="E214" i="12"/>
  <c r="G214" i="12" s="1"/>
  <c r="B214" i="12"/>
  <c r="BS213" i="12"/>
  <c r="E213" i="12"/>
  <c r="G213" i="12" s="1"/>
  <c r="B213" i="12"/>
  <c r="BS212" i="12"/>
  <c r="E212" i="12"/>
  <c r="G212" i="12" s="1"/>
  <c r="B212" i="12"/>
  <c r="BS211" i="12"/>
  <c r="E211" i="12"/>
  <c r="G211" i="12" s="1"/>
  <c r="B211" i="12"/>
  <c r="BS210" i="12"/>
  <c r="E210" i="12"/>
  <c r="G210" i="12" s="1"/>
  <c r="B210" i="12"/>
  <c r="BS209" i="12"/>
  <c r="E209" i="12"/>
  <c r="B209" i="12"/>
  <c r="BS208" i="12"/>
  <c r="E208" i="12"/>
  <c r="B208" i="12"/>
  <c r="BS207" i="12"/>
  <c r="E207" i="12"/>
  <c r="G207" i="12" s="1"/>
  <c r="B207" i="12"/>
  <c r="BS206" i="12"/>
  <c r="E206" i="12"/>
  <c r="G206" i="12" s="1"/>
  <c r="B206" i="12"/>
  <c r="BS205" i="12"/>
  <c r="E205" i="12"/>
  <c r="G205" i="12" s="1"/>
  <c r="B205" i="12"/>
  <c r="BS204" i="12"/>
  <c r="E204" i="12"/>
  <c r="G204" i="12" s="1"/>
  <c r="B204" i="12"/>
  <c r="BS203" i="12"/>
  <c r="E203" i="12"/>
  <c r="G203" i="12" s="1"/>
  <c r="B203" i="12"/>
  <c r="BS202" i="12"/>
  <c r="E202" i="12"/>
  <c r="G202" i="12" s="1"/>
  <c r="B202" i="12"/>
  <c r="BS201" i="12"/>
  <c r="E201" i="12"/>
  <c r="G201" i="12" s="1"/>
  <c r="B201" i="12"/>
  <c r="BS200" i="12"/>
  <c r="E200" i="12"/>
  <c r="G200" i="12" s="1"/>
  <c r="B200" i="12"/>
  <c r="BS199" i="12"/>
  <c r="E199" i="12"/>
  <c r="G199" i="12" s="1"/>
  <c r="B199" i="12"/>
  <c r="BS198" i="12"/>
  <c r="E198" i="12"/>
  <c r="G198" i="12" s="1"/>
  <c r="B198" i="12"/>
  <c r="BS197" i="12"/>
  <c r="E197" i="12"/>
  <c r="G197" i="12" s="1"/>
  <c r="B197" i="12"/>
  <c r="BS196" i="12"/>
  <c r="E196" i="12"/>
  <c r="B196" i="12"/>
  <c r="BS195" i="12"/>
  <c r="E195" i="12"/>
  <c r="G195" i="12" s="1"/>
  <c r="B195" i="12"/>
  <c r="BS194" i="12"/>
  <c r="E194" i="12"/>
  <c r="G194" i="12" s="1"/>
  <c r="B194" i="12"/>
  <c r="BS193" i="12"/>
  <c r="E193" i="12"/>
  <c r="G193" i="12" s="1"/>
  <c r="B193" i="12"/>
  <c r="BS192" i="12"/>
  <c r="E192" i="12"/>
  <c r="G192" i="12" s="1"/>
  <c r="B192" i="12"/>
  <c r="BS191" i="12"/>
  <c r="E191" i="12"/>
  <c r="G191" i="12" s="1"/>
  <c r="B191" i="12"/>
  <c r="BS190" i="12"/>
  <c r="E190" i="12"/>
  <c r="G190" i="12" s="1"/>
  <c r="B190" i="12"/>
  <c r="BS189" i="12"/>
  <c r="G189" i="12"/>
  <c r="E189" i="12"/>
  <c r="B189" i="12"/>
  <c r="BS188" i="12"/>
  <c r="G188" i="12"/>
  <c r="E188" i="12"/>
  <c r="B188" i="12"/>
  <c r="BS187" i="12"/>
  <c r="G187" i="12"/>
  <c r="E187" i="12"/>
  <c r="B187" i="12"/>
  <c r="BS186" i="12"/>
  <c r="G186" i="12"/>
  <c r="E186" i="12"/>
  <c r="B186" i="12"/>
  <c r="BS185" i="12"/>
  <c r="G185" i="12"/>
  <c r="E185" i="12"/>
  <c r="B185" i="12"/>
  <c r="BS184" i="12"/>
  <c r="G184" i="12"/>
  <c r="E184" i="12"/>
  <c r="B184" i="12"/>
  <c r="BS183" i="12"/>
  <c r="G183" i="12"/>
  <c r="E183" i="12"/>
  <c r="B183" i="12"/>
  <c r="BS182" i="12"/>
  <c r="G182" i="12"/>
  <c r="E182" i="12"/>
  <c r="B182" i="12"/>
  <c r="BS181" i="12"/>
  <c r="G181" i="12"/>
  <c r="E181" i="12"/>
  <c r="B181" i="12"/>
  <c r="BS180" i="12"/>
  <c r="G180" i="12"/>
  <c r="E180" i="12"/>
  <c r="B180" i="12"/>
  <c r="BS179" i="12"/>
  <c r="G179" i="12"/>
  <c r="E179" i="12"/>
  <c r="B179" i="12"/>
  <c r="BS178" i="12"/>
  <c r="G178" i="12"/>
  <c r="E178" i="12"/>
  <c r="B178" i="12"/>
  <c r="BS177" i="12"/>
  <c r="G177" i="12"/>
  <c r="E177" i="12"/>
  <c r="B177" i="12"/>
  <c r="BS176" i="12"/>
  <c r="G176" i="12"/>
  <c r="E176" i="12"/>
  <c r="B176" i="12"/>
  <c r="BS175" i="12"/>
  <c r="G175" i="12"/>
  <c r="E175" i="12"/>
  <c r="B175" i="12"/>
  <c r="BS174" i="12"/>
  <c r="G174" i="12"/>
  <c r="E174" i="12"/>
  <c r="B174" i="12"/>
  <c r="BS173" i="12"/>
  <c r="G173" i="12"/>
  <c r="E173" i="12"/>
  <c r="B173" i="12"/>
  <c r="BS172" i="12"/>
  <c r="G172" i="12"/>
  <c r="E172" i="12"/>
  <c r="B172" i="12"/>
  <c r="BS171" i="12"/>
  <c r="G171" i="12"/>
  <c r="E171" i="12"/>
  <c r="B171" i="12"/>
  <c r="BS170" i="12"/>
  <c r="G170" i="12"/>
  <c r="E170" i="12"/>
  <c r="B170" i="12"/>
  <c r="BS169" i="12"/>
  <c r="G169" i="12"/>
  <c r="E169" i="12"/>
  <c r="B169" i="12"/>
  <c r="BS168" i="12"/>
  <c r="G168" i="12"/>
  <c r="E168" i="12"/>
  <c r="B168" i="12"/>
  <c r="BS167" i="12"/>
  <c r="G167" i="12"/>
  <c r="E167" i="12"/>
  <c r="B167" i="12"/>
  <c r="BS166" i="12"/>
  <c r="G166" i="12"/>
  <c r="E166" i="12"/>
  <c r="B166" i="12"/>
  <c r="BS165" i="12"/>
  <c r="G165" i="12"/>
  <c r="E165" i="12"/>
  <c r="B165" i="12"/>
  <c r="BS164" i="12"/>
  <c r="G164" i="12"/>
  <c r="E164" i="12"/>
  <c r="B164" i="12"/>
  <c r="BS163" i="12"/>
  <c r="G163" i="12"/>
  <c r="E163" i="12"/>
  <c r="B163" i="12"/>
  <c r="BS162" i="12"/>
  <c r="G162" i="12"/>
  <c r="E162" i="12"/>
  <c r="B162" i="12"/>
  <c r="BS161" i="12"/>
  <c r="G161" i="12"/>
  <c r="E161" i="12"/>
  <c r="B161" i="12"/>
  <c r="BS160" i="12"/>
  <c r="G160" i="12"/>
  <c r="E160" i="12"/>
  <c r="B160" i="12"/>
  <c r="BS159" i="12"/>
  <c r="G159" i="12"/>
  <c r="E159" i="12"/>
  <c r="B159" i="12"/>
  <c r="BS158" i="12"/>
  <c r="G158" i="12"/>
  <c r="E158" i="12"/>
  <c r="B158" i="12"/>
  <c r="BS157" i="12"/>
  <c r="G157" i="12"/>
  <c r="E157" i="12"/>
  <c r="B157" i="12"/>
  <c r="BS156" i="12"/>
  <c r="G156" i="12"/>
  <c r="E156" i="12"/>
  <c r="B156" i="12"/>
  <c r="BS155" i="12"/>
  <c r="G155" i="12"/>
  <c r="E155" i="12"/>
  <c r="B155" i="12"/>
  <c r="BS154" i="12"/>
  <c r="G154" i="12"/>
  <c r="E154" i="12"/>
  <c r="B154" i="12"/>
  <c r="BS153" i="12"/>
  <c r="G153" i="12"/>
  <c r="E153" i="12"/>
  <c r="B153" i="12"/>
  <c r="BS152" i="12"/>
  <c r="G152" i="12"/>
  <c r="E152" i="12"/>
  <c r="B152" i="12"/>
  <c r="BS151" i="12"/>
  <c r="G151" i="12"/>
  <c r="E151" i="12"/>
  <c r="B151" i="12"/>
  <c r="BS150" i="12"/>
  <c r="G150" i="12"/>
  <c r="E150" i="12"/>
  <c r="B150" i="12"/>
  <c r="BS149" i="12"/>
  <c r="G149" i="12"/>
  <c r="E149" i="12"/>
  <c r="B149" i="12"/>
  <c r="BS148" i="12"/>
  <c r="G148" i="12"/>
  <c r="E148" i="12"/>
  <c r="B148" i="12"/>
  <c r="BS147" i="12"/>
  <c r="G147" i="12"/>
  <c r="E147" i="12"/>
  <c r="B147" i="12"/>
  <c r="BS146" i="12"/>
  <c r="G146" i="12"/>
  <c r="E146" i="12"/>
  <c r="B146" i="12"/>
  <c r="BS145" i="12"/>
  <c r="G145" i="12"/>
  <c r="E145" i="12"/>
  <c r="B145" i="12"/>
  <c r="BS144" i="12"/>
  <c r="G144" i="12"/>
  <c r="E144" i="12"/>
  <c r="B144" i="12"/>
  <c r="BS143" i="12"/>
  <c r="G143" i="12"/>
  <c r="E143" i="12"/>
  <c r="B143" i="12"/>
  <c r="BS142" i="12"/>
  <c r="G142" i="12"/>
  <c r="E142" i="12"/>
  <c r="B142" i="12"/>
  <c r="BS141" i="12"/>
  <c r="G141" i="12"/>
  <c r="E141" i="12"/>
  <c r="B141" i="12"/>
  <c r="BS140" i="12"/>
  <c r="G140" i="12"/>
  <c r="E140" i="12"/>
  <c r="B140" i="12"/>
  <c r="BS139" i="12"/>
  <c r="G139" i="12"/>
  <c r="E139" i="12"/>
  <c r="B139" i="12"/>
  <c r="BS138" i="12"/>
  <c r="G138" i="12"/>
  <c r="E138" i="12"/>
  <c r="B138" i="12"/>
  <c r="BS137" i="12"/>
  <c r="G137" i="12"/>
  <c r="E137" i="12"/>
  <c r="B137" i="12"/>
  <c r="BS136" i="12"/>
  <c r="G136" i="12"/>
  <c r="E136" i="12"/>
  <c r="B136" i="12"/>
  <c r="BS135" i="12"/>
  <c r="G135" i="12"/>
  <c r="E135" i="12"/>
  <c r="B135" i="12"/>
  <c r="BS134" i="12"/>
  <c r="G134" i="12"/>
  <c r="E134" i="12"/>
  <c r="B134" i="12"/>
  <c r="BS133" i="12"/>
  <c r="G133" i="12"/>
  <c r="E133" i="12"/>
  <c r="B133" i="12"/>
  <c r="BS132" i="12"/>
  <c r="E132" i="12"/>
  <c r="B132" i="12"/>
  <c r="BS131" i="12"/>
  <c r="E131" i="12"/>
  <c r="B131" i="12"/>
  <c r="BS130" i="12"/>
  <c r="E130" i="12"/>
  <c r="B130" i="12"/>
  <c r="BS129" i="12"/>
  <c r="E129" i="12"/>
  <c r="B129" i="12"/>
  <c r="BS128" i="12"/>
  <c r="E128" i="12"/>
  <c r="G128" i="12" s="1"/>
  <c r="B128" i="12"/>
  <c r="BS127" i="12"/>
  <c r="E127" i="12"/>
  <c r="G127" i="12" s="1"/>
  <c r="B127" i="12"/>
  <c r="BS126" i="12"/>
  <c r="E126" i="12"/>
  <c r="G126" i="12" s="1"/>
  <c r="B126" i="12"/>
  <c r="BS125" i="12"/>
  <c r="E125" i="12"/>
  <c r="B125" i="12"/>
  <c r="BS124" i="12"/>
  <c r="E124" i="12"/>
  <c r="G124" i="12" s="1"/>
  <c r="B124" i="12"/>
  <c r="BS123" i="12"/>
  <c r="E123" i="12"/>
  <c r="G123" i="12" s="1"/>
  <c r="B123" i="12"/>
  <c r="BS122" i="12"/>
  <c r="E122" i="12"/>
  <c r="B122" i="12"/>
  <c r="BS121" i="12"/>
  <c r="E121" i="12"/>
  <c r="G121" i="12" s="1"/>
  <c r="B121" i="12"/>
  <c r="BS120" i="12"/>
  <c r="E120" i="12"/>
  <c r="G120" i="12" s="1"/>
  <c r="B120" i="12"/>
  <c r="BS119" i="12"/>
  <c r="E119" i="12"/>
  <c r="G119" i="12" s="1"/>
  <c r="B119" i="12"/>
  <c r="BS118" i="12"/>
  <c r="E118" i="12"/>
  <c r="G118" i="12" s="1"/>
  <c r="B118" i="12"/>
  <c r="BS117" i="12"/>
  <c r="E117" i="12"/>
  <c r="G117" i="12" s="1"/>
  <c r="B117" i="12"/>
  <c r="BS116" i="12"/>
  <c r="E116" i="12"/>
  <c r="G116" i="12" s="1"/>
  <c r="B116" i="12"/>
  <c r="BS115" i="12"/>
  <c r="E115" i="12"/>
  <c r="G115" i="12" s="1"/>
  <c r="B115" i="12"/>
  <c r="BS114" i="12"/>
  <c r="E114" i="12"/>
  <c r="B114" i="12"/>
  <c r="BS113" i="12"/>
  <c r="E113" i="12"/>
  <c r="B113" i="12"/>
  <c r="BS112" i="12"/>
  <c r="E112" i="12"/>
  <c r="G112" i="12" s="1"/>
  <c r="B112" i="12"/>
  <c r="BS111" i="12"/>
  <c r="E111" i="12"/>
  <c r="G111" i="12" s="1"/>
  <c r="B111" i="12"/>
  <c r="BS110" i="12"/>
  <c r="E110" i="12"/>
  <c r="B110" i="12"/>
  <c r="BS109" i="12"/>
  <c r="E109" i="12"/>
  <c r="G109" i="12" s="1"/>
  <c r="B109" i="12"/>
  <c r="BS108" i="12"/>
  <c r="E108" i="12"/>
  <c r="G108" i="12" s="1"/>
  <c r="B108" i="12"/>
  <c r="BS107" i="12"/>
  <c r="E107" i="12"/>
  <c r="B107" i="12"/>
  <c r="BS106" i="12"/>
  <c r="E106" i="12"/>
  <c r="B106" i="12"/>
  <c r="BS105" i="12"/>
  <c r="E105" i="12"/>
  <c r="G105" i="12" s="1"/>
  <c r="B105" i="12"/>
  <c r="BS104" i="12"/>
  <c r="E104" i="12"/>
  <c r="G104" i="12" s="1"/>
  <c r="B104" i="12"/>
  <c r="BS103" i="12"/>
  <c r="E103" i="12"/>
  <c r="G103" i="12" s="1"/>
  <c r="B103" i="12"/>
  <c r="BS102" i="12"/>
  <c r="E102" i="12"/>
  <c r="G102" i="12" s="1"/>
  <c r="B102" i="12"/>
  <c r="BS101" i="12"/>
  <c r="E101" i="12"/>
  <c r="G101" i="12" s="1"/>
  <c r="B101" i="12"/>
  <c r="BS100" i="12"/>
  <c r="E100" i="12"/>
  <c r="G100" i="12" s="1"/>
  <c r="B100" i="12"/>
  <c r="BS99" i="12"/>
  <c r="E99" i="12"/>
  <c r="G99" i="12" s="1"/>
  <c r="B99" i="12"/>
  <c r="BS98" i="12"/>
  <c r="E98" i="12"/>
  <c r="G98" i="12" s="1"/>
  <c r="B98" i="12"/>
  <c r="BS97" i="12"/>
  <c r="E97" i="12"/>
  <c r="G97" i="12" s="1"/>
  <c r="B97" i="12"/>
  <c r="BS96" i="12"/>
  <c r="G96" i="12"/>
  <c r="E96" i="12"/>
  <c r="B96" i="12"/>
  <c r="BS95" i="12"/>
  <c r="G95" i="12"/>
  <c r="E95" i="12"/>
  <c r="B95" i="12"/>
  <c r="BS94" i="12"/>
  <c r="G94" i="12"/>
  <c r="E94" i="12"/>
  <c r="B94" i="12"/>
  <c r="BS93" i="12"/>
  <c r="G93" i="12"/>
  <c r="E93" i="12"/>
  <c r="B93" i="12"/>
  <c r="BS92" i="12"/>
  <c r="G92" i="12"/>
  <c r="E92" i="12"/>
  <c r="B92" i="12"/>
  <c r="BS91" i="12"/>
  <c r="G91" i="12"/>
  <c r="E91" i="12"/>
  <c r="B91" i="12"/>
  <c r="BS90" i="12"/>
  <c r="G90" i="12"/>
  <c r="E90" i="12"/>
  <c r="B90" i="12"/>
  <c r="BS89" i="12"/>
  <c r="G89" i="12"/>
  <c r="E89" i="12"/>
  <c r="B89" i="12"/>
  <c r="BS88" i="12"/>
  <c r="G88" i="12"/>
  <c r="E88" i="12"/>
  <c r="B88" i="12"/>
  <c r="BS87" i="12"/>
  <c r="G87" i="12"/>
  <c r="E87" i="12"/>
  <c r="B87" i="12"/>
  <c r="BS86" i="12"/>
  <c r="G86" i="12"/>
  <c r="E86" i="12"/>
  <c r="B86" i="12"/>
  <c r="BS85" i="12"/>
  <c r="G85" i="12"/>
  <c r="E85" i="12"/>
  <c r="B85" i="12"/>
  <c r="BS84" i="12"/>
  <c r="G84" i="12"/>
  <c r="E84" i="12"/>
  <c r="B84" i="12"/>
  <c r="BS83" i="12"/>
  <c r="G83" i="12"/>
  <c r="E83" i="12"/>
  <c r="B83" i="12"/>
  <c r="BS82" i="12"/>
  <c r="G82" i="12"/>
  <c r="E82" i="12"/>
  <c r="B82" i="12"/>
  <c r="BS81" i="12"/>
  <c r="G81" i="12"/>
  <c r="E81" i="12"/>
  <c r="B81" i="12"/>
  <c r="BS80" i="12"/>
  <c r="G80" i="12"/>
  <c r="E80" i="12"/>
  <c r="B80" i="12"/>
  <c r="BS79" i="12"/>
  <c r="G79" i="12"/>
  <c r="E79" i="12"/>
  <c r="B79" i="12"/>
  <c r="BS78" i="12"/>
  <c r="G78" i="12"/>
  <c r="E78" i="12"/>
  <c r="B78" i="12"/>
  <c r="BS77" i="12"/>
  <c r="G77" i="12"/>
  <c r="E77" i="12"/>
  <c r="B77" i="12"/>
  <c r="BS76" i="12"/>
  <c r="G76" i="12"/>
  <c r="E76" i="12"/>
  <c r="B76" i="12"/>
  <c r="BS75" i="12"/>
  <c r="G75" i="12"/>
  <c r="E75" i="12"/>
  <c r="B75" i="12"/>
  <c r="BS74" i="12"/>
  <c r="G74" i="12"/>
  <c r="E74" i="12"/>
  <c r="B74" i="12"/>
  <c r="BS73" i="12"/>
  <c r="G73" i="12"/>
  <c r="E73" i="12"/>
  <c r="B73" i="12"/>
  <c r="BS72" i="12"/>
  <c r="G72" i="12"/>
  <c r="E72" i="12"/>
  <c r="B72" i="12"/>
  <c r="BS71" i="12"/>
  <c r="G71" i="12"/>
  <c r="E71" i="12"/>
  <c r="B71" i="12"/>
  <c r="BS70" i="12"/>
  <c r="G70" i="12"/>
  <c r="E70" i="12"/>
  <c r="B70" i="12"/>
  <c r="BS69" i="12"/>
  <c r="G69" i="12"/>
  <c r="E69" i="12"/>
  <c r="B69" i="12"/>
  <c r="BS68" i="12"/>
  <c r="G68" i="12"/>
  <c r="E68" i="12"/>
  <c r="B68" i="12"/>
  <c r="BS67" i="12"/>
  <c r="G67" i="12"/>
  <c r="E67" i="12"/>
  <c r="B67" i="12"/>
  <c r="BS66" i="12"/>
  <c r="G66" i="12"/>
  <c r="E66" i="12"/>
  <c r="B66" i="12"/>
  <c r="BS65" i="12"/>
  <c r="G65" i="12"/>
  <c r="E65" i="12"/>
  <c r="B65" i="12"/>
  <c r="BS64" i="12"/>
  <c r="G64" i="12"/>
  <c r="E64" i="12"/>
  <c r="B64" i="12"/>
  <c r="BS63" i="12"/>
  <c r="G63" i="12"/>
  <c r="E63" i="12"/>
  <c r="B63" i="12"/>
  <c r="BS62" i="12"/>
  <c r="G62" i="12"/>
  <c r="E62" i="12"/>
  <c r="B62" i="12"/>
  <c r="BS61" i="12"/>
  <c r="G61" i="12"/>
  <c r="E61" i="12"/>
  <c r="B61" i="12"/>
  <c r="BS60" i="12"/>
  <c r="G60" i="12"/>
  <c r="E60" i="12"/>
  <c r="B60" i="12"/>
  <c r="BS59" i="12"/>
  <c r="G59" i="12"/>
  <c r="E59" i="12"/>
  <c r="B59" i="12"/>
  <c r="BS58" i="12"/>
  <c r="G58" i="12"/>
  <c r="E58" i="12"/>
  <c r="B58" i="12"/>
  <c r="BS57" i="12"/>
  <c r="G57" i="12"/>
  <c r="E57" i="12"/>
  <c r="B57" i="12"/>
  <c r="BS56" i="12"/>
  <c r="G56" i="12"/>
  <c r="E56" i="12"/>
  <c r="B56" i="12"/>
  <c r="BS55" i="12"/>
  <c r="G55" i="12"/>
  <c r="E55" i="12"/>
  <c r="B55" i="12"/>
  <c r="BS54" i="12"/>
  <c r="G54" i="12"/>
  <c r="E54" i="12"/>
  <c r="B54" i="12"/>
  <c r="BS53" i="12"/>
  <c r="G53" i="12"/>
  <c r="E53" i="12"/>
  <c r="B53" i="12"/>
  <c r="BS52" i="12"/>
  <c r="G52" i="12"/>
  <c r="E52" i="12"/>
  <c r="B52" i="12"/>
  <c r="BS51" i="12"/>
  <c r="G51" i="12"/>
  <c r="E51" i="12"/>
  <c r="B51" i="12"/>
  <c r="BS50" i="12"/>
  <c r="G50" i="12"/>
  <c r="E50" i="12"/>
  <c r="B50" i="12"/>
  <c r="BS49" i="12"/>
  <c r="G49" i="12"/>
  <c r="E49" i="12"/>
  <c r="B49" i="12"/>
  <c r="BS48" i="12"/>
  <c r="G48" i="12"/>
  <c r="E48" i="12"/>
  <c r="B48" i="12"/>
  <c r="BS47" i="12"/>
  <c r="G47" i="12"/>
  <c r="E47" i="12"/>
  <c r="B47" i="12"/>
  <c r="BS46" i="12"/>
  <c r="G46" i="12"/>
  <c r="E46" i="12"/>
  <c r="B46" i="12"/>
  <c r="BS45" i="12"/>
  <c r="G45" i="12"/>
  <c r="E45" i="12"/>
  <c r="B45" i="12"/>
  <c r="BS44" i="12"/>
  <c r="G44" i="12"/>
  <c r="E44" i="12"/>
  <c r="B44" i="12"/>
  <c r="BS43" i="12"/>
  <c r="G43" i="12"/>
  <c r="E43" i="12"/>
  <c r="B43" i="12"/>
  <c r="BS42" i="12"/>
  <c r="G42" i="12"/>
  <c r="E42" i="12"/>
  <c r="B42" i="12"/>
  <c r="BS41" i="12"/>
  <c r="G41" i="12"/>
  <c r="E41" i="12"/>
  <c r="B41" i="12"/>
  <c r="BS40" i="12"/>
  <c r="G40" i="12"/>
  <c r="E40" i="12"/>
  <c r="B40" i="12"/>
  <c r="BS39" i="12"/>
  <c r="G39" i="12"/>
  <c r="E39" i="12"/>
  <c r="B39" i="12"/>
  <c r="BS38" i="12"/>
  <c r="G38" i="12"/>
  <c r="E38" i="12"/>
  <c r="B38" i="12"/>
  <c r="BS37" i="12"/>
  <c r="G37" i="12"/>
  <c r="E37" i="12"/>
  <c r="B37" i="12"/>
  <c r="BS36" i="12"/>
  <c r="G36" i="12"/>
  <c r="E36" i="12"/>
  <c r="B36" i="12"/>
  <c r="BS35" i="12"/>
  <c r="G35" i="12"/>
  <c r="E35" i="12"/>
  <c r="B35" i="12"/>
  <c r="BS34" i="12"/>
  <c r="G34" i="12"/>
  <c r="E34" i="12"/>
  <c r="B34" i="12"/>
  <c r="BS33" i="12"/>
  <c r="G33" i="12"/>
  <c r="E33" i="12"/>
  <c r="B33" i="12"/>
  <c r="BS32" i="12"/>
  <c r="G32" i="12"/>
  <c r="E32" i="12"/>
  <c r="B32" i="12"/>
  <c r="BS31" i="12"/>
  <c r="G31" i="12"/>
  <c r="E31" i="12"/>
  <c r="B31" i="12"/>
  <c r="BS30" i="12"/>
  <c r="G30" i="12"/>
  <c r="E30" i="12"/>
  <c r="B30" i="12"/>
  <c r="BS29" i="12"/>
  <c r="G29" i="12"/>
  <c r="E29" i="12"/>
  <c r="B29" i="12"/>
  <c r="BS28" i="12"/>
  <c r="G28" i="12"/>
  <c r="E28" i="12"/>
  <c r="B28" i="12"/>
  <c r="BS27" i="12"/>
  <c r="G27" i="12"/>
  <c r="E27" i="12"/>
  <c r="B27" i="12"/>
  <c r="BS26" i="12"/>
  <c r="G26" i="12"/>
  <c r="E26" i="12"/>
  <c r="B26" i="12"/>
  <c r="BS25" i="12"/>
  <c r="G25" i="12"/>
  <c r="E25" i="12"/>
  <c r="B25" i="12"/>
  <c r="BS24" i="12"/>
  <c r="G24" i="12"/>
  <c r="E24" i="12"/>
  <c r="B24" i="12"/>
  <c r="BS23" i="12"/>
  <c r="G23" i="12"/>
  <c r="E23" i="12"/>
  <c r="B23" i="12"/>
  <c r="BS22" i="12"/>
  <c r="G22" i="12"/>
  <c r="E22" i="12"/>
  <c r="B22" i="12"/>
  <c r="BS21" i="12"/>
  <c r="G21" i="12"/>
  <c r="E21" i="12"/>
  <c r="B21" i="12"/>
  <c r="BS20" i="12"/>
  <c r="G20" i="12"/>
  <c r="E20" i="12"/>
  <c r="B20" i="12"/>
  <c r="BS19" i="12"/>
  <c r="G19" i="12"/>
  <c r="E19" i="12"/>
  <c r="B19" i="12"/>
  <c r="BS18" i="12"/>
  <c r="G18" i="12"/>
  <c r="E18" i="12"/>
  <c r="B18" i="12"/>
  <c r="BS17" i="12"/>
  <c r="G17" i="12"/>
  <c r="E17" i="12"/>
  <c r="B17" i="12"/>
  <c r="BS16" i="12"/>
  <c r="G16" i="12"/>
  <c r="E16" i="12"/>
  <c r="B16" i="12"/>
  <c r="BS15" i="12"/>
  <c r="G15" i="12"/>
  <c r="E15" i="12"/>
  <c r="B15" i="12"/>
  <c r="BS14" i="12"/>
  <c r="G14" i="12"/>
  <c r="E14" i="12"/>
  <c r="B14" i="12"/>
  <c r="BS13" i="12"/>
  <c r="G13" i="12"/>
  <c r="E13" i="12"/>
  <c r="B13" i="12"/>
  <c r="BS12" i="12"/>
  <c r="G12" i="12"/>
  <c r="E12" i="12"/>
  <c r="B12" i="12"/>
  <c r="BS11" i="12"/>
  <c r="G11" i="12"/>
  <c r="E11" i="12"/>
  <c r="B11" i="12"/>
  <c r="BS10" i="12"/>
  <c r="G10" i="12"/>
  <c r="E10" i="12"/>
  <c r="B10" i="12"/>
  <c r="BS9" i="12"/>
  <c r="G9" i="12"/>
  <c r="E9" i="12"/>
  <c r="B9" i="12"/>
  <c r="BS8" i="12"/>
  <c r="G8" i="12"/>
  <c r="E8" i="12"/>
  <c r="B8" i="12"/>
  <c r="BS7" i="12"/>
  <c r="G7" i="12"/>
  <c r="E7" i="12"/>
  <c r="B7" i="12"/>
  <c r="BS6" i="12"/>
  <c r="G6" i="12"/>
  <c r="E6" i="12"/>
  <c r="B6" i="12"/>
  <c r="BS5" i="12"/>
  <c r="G5" i="12"/>
  <c r="E5" i="12"/>
  <c r="B5" i="12"/>
  <c r="BS4" i="12"/>
  <c r="G4" i="12"/>
  <c r="E4" i="12"/>
  <c r="B4" i="12"/>
  <c r="BS3" i="12"/>
  <c r="G3" i="12"/>
  <c r="E3" i="12"/>
  <c r="B3" i="12"/>
  <c r="BS2" i="12"/>
  <c r="G2" i="12"/>
  <c r="B2" i="12"/>
  <c r="O1" i="12"/>
  <c r="F85" i="9"/>
  <c r="H159" i="8" s="1"/>
  <c r="F84" i="9"/>
  <c r="L173" i="8" s="1"/>
  <c r="F83" i="9"/>
  <c r="H198" i="8" s="1"/>
  <c r="F82" i="9"/>
  <c r="J161" i="8" s="1"/>
  <c r="F81" i="9"/>
  <c r="H203" i="8" s="1"/>
  <c r="F80" i="9"/>
  <c r="H195" i="8" s="1"/>
  <c r="F79" i="9"/>
  <c r="J162" i="8" s="1"/>
  <c r="F47" i="9"/>
  <c r="F46" i="8" s="1"/>
  <c r="F46" i="9"/>
  <c r="F45" i="8" s="1"/>
  <c r="F45" i="9"/>
  <c r="F44" i="8" s="1"/>
  <c r="F44" i="9"/>
  <c r="F43" i="8" s="1"/>
  <c r="F43" i="9"/>
  <c r="F42" i="8" s="1"/>
  <c r="F42" i="9"/>
  <c r="F41" i="8" s="1"/>
  <c r="F41" i="9"/>
  <c r="F40" i="8" s="1"/>
  <c r="F40" i="9"/>
  <c r="F39" i="8" s="1"/>
  <c r="F39" i="9"/>
  <c r="N188" i="8" s="1"/>
  <c r="F38" i="9"/>
  <c r="F37" i="8" s="1"/>
  <c r="F37" i="9"/>
  <c r="H311" i="8" s="1"/>
  <c r="F36" i="9"/>
  <c r="F267" i="8" s="1"/>
  <c r="F35" i="9"/>
  <c r="F71" i="8" s="1"/>
  <c r="F34" i="9"/>
  <c r="F33" i="8" s="1"/>
  <c r="F33" i="9"/>
  <c r="F32" i="8" s="1"/>
  <c r="F32" i="9"/>
  <c r="F31" i="8" s="1"/>
  <c r="F31" i="9"/>
  <c r="F30" i="8" s="1"/>
  <c r="F30" i="9"/>
  <c r="J177" i="8" s="1"/>
  <c r="F29" i="9"/>
  <c r="F28" i="8" s="1"/>
  <c r="F28" i="9"/>
  <c r="F272" i="8" s="1"/>
  <c r="F27" i="9"/>
  <c r="L303" i="8" s="1"/>
  <c r="F26" i="9"/>
  <c r="F176" i="8" s="1"/>
  <c r="F25" i="9"/>
  <c r="N226" i="8" s="1"/>
  <c r="F24" i="9"/>
  <c r="F23" i="8" s="1"/>
  <c r="F23" i="9"/>
  <c r="F22" i="8" s="1"/>
  <c r="F22" i="9"/>
  <c r="F21" i="8" s="1"/>
  <c r="F21" i="9"/>
  <c r="F157" i="8" s="1"/>
  <c r="F20" i="9"/>
  <c r="F19" i="8" s="1"/>
  <c r="F19" i="9"/>
  <c r="H170" i="8" s="1"/>
  <c r="F18" i="9"/>
  <c r="H179" i="8" s="1"/>
  <c r="F17" i="9"/>
  <c r="F264" i="8" s="1"/>
  <c r="F16" i="9"/>
  <c r="F285" i="8" s="1"/>
  <c r="F15" i="9"/>
  <c r="L345" i="8" s="1"/>
  <c r="F14" i="9"/>
  <c r="F147" i="8" s="1"/>
  <c r="F13" i="9"/>
  <c r="L186" i="8" s="1"/>
  <c r="F12" i="9"/>
  <c r="J72" i="8" s="1"/>
  <c r="F11" i="9"/>
  <c r="F10" i="8" s="1"/>
  <c r="F10" i="9"/>
  <c r="F103" i="8" s="1"/>
  <c r="F9" i="9"/>
  <c r="L127" i="8" s="1"/>
  <c r="F8" i="9"/>
  <c r="N95" i="8" s="1"/>
  <c r="F7" i="9"/>
  <c r="F295" i="8" s="1"/>
  <c r="F6" i="9"/>
  <c r="L346" i="8" s="1"/>
  <c r="F5" i="9"/>
  <c r="H342" i="8" s="1"/>
  <c r="Y357" i="8"/>
  <c r="X357" i="8"/>
  <c r="V357" i="8"/>
  <c r="T357" i="8"/>
  <c r="R357" i="8"/>
  <c r="P357" i="8"/>
  <c r="N357" i="8"/>
  <c r="L357" i="8"/>
  <c r="J357" i="8"/>
  <c r="H357" i="8"/>
  <c r="Y356" i="8"/>
  <c r="C355" i="12" s="1"/>
  <c r="X356" i="8"/>
  <c r="V356" i="8"/>
  <c r="T356" i="8"/>
  <c r="R356" i="8"/>
  <c r="P356" i="8"/>
  <c r="N356" i="8"/>
  <c r="L356" i="8"/>
  <c r="J356" i="8"/>
  <c r="H356" i="8"/>
  <c r="Y355" i="8"/>
  <c r="C354" i="12" s="1"/>
  <c r="X355" i="8"/>
  <c r="V355" i="8"/>
  <c r="T355" i="8"/>
  <c r="R355" i="8"/>
  <c r="P355" i="8"/>
  <c r="N355" i="8"/>
  <c r="L355" i="8"/>
  <c r="J355" i="8"/>
  <c r="H355" i="8"/>
  <c r="Y354" i="8"/>
  <c r="C353" i="12" s="1"/>
  <c r="X354" i="8"/>
  <c r="V354" i="8"/>
  <c r="T354" i="8"/>
  <c r="R354" i="8"/>
  <c r="P354" i="8"/>
  <c r="N354" i="8"/>
  <c r="L354" i="8"/>
  <c r="J354" i="8"/>
  <c r="H354" i="8"/>
  <c r="Y353" i="8"/>
  <c r="X353" i="8"/>
  <c r="V353" i="8"/>
  <c r="T353" i="8"/>
  <c r="R353" i="8"/>
  <c r="P353" i="8"/>
  <c r="N353" i="8"/>
  <c r="L353" i="8"/>
  <c r="J353" i="8"/>
  <c r="H353" i="8"/>
  <c r="Y352" i="8"/>
  <c r="C351" i="12" s="1"/>
  <c r="X352" i="8"/>
  <c r="V352" i="8"/>
  <c r="T352" i="8"/>
  <c r="R352" i="8"/>
  <c r="P352" i="8"/>
  <c r="N352" i="8"/>
  <c r="L352" i="8"/>
  <c r="J352" i="8"/>
  <c r="H352" i="8"/>
  <c r="Y351" i="8"/>
  <c r="X351" i="8"/>
  <c r="V351" i="8"/>
  <c r="T351" i="8"/>
  <c r="R351" i="8"/>
  <c r="P351" i="8"/>
  <c r="N351" i="8"/>
  <c r="L351" i="8"/>
  <c r="J351" i="8"/>
  <c r="H351" i="8"/>
  <c r="Y350" i="8"/>
  <c r="C349" i="12" s="1"/>
  <c r="X350" i="8"/>
  <c r="V350" i="8"/>
  <c r="T350" i="8"/>
  <c r="R350" i="8"/>
  <c r="Y349" i="8"/>
  <c r="C348" i="12" s="1"/>
  <c r="X349" i="8"/>
  <c r="V349" i="8"/>
  <c r="T349" i="8"/>
  <c r="R349" i="8"/>
  <c r="Y348" i="8"/>
  <c r="C347" i="12" s="1"/>
  <c r="X348" i="8"/>
  <c r="V348" i="8"/>
  <c r="T348" i="8"/>
  <c r="R348" i="8"/>
  <c r="P348" i="8"/>
  <c r="Y347" i="8"/>
  <c r="X347" i="8"/>
  <c r="V347" i="8"/>
  <c r="T347" i="8"/>
  <c r="R347" i="8"/>
  <c r="P347" i="8"/>
  <c r="Y346" i="8"/>
  <c r="C345" i="12" s="1"/>
  <c r="X346" i="8"/>
  <c r="V346" i="8"/>
  <c r="T346" i="8"/>
  <c r="R346" i="8"/>
  <c r="P346" i="8"/>
  <c r="Y345" i="8"/>
  <c r="X345" i="8"/>
  <c r="V345" i="8"/>
  <c r="T345" i="8"/>
  <c r="R345" i="8"/>
  <c r="P345" i="8"/>
  <c r="Y344" i="8"/>
  <c r="C343" i="12" s="1"/>
  <c r="X344" i="8"/>
  <c r="V344" i="8"/>
  <c r="T344" i="8"/>
  <c r="R344" i="8"/>
  <c r="P344" i="8"/>
  <c r="Y343" i="8"/>
  <c r="X343" i="8"/>
  <c r="V343" i="8"/>
  <c r="T343" i="8"/>
  <c r="R343" i="8"/>
  <c r="P343" i="8"/>
  <c r="Y342" i="8"/>
  <c r="C341" i="12" s="1"/>
  <c r="X342" i="8"/>
  <c r="V342" i="8"/>
  <c r="T342" i="8"/>
  <c r="R342" i="8"/>
  <c r="P342" i="8"/>
  <c r="N342" i="8"/>
  <c r="Y341" i="8"/>
  <c r="C340" i="12" s="1"/>
  <c r="X341" i="8"/>
  <c r="V341" i="8"/>
  <c r="T341" i="8"/>
  <c r="R341" i="8"/>
  <c r="P341" i="8"/>
  <c r="N341" i="8"/>
  <c r="Y340" i="8"/>
  <c r="X340" i="8"/>
  <c r="V340" i="8"/>
  <c r="T340" i="8"/>
  <c r="R340" i="8"/>
  <c r="P340" i="8"/>
  <c r="N340" i="8"/>
  <c r="Y339" i="8"/>
  <c r="X339" i="8"/>
  <c r="V339" i="8"/>
  <c r="T339" i="8"/>
  <c r="R339" i="8"/>
  <c r="P339" i="8"/>
  <c r="N339" i="8"/>
  <c r="Y338" i="8"/>
  <c r="C337" i="12" s="1"/>
  <c r="X338" i="8"/>
  <c r="V338" i="8"/>
  <c r="T338" i="8"/>
  <c r="R338" i="8"/>
  <c r="P338" i="8"/>
  <c r="N338" i="8"/>
  <c r="Y337" i="8"/>
  <c r="C336" i="12" s="1"/>
  <c r="X337" i="8"/>
  <c r="V337" i="8"/>
  <c r="T337" i="8"/>
  <c r="R337" i="8"/>
  <c r="P337" i="8"/>
  <c r="N337" i="8"/>
  <c r="L337" i="8"/>
  <c r="Y336" i="8"/>
  <c r="C335" i="12" s="1"/>
  <c r="X336" i="8"/>
  <c r="V336" i="8"/>
  <c r="T336" i="8"/>
  <c r="R336" i="8"/>
  <c r="P336" i="8"/>
  <c r="N336" i="8"/>
  <c r="L336" i="8"/>
  <c r="Y335" i="8"/>
  <c r="X335" i="8"/>
  <c r="V335" i="8"/>
  <c r="T335" i="8"/>
  <c r="R335" i="8"/>
  <c r="P335" i="8"/>
  <c r="N335" i="8"/>
  <c r="L335" i="8"/>
  <c r="Y334" i="8"/>
  <c r="C333" i="12" s="1"/>
  <c r="X334" i="8"/>
  <c r="V334" i="8"/>
  <c r="T334" i="8"/>
  <c r="R334" i="8"/>
  <c r="P334" i="8"/>
  <c r="N334" i="8"/>
  <c r="L334" i="8"/>
  <c r="Y333" i="8"/>
  <c r="C332" i="12" s="1"/>
  <c r="X333" i="8"/>
  <c r="V333" i="8"/>
  <c r="T333" i="8"/>
  <c r="R333" i="8"/>
  <c r="P333" i="8"/>
  <c r="N333" i="8"/>
  <c r="L333" i="8"/>
  <c r="Y332" i="8"/>
  <c r="X332" i="8"/>
  <c r="V332" i="8"/>
  <c r="T332" i="8"/>
  <c r="R332" i="8"/>
  <c r="P332" i="8"/>
  <c r="N332" i="8"/>
  <c r="L332" i="8"/>
  <c r="Y331" i="8"/>
  <c r="C330" i="12" s="1"/>
  <c r="X331" i="8"/>
  <c r="V331" i="8"/>
  <c r="T331" i="8"/>
  <c r="R331" i="8"/>
  <c r="P331" i="8"/>
  <c r="N331" i="8"/>
  <c r="L331" i="8"/>
  <c r="Y330" i="8"/>
  <c r="C329" i="12" s="1"/>
  <c r="X330" i="8"/>
  <c r="V330" i="8"/>
  <c r="T330" i="8"/>
  <c r="R330" i="8"/>
  <c r="P330" i="8"/>
  <c r="N330" i="8"/>
  <c r="L330" i="8"/>
  <c r="Y329" i="8"/>
  <c r="C328" i="12" s="1"/>
  <c r="X329" i="8"/>
  <c r="V329" i="8"/>
  <c r="T329" i="8"/>
  <c r="R329" i="8"/>
  <c r="P329" i="8"/>
  <c r="N329" i="8"/>
  <c r="L329" i="8"/>
  <c r="Y328" i="8"/>
  <c r="C327" i="12" s="1"/>
  <c r="X328" i="8"/>
  <c r="V328" i="8"/>
  <c r="T328" i="8"/>
  <c r="R328" i="8"/>
  <c r="P328" i="8"/>
  <c r="N328" i="8"/>
  <c r="L328" i="8"/>
  <c r="Y327" i="8"/>
  <c r="C326" i="12" s="1"/>
  <c r="X327" i="8"/>
  <c r="V327" i="8"/>
  <c r="T327" i="8"/>
  <c r="R327" i="8"/>
  <c r="P327" i="8"/>
  <c r="N327" i="8"/>
  <c r="L327" i="8"/>
  <c r="J327" i="8"/>
  <c r="Y326" i="8"/>
  <c r="C325" i="12" s="1"/>
  <c r="X326" i="8"/>
  <c r="V326" i="8"/>
  <c r="T326" i="8"/>
  <c r="R326" i="8"/>
  <c r="P326" i="8"/>
  <c r="N326" i="8"/>
  <c r="L326" i="8"/>
  <c r="J326" i="8"/>
  <c r="Y325" i="8"/>
  <c r="C324" i="12" s="1"/>
  <c r="X325" i="8"/>
  <c r="V325" i="8"/>
  <c r="T325" i="8"/>
  <c r="R325" i="8"/>
  <c r="P325" i="8"/>
  <c r="N325" i="8"/>
  <c r="L325" i="8"/>
  <c r="J325" i="8"/>
  <c r="Y324" i="8"/>
  <c r="C323" i="12" s="1"/>
  <c r="X324" i="8"/>
  <c r="V324" i="8"/>
  <c r="T324" i="8"/>
  <c r="R324" i="8"/>
  <c r="P324" i="8"/>
  <c r="N324" i="8"/>
  <c r="L324" i="8"/>
  <c r="J324" i="8"/>
  <c r="Y323" i="8"/>
  <c r="X323" i="8"/>
  <c r="V323" i="8"/>
  <c r="T323" i="8"/>
  <c r="R323" i="8"/>
  <c r="P323" i="8"/>
  <c r="N323" i="8"/>
  <c r="L323" i="8"/>
  <c r="J323" i="8"/>
  <c r="Y322" i="8"/>
  <c r="C321" i="12" s="1"/>
  <c r="X322" i="8"/>
  <c r="V322" i="8"/>
  <c r="T322" i="8"/>
  <c r="R322" i="8"/>
  <c r="P322" i="8"/>
  <c r="N322" i="8"/>
  <c r="L322" i="8"/>
  <c r="J322" i="8"/>
  <c r="Y321" i="8"/>
  <c r="X321" i="8"/>
  <c r="V321" i="8"/>
  <c r="T321" i="8"/>
  <c r="R321" i="8"/>
  <c r="P321" i="8"/>
  <c r="N321" i="8"/>
  <c r="L321" i="8"/>
  <c r="J321" i="8"/>
  <c r="Y320" i="8"/>
  <c r="C319" i="12" s="1"/>
  <c r="X320" i="8"/>
  <c r="V320" i="8"/>
  <c r="T320" i="8"/>
  <c r="R320" i="8"/>
  <c r="P320" i="8"/>
  <c r="N320" i="8"/>
  <c r="L320" i="8"/>
  <c r="J320" i="8"/>
  <c r="Y319" i="8"/>
  <c r="C318" i="12" s="1"/>
  <c r="X319" i="8"/>
  <c r="V319" i="8"/>
  <c r="T319" i="8"/>
  <c r="R319" i="8"/>
  <c r="P319" i="8"/>
  <c r="N319" i="8"/>
  <c r="L319" i="8"/>
  <c r="J319" i="8"/>
  <c r="Y318" i="8"/>
  <c r="X318" i="8"/>
  <c r="V318" i="8"/>
  <c r="T318" i="8"/>
  <c r="R318" i="8"/>
  <c r="P318" i="8"/>
  <c r="N318" i="8"/>
  <c r="L318" i="8"/>
  <c r="J318" i="8"/>
  <c r="Y317" i="8"/>
  <c r="C316" i="12" s="1"/>
  <c r="X317" i="8"/>
  <c r="V317" i="8"/>
  <c r="T317" i="8"/>
  <c r="R317" i="8"/>
  <c r="P317" i="8"/>
  <c r="N317" i="8"/>
  <c r="L317" i="8"/>
  <c r="J317" i="8"/>
  <c r="Y316" i="8"/>
  <c r="C315" i="12" s="1"/>
  <c r="X316" i="8"/>
  <c r="V316" i="8"/>
  <c r="T316" i="8"/>
  <c r="R316" i="8"/>
  <c r="P316" i="8"/>
  <c r="N316" i="8"/>
  <c r="L316" i="8"/>
  <c r="J316" i="8"/>
  <c r="Y315" i="8"/>
  <c r="C314" i="12" s="1"/>
  <c r="X315" i="8"/>
  <c r="V315" i="8"/>
  <c r="T315" i="8"/>
  <c r="R315" i="8"/>
  <c r="P315" i="8"/>
  <c r="N315" i="8"/>
  <c r="L315" i="8"/>
  <c r="J315" i="8"/>
  <c r="Y314" i="8"/>
  <c r="C313" i="12" s="1"/>
  <c r="X314" i="8"/>
  <c r="V314" i="8"/>
  <c r="T314" i="8"/>
  <c r="R314" i="8"/>
  <c r="Y313" i="8"/>
  <c r="C312" i="12" s="1"/>
  <c r="X313" i="8"/>
  <c r="V313" i="8"/>
  <c r="T313" i="8"/>
  <c r="R313" i="8"/>
  <c r="Y312" i="8"/>
  <c r="C311" i="12" s="1"/>
  <c r="X312" i="8"/>
  <c r="V312" i="8"/>
  <c r="T312" i="8"/>
  <c r="R312" i="8"/>
  <c r="Y311" i="8"/>
  <c r="C310" i="12" s="1"/>
  <c r="X311" i="8"/>
  <c r="V311" i="8"/>
  <c r="T311" i="8"/>
  <c r="R311" i="8"/>
  <c r="Y310" i="8"/>
  <c r="C309" i="12" s="1"/>
  <c r="X310" i="8"/>
  <c r="V310" i="8"/>
  <c r="T310" i="8"/>
  <c r="R310" i="8"/>
  <c r="Y309" i="8"/>
  <c r="C308" i="12" s="1"/>
  <c r="X309" i="8"/>
  <c r="V309" i="8"/>
  <c r="T309" i="8"/>
  <c r="R309" i="8"/>
  <c r="Y308" i="8"/>
  <c r="C307" i="12" s="1"/>
  <c r="X308" i="8"/>
  <c r="V308" i="8"/>
  <c r="T308" i="8"/>
  <c r="R308" i="8"/>
  <c r="P308" i="8"/>
  <c r="Y307" i="8"/>
  <c r="X307" i="8"/>
  <c r="V307" i="8"/>
  <c r="T307" i="8"/>
  <c r="R307" i="8"/>
  <c r="P307" i="8"/>
  <c r="Y306" i="8"/>
  <c r="C305" i="12" s="1"/>
  <c r="X306" i="8"/>
  <c r="V306" i="8"/>
  <c r="T306" i="8"/>
  <c r="R306" i="8"/>
  <c r="P306" i="8"/>
  <c r="Y305" i="8"/>
  <c r="X305" i="8"/>
  <c r="V305" i="8"/>
  <c r="T305" i="8"/>
  <c r="R305" i="8"/>
  <c r="P305" i="8"/>
  <c r="Y304" i="8"/>
  <c r="C303" i="12" s="1"/>
  <c r="X304" i="8"/>
  <c r="V304" i="8"/>
  <c r="T304" i="8"/>
  <c r="R304" i="8"/>
  <c r="P304" i="8"/>
  <c r="Y303" i="8"/>
  <c r="C302" i="12" s="1"/>
  <c r="X303" i="8"/>
  <c r="V303" i="8"/>
  <c r="T303" i="8"/>
  <c r="R303" i="8"/>
  <c r="P303" i="8"/>
  <c r="Y302" i="8"/>
  <c r="C301" i="12" s="1"/>
  <c r="X302" i="8"/>
  <c r="V302" i="8"/>
  <c r="T302" i="8"/>
  <c r="R302" i="8"/>
  <c r="P302" i="8"/>
  <c r="Y301" i="8"/>
  <c r="C300" i="12" s="1"/>
  <c r="X301" i="8"/>
  <c r="V301" i="8"/>
  <c r="T301" i="8"/>
  <c r="R301" i="8"/>
  <c r="P301" i="8"/>
  <c r="N301" i="8"/>
  <c r="Y300" i="8"/>
  <c r="C299" i="12" s="1"/>
  <c r="X300" i="8"/>
  <c r="V300" i="8"/>
  <c r="T300" i="8"/>
  <c r="R300" i="8"/>
  <c r="P300" i="8"/>
  <c r="N300" i="8"/>
  <c r="Y299" i="8"/>
  <c r="C298" i="12" s="1"/>
  <c r="X299" i="8"/>
  <c r="V299" i="8"/>
  <c r="T299" i="8"/>
  <c r="R299" i="8"/>
  <c r="P299" i="8"/>
  <c r="N299" i="8"/>
  <c r="Y298" i="8"/>
  <c r="C297" i="12" s="1"/>
  <c r="X298" i="8"/>
  <c r="V298" i="8"/>
  <c r="T298" i="8"/>
  <c r="R298" i="8"/>
  <c r="P298" i="8"/>
  <c r="N298" i="8"/>
  <c r="Y297" i="8"/>
  <c r="X297" i="8"/>
  <c r="V297" i="8"/>
  <c r="T297" i="8"/>
  <c r="R297" i="8"/>
  <c r="P297" i="8"/>
  <c r="N297" i="8"/>
  <c r="Y296" i="8"/>
  <c r="C295" i="12" s="1"/>
  <c r="X296" i="8"/>
  <c r="V296" i="8"/>
  <c r="T296" i="8"/>
  <c r="R296" i="8"/>
  <c r="P296" i="8"/>
  <c r="N296" i="8"/>
  <c r="Y295" i="8"/>
  <c r="C294" i="12" s="1"/>
  <c r="X295" i="8"/>
  <c r="V295" i="8"/>
  <c r="T295" i="8"/>
  <c r="R295" i="8"/>
  <c r="P295" i="8"/>
  <c r="N295" i="8"/>
  <c r="Y294" i="8"/>
  <c r="C293" i="12" s="1"/>
  <c r="X294" i="8"/>
  <c r="V294" i="8"/>
  <c r="T294" i="8"/>
  <c r="R294" i="8"/>
  <c r="P294" i="8"/>
  <c r="N294" i="8"/>
  <c r="Y293" i="8"/>
  <c r="C292" i="12" s="1"/>
  <c r="X293" i="8"/>
  <c r="V293" i="8"/>
  <c r="T293" i="8"/>
  <c r="R293" i="8"/>
  <c r="P293" i="8"/>
  <c r="N293" i="8"/>
  <c r="Y292" i="8"/>
  <c r="C291" i="12" s="1"/>
  <c r="X292" i="8"/>
  <c r="V292" i="8"/>
  <c r="T292" i="8"/>
  <c r="R292" i="8"/>
  <c r="P292" i="8"/>
  <c r="N292" i="8"/>
  <c r="Y291" i="8"/>
  <c r="C290" i="12" s="1"/>
  <c r="X291" i="8"/>
  <c r="V291" i="8"/>
  <c r="T291" i="8"/>
  <c r="R291" i="8"/>
  <c r="P291" i="8"/>
  <c r="N291" i="8"/>
  <c r="Y290" i="8"/>
  <c r="C289" i="12" s="1"/>
  <c r="X290" i="8"/>
  <c r="V290" i="8"/>
  <c r="T290" i="8"/>
  <c r="R290" i="8"/>
  <c r="P290" i="8"/>
  <c r="N290" i="8"/>
  <c r="L290" i="8"/>
  <c r="Y289" i="8"/>
  <c r="C288" i="12" s="1"/>
  <c r="X289" i="8"/>
  <c r="V289" i="8"/>
  <c r="T289" i="8"/>
  <c r="R289" i="8"/>
  <c r="P289" i="8"/>
  <c r="N289" i="8"/>
  <c r="L289" i="8"/>
  <c r="Y288" i="8"/>
  <c r="C287" i="12" s="1"/>
  <c r="X288" i="8"/>
  <c r="V288" i="8"/>
  <c r="T288" i="8"/>
  <c r="R288" i="8"/>
  <c r="P288" i="8"/>
  <c r="N288" i="8"/>
  <c r="L288" i="8"/>
  <c r="Y287" i="8"/>
  <c r="X287" i="8"/>
  <c r="V287" i="8"/>
  <c r="T287" i="8"/>
  <c r="R287" i="8"/>
  <c r="P287" i="8"/>
  <c r="N287" i="8"/>
  <c r="L287" i="8"/>
  <c r="Y286" i="8"/>
  <c r="C285" i="12" s="1"/>
  <c r="X286" i="8"/>
  <c r="V286" i="8"/>
  <c r="T286" i="8"/>
  <c r="R286" i="8"/>
  <c r="P286" i="8"/>
  <c r="N286" i="8"/>
  <c r="L286" i="8"/>
  <c r="Y285" i="8"/>
  <c r="C284" i="12" s="1"/>
  <c r="X285" i="8"/>
  <c r="V285" i="8"/>
  <c r="T285" i="8"/>
  <c r="R285" i="8"/>
  <c r="P285" i="8"/>
  <c r="N285" i="8"/>
  <c r="L285" i="8"/>
  <c r="Y284" i="8"/>
  <c r="X284" i="8"/>
  <c r="V284" i="8"/>
  <c r="T284" i="8"/>
  <c r="R284" i="8"/>
  <c r="P284" i="8"/>
  <c r="N284" i="8"/>
  <c r="L284" i="8"/>
  <c r="Y283" i="8"/>
  <c r="C282" i="12" s="1"/>
  <c r="X283" i="8"/>
  <c r="V283" i="8"/>
  <c r="T283" i="8"/>
  <c r="R283" i="8"/>
  <c r="P283" i="8"/>
  <c r="N283" i="8"/>
  <c r="L283" i="8"/>
  <c r="J283" i="8"/>
  <c r="Y282" i="8"/>
  <c r="C281" i="12" s="1"/>
  <c r="X282" i="8"/>
  <c r="V282" i="8"/>
  <c r="T282" i="8"/>
  <c r="R282" i="8"/>
  <c r="P282" i="8"/>
  <c r="N282" i="8"/>
  <c r="L282" i="8"/>
  <c r="J282" i="8"/>
  <c r="Y281" i="8"/>
  <c r="X281" i="8"/>
  <c r="V281" i="8"/>
  <c r="T281" i="8"/>
  <c r="R281" i="8"/>
  <c r="P281" i="8"/>
  <c r="N281" i="8"/>
  <c r="L281" i="8"/>
  <c r="J281" i="8"/>
  <c r="Y280" i="8"/>
  <c r="C279" i="12" s="1"/>
  <c r="X280" i="8"/>
  <c r="V280" i="8"/>
  <c r="T280" i="8"/>
  <c r="R280" i="8"/>
  <c r="P280" i="8"/>
  <c r="N280" i="8"/>
  <c r="L280" i="8"/>
  <c r="J280" i="8"/>
  <c r="Y279" i="8"/>
  <c r="C278" i="12" s="1"/>
  <c r="X279" i="8"/>
  <c r="V279" i="8"/>
  <c r="T279" i="8"/>
  <c r="R279" i="8"/>
  <c r="P279" i="8"/>
  <c r="N279" i="8"/>
  <c r="L279" i="8"/>
  <c r="J279" i="8"/>
  <c r="Y278" i="8"/>
  <c r="C277" i="12" s="1"/>
  <c r="X278" i="8"/>
  <c r="V278" i="8"/>
  <c r="T278" i="8"/>
  <c r="R278" i="8"/>
  <c r="P278" i="8"/>
  <c r="N278" i="8"/>
  <c r="L278" i="8"/>
  <c r="J278" i="8"/>
  <c r="Y277" i="8"/>
  <c r="C276" i="12" s="1"/>
  <c r="X277" i="8"/>
  <c r="V277" i="8"/>
  <c r="T277" i="8"/>
  <c r="R277" i="8"/>
  <c r="P277" i="8"/>
  <c r="N277" i="8"/>
  <c r="L277" i="8"/>
  <c r="J277" i="8"/>
  <c r="Y276" i="8"/>
  <c r="X276" i="8"/>
  <c r="V276" i="8"/>
  <c r="T276" i="8"/>
  <c r="R276" i="8"/>
  <c r="P276" i="8"/>
  <c r="N276" i="8"/>
  <c r="L276" i="8"/>
  <c r="J276" i="8"/>
  <c r="Y275" i="8"/>
  <c r="X275" i="8"/>
  <c r="V275" i="8"/>
  <c r="T275" i="8"/>
  <c r="R275" i="8"/>
  <c r="P275" i="8"/>
  <c r="N275" i="8"/>
  <c r="L275" i="8"/>
  <c r="J275" i="8"/>
  <c r="Y274" i="8"/>
  <c r="C273" i="12" s="1"/>
  <c r="X274" i="8"/>
  <c r="V274" i="8"/>
  <c r="T274" i="8"/>
  <c r="R274" i="8"/>
  <c r="P274" i="8"/>
  <c r="N274" i="8"/>
  <c r="L274" i="8"/>
  <c r="J274" i="8"/>
  <c r="Y273" i="8"/>
  <c r="C272" i="12" s="1"/>
  <c r="X273" i="8"/>
  <c r="V273" i="8"/>
  <c r="T273" i="8"/>
  <c r="R273" i="8"/>
  <c r="P273" i="8"/>
  <c r="N273" i="8"/>
  <c r="L273" i="8"/>
  <c r="J273" i="8"/>
  <c r="Y272" i="8"/>
  <c r="C271" i="12" s="1"/>
  <c r="X272" i="8"/>
  <c r="V272" i="8"/>
  <c r="T272" i="8"/>
  <c r="R272" i="8"/>
  <c r="P272" i="8"/>
  <c r="N272" i="8"/>
  <c r="L272" i="8"/>
  <c r="J272" i="8"/>
  <c r="Y271" i="8"/>
  <c r="X271" i="8"/>
  <c r="V271" i="8"/>
  <c r="T271" i="8"/>
  <c r="R271" i="8"/>
  <c r="P271" i="8"/>
  <c r="N271" i="8"/>
  <c r="L271" i="8"/>
  <c r="J271" i="8"/>
  <c r="Y270" i="8"/>
  <c r="X270" i="8"/>
  <c r="V270" i="8"/>
  <c r="T270" i="8"/>
  <c r="R270" i="8"/>
  <c r="P270" i="8"/>
  <c r="N270" i="8"/>
  <c r="L270" i="8"/>
  <c r="J270" i="8"/>
  <c r="Y269" i="8"/>
  <c r="C268" i="12" s="1"/>
  <c r="X269" i="8"/>
  <c r="V269" i="8"/>
  <c r="T269" i="8"/>
  <c r="R269" i="8"/>
  <c r="P269" i="8"/>
  <c r="N269" i="8"/>
  <c r="L269" i="8"/>
  <c r="J269" i="8"/>
  <c r="Y268" i="8"/>
  <c r="X268" i="8"/>
  <c r="V268" i="8"/>
  <c r="T268" i="8"/>
  <c r="R268" i="8"/>
  <c r="P268" i="8"/>
  <c r="N268" i="8"/>
  <c r="L268" i="8"/>
  <c r="J268" i="8"/>
  <c r="Y267" i="8"/>
  <c r="C266" i="12" s="1"/>
  <c r="X267" i="8"/>
  <c r="V267" i="8"/>
  <c r="T267" i="8"/>
  <c r="R267" i="8"/>
  <c r="P267" i="8"/>
  <c r="N267" i="8"/>
  <c r="L267" i="8"/>
  <c r="J267" i="8"/>
  <c r="Y266" i="8"/>
  <c r="C265" i="12" s="1"/>
  <c r="X266" i="8"/>
  <c r="V266" i="8"/>
  <c r="T266" i="8"/>
  <c r="R266" i="8"/>
  <c r="P266" i="8"/>
  <c r="N266" i="8"/>
  <c r="L266" i="8"/>
  <c r="J266" i="8"/>
  <c r="Y265" i="8"/>
  <c r="C264" i="12" s="1"/>
  <c r="X265" i="8"/>
  <c r="V265" i="8"/>
  <c r="T265" i="8"/>
  <c r="R265" i="8"/>
  <c r="P265" i="8"/>
  <c r="N265" i="8"/>
  <c r="L265" i="8"/>
  <c r="J265" i="8"/>
  <c r="Y264" i="8"/>
  <c r="C263" i="12" s="1"/>
  <c r="X264" i="8"/>
  <c r="V264" i="8"/>
  <c r="T264" i="8"/>
  <c r="R264" i="8"/>
  <c r="P264" i="8"/>
  <c r="N264" i="8"/>
  <c r="L264" i="8"/>
  <c r="J264" i="8"/>
  <c r="Y263" i="8"/>
  <c r="C262" i="12" s="1"/>
  <c r="X263" i="8"/>
  <c r="V263" i="8"/>
  <c r="T263" i="8"/>
  <c r="R263" i="8"/>
  <c r="P263" i="8"/>
  <c r="N263" i="8"/>
  <c r="L263" i="8"/>
  <c r="J263" i="8"/>
  <c r="Y262" i="8"/>
  <c r="C261" i="12" s="1"/>
  <c r="X262" i="8"/>
  <c r="V262" i="8"/>
  <c r="T262" i="8"/>
  <c r="R262" i="8"/>
  <c r="P262" i="8"/>
  <c r="N262" i="8"/>
  <c r="L262" i="8"/>
  <c r="J262" i="8"/>
  <c r="Y261" i="8"/>
  <c r="X261" i="8"/>
  <c r="V261" i="8"/>
  <c r="T261" i="8"/>
  <c r="R261" i="8"/>
  <c r="P261" i="8"/>
  <c r="N261" i="8"/>
  <c r="L261" i="8"/>
  <c r="J261" i="8"/>
  <c r="Y260" i="8"/>
  <c r="X260" i="8"/>
  <c r="V260" i="8"/>
  <c r="T260" i="8"/>
  <c r="R260" i="8"/>
  <c r="P260" i="8"/>
  <c r="N260" i="8"/>
  <c r="L260" i="8"/>
  <c r="J260" i="8"/>
  <c r="Y259" i="8"/>
  <c r="C258" i="12" s="1"/>
  <c r="X259" i="8"/>
  <c r="V259" i="8"/>
  <c r="T259" i="8"/>
  <c r="R259" i="8"/>
  <c r="P259" i="8"/>
  <c r="N259" i="8"/>
  <c r="L259" i="8"/>
  <c r="J259" i="8"/>
  <c r="Y258" i="8"/>
  <c r="X258" i="8"/>
  <c r="V258" i="8"/>
  <c r="T258" i="8"/>
  <c r="R258" i="8"/>
  <c r="P258" i="8"/>
  <c r="N258" i="8"/>
  <c r="L258" i="8"/>
  <c r="J258" i="8"/>
  <c r="Y257" i="8"/>
  <c r="C256" i="12" s="1"/>
  <c r="X257" i="8"/>
  <c r="V257" i="8"/>
  <c r="T257" i="8"/>
  <c r="R257" i="8"/>
  <c r="P257" i="8"/>
  <c r="N257" i="8"/>
  <c r="L257" i="8"/>
  <c r="J257" i="8"/>
  <c r="H257" i="8"/>
  <c r="Y256" i="8"/>
  <c r="C255" i="12" s="1"/>
  <c r="X256" i="8"/>
  <c r="V256" i="8"/>
  <c r="T256" i="8"/>
  <c r="R256" i="8"/>
  <c r="P256" i="8"/>
  <c r="N256" i="8"/>
  <c r="L256" i="8"/>
  <c r="J256" i="8"/>
  <c r="H256" i="8"/>
  <c r="Y255" i="8"/>
  <c r="X255" i="8"/>
  <c r="V255" i="8"/>
  <c r="T255" i="8"/>
  <c r="R255" i="8"/>
  <c r="P255" i="8"/>
  <c r="N255" i="8"/>
  <c r="L255" i="8"/>
  <c r="J255" i="8"/>
  <c r="H255" i="8"/>
  <c r="Y254" i="8"/>
  <c r="C253" i="12" s="1"/>
  <c r="X254" i="8"/>
  <c r="V254" i="8"/>
  <c r="T254" i="8"/>
  <c r="R254" i="8"/>
  <c r="P254" i="8"/>
  <c r="N254" i="8"/>
  <c r="L254" i="8"/>
  <c r="J254" i="8"/>
  <c r="H254" i="8"/>
  <c r="Y253" i="8"/>
  <c r="C252" i="12" s="1"/>
  <c r="X253" i="8"/>
  <c r="V253" i="8"/>
  <c r="T253" i="8"/>
  <c r="R253" i="8"/>
  <c r="P253" i="8"/>
  <c r="N253" i="8"/>
  <c r="L253" i="8"/>
  <c r="J253" i="8"/>
  <c r="H253" i="8"/>
  <c r="Y252" i="8"/>
  <c r="X252" i="8"/>
  <c r="V252" i="8"/>
  <c r="T252" i="8"/>
  <c r="R252" i="8"/>
  <c r="P252" i="8"/>
  <c r="N252" i="8"/>
  <c r="L252" i="8"/>
  <c r="J252" i="8"/>
  <c r="H252" i="8"/>
  <c r="Y251" i="8"/>
  <c r="C250" i="12" s="1"/>
  <c r="X251" i="8"/>
  <c r="V251" i="8"/>
  <c r="T251" i="8"/>
  <c r="R251" i="8"/>
  <c r="P251" i="8"/>
  <c r="N251" i="8"/>
  <c r="L251" i="8"/>
  <c r="J251" i="8"/>
  <c r="H251" i="8"/>
  <c r="Y250" i="8"/>
  <c r="C249" i="12" s="1"/>
  <c r="X250" i="8"/>
  <c r="V250" i="8"/>
  <c r="T250" i="8"/>
  <c r="R250" i="8"/>
  <c r="P250" i="8"/>
  <c r="N250" i="8"/>
  <c r="L250" i="8"/>
  <c r="J250" i="8"/>
  <c r="H250" i="8"/>
  <c r="Y249" i="8"/>
  <c r="C248" i="12" s="1"/>
  <c r="X249" i="8"/>
  <c r="V249" i="8"/>
  <c r="T249" i="8"/>
  <c r="R249" i="8"/>
  <c r="P249" i="8"/>
  <c r="N249" i="8"/>
  <c r="L249" i="8"/>
  <c r="J249" i="8"/>
  <c r="H249" i="8"/>
  <c r="Y248" i="8"/>
  <c r="C247" i="12" s="1"/>
  <c r="X248" i="8"/>
  <c r="V248" i="8"/>
  <c r="T248" i="8"/>
  <c r="R248" i="8"/>
  <c r="P248" i="8"/>
  <c r="N248" i="8"/>
  <c r="L248" i="8"/>
  <c r="J248" i="8"/>
  <c r="H248" i="8"/>
  <c r="Y247" i="8"/>
  <c r="X247" i="8"/>
  <c r="V247" i="8"/>
  <c r="T247" i="8"/>
  <c r="R247" i="8"/>
  <c r="P247" i="8"/>
  <c r="N247" i="8"/>
  <c r="L247" i="8"/>
  <c r="J247" i="8"/>
  <c r="H247" i="8"/>
  <c r="Y246" i="8"/>
  <c r="C245" i="12" s="1"/>
  <c r="X246" i="8"/>
  <c r="V246" i="8"/>
  <c r="T246" i="8"/>
  <c r="R246" i="8"/>
  <c r="P246" i="8"/>
  <c r="N246" i="8"/>
  <c r="L246" i="8"/>
  <c r="J246" i="8"/>
  <c r="H246" i="8"/>
  <c r="Y245" i="8"/>
  <c r="C244" i="12" s="1"/>
  <c r="X245" i="8"/>
  <c r="V245" i="8"/>
  <c r="T245" i="8"/>
  <c r="R245" i="8"/>
  <c r="P245" i="8"/>
  <c r="N245" i="8"/>
  <c r="L245" i="8"/>
  <c r="J245" i="8"/>
  <c r="H245" i="8"/>
  <c r="Y244" i="8"/>
  <c r="X244" i="8"/>
  <c r="V244" i="8"/>
  <c r="T244" i="8"/>
  <c r="R244" i="8"/>
  <c r="P244" i="8"/>
  <c r="N244" i="8"/>
  <c r="L244" i="8"/>
  <c r="J244" i="8"/>
  <c r="H244" i="8"/>
  <c r="Y243" i="8"/>
  <c r="C242" i="12" s="1"/>
  <c r="X243" i="8"/>
  <c r="V243" i="8"/>
  <c r="T243" i="8"/>
  <c r="R243" i="8"/>
  <c r="P243" i="8"/>
  <c r="N243" i="8"/>
  <c r="L243" i="8"/>
  <c r="J243" i="8"/>
  <c r="H243" i="8"/>
  <c r="Y242" i="8"/>
  <c r="C241" i="12" s="1"/>
  <c r="X242" i="8"/>
  <c r="V242" i="8"/>
  <c r="T242" i="8"/>
  <c r="R242" i="8"/>
  <c r="P242" i="8"/>
  <c r="N242" i="8"/>
  <c r="L242" i="8"/>
  <c r="J242" i="8"/>
  <c r="H242" i="8"/>
  <c r="Y241" i="8"/>
  <c r="X241" i="8"/>
  <c r="V241" i="8"/>
  <c r="T241" i="8"/>
  <c r="R241" i="8"/>
  <c r="P241" i="8"/>
  <c r="N241" i="8"/>
  <c r="L241" i="8"/>
  <c r="J241" i="8"/>
  <c r="H241" i="8"/>
  <c r="Y240" i="8"/>
  <c r="C239" i="12" s="1"/>
  <c r="X240" i="8"/>
  <c r="V240" i="8"/>
  <c r="T240" i="8"/>
  <c r="R240" i="8"/>
  <c r="P240" i="8"/>
  <c r="N240" i="8"/>
  <c r="L240" i="8"/>
  <c r="J240" i="8"/>
  <c r="H240" i="8"/>
  <c r="Y239" i="8"/>
  <c r="X239" i="8"/>
  <c r="V239" i="8"/>
  <c r="T239" i="8"/>
  <c r="R239" i="8"/>
  <c r="P239" i="8"/>
  <c r="N239" i="8"/>
  <c r="L239" i="8"/>
  <c r="J239" i="8"/>
  <c r="H239" i="8"/>
  <c r="Y238" i="8"/>
  <c r="C237" i="12" s="1"/>
  <c r="X238" i="8"/>
  <c r="V238" i="8"/>
  <c r="T238" i="8"/>
  <c r="R238" i="8"/>
  <c r="P238" i="8"/>
  <c r="N238" i="8"/>
  <c r="L238" i="8"/>
  <c r="J238" i="8"/>
  <c r="H238" i="8"/>
  <c r="Y237" i="8"/>
  <c r="C236" i="12" s="1"/>
  <c r="X237" i="8"/>
  <c r="V237" i="8"/>
  <c r="T237" i="8"/>
  <c r="R237" i="8"/>
  <c r="P237" i="8"/>
  <c r="N237" i="8"/>
  <c r="L237" i="8"/>
  <c r="J237" i="8"/>
  <c r="H237" i="8"/>
  <c r="Y236" i="8"/>
  <c r="X236" i="8"/>
  <c r="V236" i="8"/>
  <c r="T236" i="8"/>
  <c r="R236" i="8"/>
  <c r="P236" i="8"/>
  <c r="N236" i="8"/>
  <c r="L236" i="8"/>
  <c r="J236" i="8"/>
  <c r="H236" i="8"/>
  <c r="Y235" i="8"/>
  <c r="C234" i="12" s="1"/>
  <c r="X235" i="8"/>
  <c r="V235" i="8"/>
  <c r="T235" i="8"/>
  <c r="R235" i="8"/>
  <c r="P235" i="8"/>
  <c r="N235" i="8"/>
  <c r="L235" i="8"/>
  <c r="J235" i="8"/>
  <c r="H235" i="8"/>
  <c r="Y234" i="8"/>
  <c r="C233" i="12" s="1"/>
  <c r="X234" i="8"/>
  <c r="V234" i="8"/>
  <c r="T234" i="8"/>
  <c r="R234" i="8"/>
  <c r="P234" i="8"/>
  <c r="N234" i="8"/>
  <c r="L234" i="8"/>
  <c r="J234" i="8"/>
  <c r="H234" i="8"/>
  <c r="Y233" i="8"/>
  <c r="C232" i="12" s="1"/>
  <c r="X233" i="8"/>
  <c r="V233" i="8"/>
  <c r="T233" i="8"/>
  <c r="R233" i="8"/>
  <c r="P233" i="8"/>
  <c r="N233" i="8"/>
  <c r="L233" i="8"/>
  <c r="J233" i="8"/>
  <c r="H233" i="8"/>
  <c r="Y232" i="8"/>
  <c r="C231" i="12" s="1"/>
  <c r="X232" i="8"/>
  <c r="V232" i="8"/>
  <c r="T232" i="8"/>
  <c r="R232" i="8"/>
  <c r="P232" i="8"/>
  <c r="N232" i="8"/>
  <c r="L232" i="8"/>
  <c r="J232" i="8"/>
  <c r="H232" i="8"/>
  <c r="Y231" i="8"/>
  <c r="C230" i="12" s="1"/>
  <c r="X231" i="8"/>
  <c r="V231" i="8"/>
  <c r="T231" i="8"/>
  <c r="R231" i="8"/>
  <c r="P231" i="8"/>
  <c r="N231" i="8"/>
  <c r="L231" i="8"/>
  <c r="J231" i="8"/>
  <c r="H231" i="8"/>
  <c r="Y230" i="8"/>
  <c r="C229" i="12" s="1"/>
  <c r="X230" i="8"/>
  <c r="V230" i="8"/>
  <c r="T230" i="8"/>
  <c r="R230" i="8"/>
  <c r="P230" i="8"/>
  <c r="N230" i="8"/>
  <c r="L230" i="8"/>
  <c r="J230" i="8"/>
  <c r="H230" i="8"/>
  <c r="Y229" i="8"/>
  <c r="C228" i="12" s="1"/>
  <c r="X229" i="8"/>
  <c r="V229" i="8"/>
  <c r="T229" i="8"/>
  <c r="R229" i="8"/>
  <c r="P229" i="8"/>
  <c r="N229" i="8"/>
  <c r="L229" i="8"/>
  <c r="J229" i="8"/>
  <c r="H229" i="8"/>
  <c r="Y228" i="8"/>
  <c r="X228" i="8"/>
  <c r="V228" i="8"/>
  <c r="T228" i="8"/>
  <c r="R228" i="8"/>
  <c r="P228" i="8"/>
  <c r="N228" i="8"/>
  <c r="L228" i="8"/>
  <c r="J228" i="8"/>
  <c r="H228" i="8"/>
  <c r="Y227" i="8"/>
  <c r="X227" i="8"/>
  <c r="V227" i="8"/>
  <c r="T227" i="8"/>
  <c r="R227" i="8"/>
  <c r="P227" i="8"/>
  <c r="N227" i="8"/>
  <c r="L227" i="8"/>
  <c r="J227" i="8"/>
  <c r="H227" i="8"/>
  <c r="Y226" i="8"/>
  <c r="C225" i="12" s="1"/>
  <c r="X226" i="8"/>
  <c r="V226" i="8"/>
  <c r="T226" i="8"/>
  <c r="R226" i="8"/>
  <c r="Y225" i="8"/>
  <c r="C224" i="12" s="1"/>
  <c r="X225" i="8"/>
  <c r="V225" i="8"/>
  <c r="T225" i="8"/>
  <c r="R225" i="8"/>
  <c r="Y224" i="8"/>
  <c r="C223" i="12" s="1"/>
  <c r="X224" i="8"/>
  <c r="V224" i="8"/>
  <c r="T224" i="8"/>
  <c r="R224" i="8"/>
  <c r="P224" i="8"/>
  <c r="Y223" i="8"/>
  <c r="C222" i="12" s="1"/>
  <c r="X223" i="8"/>
  <c r="V223" i="8"/>
  <c r="T223" i="8"/>
  <c r="R223" i="8"/>
  <c r="P223" i="8"/>
  <c r="Y222" i="8"/>
  <c r="C221" i="12" s="1"/>
  <c r="X222" i="8"/>
  <c r="V222" i="8"/>
  <c r="T222" i="8"/>
  <c r="R222" i="8"/>
  <c r="P222" i="8"/>
  <c r="Y221" i="8"/>
  <c r="C220" i="12" s="1"/>
  <c r="X221" i="8"/>
  <c r="V221" i="8"/>
  <c r="T221" i="8"/>
  <c r="R221" i="8"/>
  <c r="P221" i="8"/>
  <c r="Y220" i="8"/>
  <c r="C219" i="12" s="1"/>
  <c r="X220" i="8"/>
  <c r="V220" i="8"/>
  <c r="T220" i="8"/>
  <c r="R220" i="8"/>
  <c r="P220" i="8"/>
  <c r="Y219" i="8"/>
  <c r="X219" i="8"/>
  <c r="V219" i="8"/>
  <c r="T219" i="8"/>
  <c r="R219" i="8"/>
  <c r="P219" i="8"/>
  <c r="Y218" i="8"/>
  <c r="C217" i="12" s="1"/>
  <c r="X218" i="8"/>
  <c r="V218" i="8"/>
  <c r="T218" i="8"/>
  <c r="R218" i="8"/>
  <c r="P218" i="8"/>
  <c r="N218" i="8"/>
  <c r="Y217" i="8"/>
  <c r="C216" i="12" s="1"/>
  <c r="X217" i="8"/>
  <c r="V217" i="8"/>
  <c r="T217" i="8"/>
  <c r="R217" i="8"/>
  <c r="P217" i="8"/>
  <c r="N217" i="8"/>
  <c r="Y216" i="8"/>
  <c r="X216" i="8"/>
  <c r="V216" i="8"/>
  <c r="T216" i="8"/>
  <c r="R216" i="8"/>
  <c r="P216" i="8"/>
  <c r="N216" i="8"/>
  <c r="Y215" i="8"/>
  <c r="C214" i="12" s="1"/>
  <c r="X215" i="8"/>
  <c r="V215" i="8"/>
  <c r="T215" i="8"/>
  <c r="R215" i="8"/>
  <c r="P215" i="8"/>
  <c r="N215" i="8"/>
  <c r="Y214" i="8"/>
  <c r="C213" i="12" s="1"/>
  <c r="X214" i="8"/>
  <c r="V214" i="8"/>
  <c r="T214" i="8"/>
  <c r="R214" i="8"/>
  <c r="P214" i="8"/>
  <c r="N214" i="8"/>
  <c r="Y213" i="8"/>
  <c r="C212" i="12" s="1"/>
  <c r="X213" i="8"/>
  <c r="V213" i="8"/>
  <c r="T213" i="8"/>
  <c r="R213" i="8"/>
  <c r="P213" i="8"/>
  <c r="N213" i="8"/>
  <c r="L213" i="8"/>
  <c r="Y212" i="8"/>
  <c r="C211" i="12" s="1"/>
  <c r="X212" i="8"/>
  <c r="V212" i="8"/>
  <c r="T212" i="8"/>
  <c r="R212" i="8"/>
  <c r="P212" i="8"/>
  <c r="N212" i="8"/>
  <c r="L212" i="8"/>
  <c r="Y211" i="8"/>
  <c r="X211" i="8"/>
  <c r="V211" i="8"/>
  <c r="T211" i="8"/>
  <c r="R211" i="8"/>
  <c r="P211" i="8"/>
  <c r="N211" i="8"/>
  <c r="L211" i="8"/>
  <c r="Y210" i="8"/>
  <c r="C209" i="12" s="1"/>
  <c r="X210" i="8"/>
  <c r="V210" i="8"/>
  <c r="T210" i="8"/>
  <c r="R210" i="8"/>
  <c r="P210" i="8"/>
  <c r="N210" i="8"/>
  <c r="L210" i="8"/>
  <c r="Y209" i="8"/>
  <c r="X209" i="8"/>
  <c r="V209" i="8"/>
  <c r="T209" i="8"/>
  <c r="R209" i="8"/>
  <c r="P209" i="8"/>
  <c r="N209" i="8"/>
  <c r="L209" i="8"/>
  <c r="Y208" i="8"/>
  <c r="C207" i="12" s="1"/>
  <c r="X208" i="8"/>
  <c r="V208" i="8"/>
  <c r="T208" i="8"/>
  <c r="R208" i="8"/>
  <c r="P208" i="8"/>
  <c r="N208" i="8"/>
  <c r="L208" i="8"/>
  <c r="Y207" i="8"/>
  <c r="C206" i="12" s="1"/>
  <c r="X207" i="8"/>
  <c r="V207" i="8"/>
  <c r="T207" i="8"/>
  <c r="R207" i="8"/>
  <c r="P207" i="8"/>
  <c r="N207" i="8"/>
  <c r="L207" i="8"/>
  <c r="Y206" i="8"/>
  <c r="X206" i="8"/>
  <c r="V206" i="8"/>
  <c r="T206" i="8"/>
  <c r="R206" i="8"/>
  <c r="P206" i="8"/>
  <c r="N206" i="8"/>
  <c r="L206" i="8"/>
  <c r="Y205" i="8"/>
  <c r="C204" i="12" s="1"/>
  <c r="X205" i="8"/>
  <c r="V205" i="8"/>
  <c r="T205" i="8"/>
  <c r="R205" i="8"/>
  <c r="P205" i="8"/>
  <c r="N205" i="8"/>
  <c r="L205" i="8"/>
  <c r="Y204" i="8"/>
  <c r="C203" i="12" s="1"/>
  <c r="X204" i="8"/>
  <c r="V204" i="8"/>
  <c r="T204" i="8"/>
  <c r="R204" i="8"/>
  <c r="P204" i="8"/>
  <c r="N204" i="8"/>
  <c r="L204" i="8"/>
  <c r="Y203" i="8"/>
  <c r="X203" i="8"/>
  <c r="V203" i="8"/>
  <c r="T203" i="8"/>
  <c r="R203" i="8"/>
  <c r="P203" i="8"/>
  <c r="N203" i="8"/>
  <c r="L203" i="8"/>
  <c r="J203" i="8"/>
  <c r="Y202" i="8"/>
  <c r="X202" i="8"/>
  <c r="V202" i="8"/>
  <c r="T202" i="8"/>
  <c r="R202" i="8"/>
  <c r="P202" i="8"/>
  <c r="N202" i="8"/>
  <c r="L202" i="8"/>
  <c r="J202" i="8"/>
  <c r="Y201" i="8"/>
  <c r="C200" i="12" s="1"/>
  <c r="X201" i="8"/>
  <c r="V201" i="8"/>
  <c r="T201" i="8"/>
  <c r="R201" i="8"/>
  <c r="P201" i="8"/>
  <c r="N201" i="8"/>
  <c r="L201" i="8"/>
  <c r="J201" i="8"/>
  <c r="Y200" i="8"/>
  <c r="X200" i="8"/>
  <c r="V200" i="8"/>
  <c r="T200" i="8"/>
  <c r="R200" i="8"/>
  <c r="P200" i="8"/>
  <c r="N200" i="8"/>
  <c r="L200" i="8"/>
  <c r="J200" i="8"/>
  <c r="Y199" i="8"/>
  <c r="C198" i="12" s="1"/>
  <c r="X199" i="8"/>
  <c r="V199" i="8"/>
  <c r="T199" i="8"/>
  <c r="R199" i="8"/>
  <c r="P199" i="8"/>
  <c r="N199" i="8"/>
  <c r="L199" i="8"/>
  <c r="J199" i="8"/>
  <c r="Y198" i="8"/>
  <c r="C197" i="12" s="1"/>
  <c r="X198" i="8"/>
  <c r="V198" i="8"/>
  <c r="T198" i="8"/>
  <c r="R198" i="8"/>
  <c r="P198" i="8"/>
  <c r="N198" i="8"/>
  <c r="L198" i="8"/>
  <c r="J198" i="8"/>
  <c r="Y197" i="8"/>
  <c r="X197" i="8"/>
  <c r="V197" i="8"/>
  <c r="T197" i="8"/>
  <c r="R197" i="8"/>
  <c r="P197" i="8"/>
  <c r="N197" i="8"/>
  <c r="L197" i="8"/>
  <c r="J197" i="8"/>
  <c r="Y196" i="8"/>
  <c r="C195" i="12" s="1"/>
  <c r="X196" i="8"/>
  <c r="V196" i="8"/>
  <c r="T196" i="8"/>
  <c r="R196" i="8"/>
  <c r="P196" i="8"/>
  <c r="N196" i="8"/>
  <c r="L196" i="8"/>
  <c r="J196" i="8"/>
  <c r="Y195" i="8"/>
  <c r="C194" i="12" s="1"/>
  <c r="X195" i="8"/>
  <c r="V195" i="8"/>
  <c r="T195" i="8"/>
  <c r="R195" i="8"/>
  <c r="P195" i="8"/>
  <c r="N195" i="8"/>
  <c r="L195" i="8"/>
  <c r="J195" i="8"/>
  <c r="Y194" i="8"/>
  <c r="X194" i="8"/>
  <c r="V194" i="8"/>
  <c r="T194" i="8"/>
  <c r="R194" i="8"/>
  <c r="P194" i="8"/>
  <c r="N194" i="8"/>
  <c r="L194" i="8"/>
  <c r="J194" i="8"/>
  <c r="Y193" i="8"/>
  <c r="C192" i="12" s="1"/>
  <c r="X193" i="8"/>
  <c r="V193" i="8"/>
  <c r="T193" i="8"/>
  <c r="R193" i="8"/>
  <c r="P193" i="8"/>
  <c r="N193" i="8"/>
  <c r="L193" i="8"/>
  <c r="J193" i="8"/>
  <c r="Y192" i="8"/>
  <c r="X192" i="8"/>
  <c r="V192" i="8"/>
  <c r="T192" i="8"/>
  <c r="R192" i="8"/>
  <c r="P192" i="8"/>
  <c r="N192" i="8"/>
  <c r="L192" i="8"/>
  <c r="J192" i="8"/>
  <c r="Y191" i="8"/>
  <c r="C190" i="12" s="1"/>
  <c r="X191" i="8"/>
  <c r="V191" i="8"/>
  <c r="T191" i="8"/>
  <c r="R191" i="8"/>
  <c r="P191" i="8"/>
  <c r="N191" i="8"/>
  <c r="L191" i="8"/>
  <c r="J191" i="8"/>
  <c r="Y190" i="8"/>
  <c r="X190" i="8"/>
  <c r="V190" i="8"/>
  <c r="T190" i="8"/>
  <c r="R190" i="8"/>
  <c r="Y189" i="8"/>
  <c r="C188" i="12" s="1"/>
  <c r="X189" i="8"/>
  <c r="V189" i="8"/>
  <c r="T189" i="8"/>
  <c r="R189" i="8"/>
  <c r="Y188" i="8"/>
  <c r="C187" i="12" s="1"/>
  <c r="X188" i="8"/>
  <c r="V188" i="8"/>
  <c r="T188" i="8"/>
  <c r="R188" i="8"/>
  <c r="Y187" i="8"/>
  <c r="X187" i="8"/>
  <c r="V187" i="8"/>
  <c r="T187" i="8"/>
  <c r="R187" i="8"/>
  <c r="Y186" i="8"/>
  <c r="C185" i="12" s="1"/>
  <c r="X186" i="8"/>
  <c r="V186" i="8"/>
  <c r="T186" i="8"/>
  <c r="R186" i="8"/>
  <c r="Y185" i="8"/>
  <c r="C184" i="12" s="1"/>
  <c r="X185" i="8"/>
  <c r="V185" i="8"/>
  <c r="T185" i="8"/>
  <c r="R185" i="8"/>
  <c r="Y184" i="8"/>
  <c r="X184" i="8"/>
  <c r="V184" i="8"/>
  <c r="T184" i="8"/>
  <c r="R184" i="8"/>
  <c r="P184" i="8"/>
  <c r="Y183" i="8"/>
  <c r="C182" i="12" s="1"/>
  <c r="X183" i="8"/>
  <c r="V183" i="8"/>
  <c r="T183" i="8"/>
  <c r="R183" i="8"/>
  <c r="P183" i="8"/>
  <c r="Y182" i="8"/>
  <c r="C181" i="12" s="1"/>
  <c r="X182" i="8"/>
  <c r="V182" i="8"/>
  <c r="T182" i="8"/>
  <c r="R182" i="8"/>
  <c r="P182" i="8"/>
  <c r="Y181" i="8"/>
  <c r="C180" i="12" s="1"/>
  <c r="X181" i="8"/>
  <c r="V181" i="8"/>
  <c r="T181" i="8"/>
  <c r="R181" i="8"/>
  <c r="P181" i="8"/>
  <c r="Y180" i="8"/>
  <c r="C179" i="12" s="1"/>
  <c r="X180" i="8"/>
  <c r="V180" i="8"/>
  <c r="T180" i="8"/>
  <c r="R180" i="8"/>
  <c r="P180" i="8"/>
  <c r="Y179" i="8"/>
  <c r="X179" i="8"/>
  <c r="V179" i="8"/>
  <c r="T179" i="8"/>
  <c r="R179" i="8"/>
  <c r="P179" i="8"/>
  <c r="Y178" i="8"/>
  <c r="X178" i="8"/>
  <c r="V178" i="8"/>
  <c r="T178" i="8"/>
  <c r="R178" i="8"/>
  <c r="P178" i="8"/>
  <c r="Y177" i="8"/>
  <c r="C176" i="12" s="1"/>
  <c r="X177" i="8"/>
  <c r="V177" i="8"/>
  <c r="T177" i="8"/>
  <c r="R177" i="8"/>
  <c r="P177" i="8"/>
  <c r="N177" i="8"/>
  <c r="Y176" i="8"/>
  <c r="C175" i="12" s="1"/>
  <c r="X176" i="8"/>
  <c r="V176" i="8"/>
  <c r="T176" i="8"/>
  <c r="R176" i="8"/>
  <c r="P176" i="8"/>
  <c r="N176" i="8"/>
  <c r="Y175" i="8"/>
  <c r="C174" i="12" s="1"/>
  <c r="X175" i="8"/>
  <c r="V175" i="8"/>
  <c r="T175" i="8"/>
  <c r="R175" i="8"/>
  <c r="P175" i="8"/>
  <c r="N175" i="8"/>
  <c r="Y174" i="8"/>
  <c r="X174" i="8"/>
  <c r="V174" i="8"/>
  <c r="T174" i="8"/>
  <c r="R174" i="8"/>
  <c r="P174" i="8"/>
  <c r="N174" i="8"/>
  <c r="Y173" i="8"/>
  <c r="C172" i="12" s="1"/>
  <c r="X173" i="8"/>
  <c r="V173" i="8"/>
  <c r="T173" i="8"/>
  <c r="R173" i="8"/>
  <c r="P173" i="8"/>
  <c r="N173" i="8"/>
  <c r="Y172" i="8"/>
  <c r="X172" i="8"/>
  <c r="V172" i="8"/>
  <c r="T172" i="8"/>
  <c r="R172" i="8"/>
  <c r="P172" i="8"/>
  <c r="N172" i="8"/>
  <c r="Y171" i="8"/>
  <c r="X171" i="8"/>
  <c r="V171" i="8"/>
  <c r="T171" i="8"/>
  <c r="R171" i="8"/>
  <c r="P171" i="8"/>
  <c r="N171" i="8"/>
  <c r="Y170" i="8"/>
  <c r="X170" i="8"/>
  <c r="V170" i="8"/>
  <c r="T170" i="8"/>
  <c r="R170" i="8"/>
  <c r="P170" i="8"/>
  <c r="N170" i="8"/>
  <c r="Y169" i="8"/>
  <c r="X169" i="8"/>
  <c r="V169" i="8"/>
  <c r="T169" i="8"/>
  <c r="R169" i="8"/>
  <c r="P169" i="8"/>
  <c r="N169" i="8"/>
  <c r="Y168" i="8"/>
  <c r="C167" i="12" s="1"/>
  <c r="X168" i="8"/>
  <c r="V168" i="8"/>
  <c r="T168" i="8"/>
  <c r="R168" i="8"/>
  <c r="P168" i="8"/>
  <c r="N168" i="8"/>
  <c r="Y167" i="8"/>
  <c r="C166" i="12" s="1"/>
  <c r="X167" i="8"/>
  <c r="V167" i="8"/>
  <c r="T167" i="8"/>
  <c r="R167" i="8"/>
  <c r="P167" i="8"/>
  <c r="N167" i="8"/>
  <c r="Y166" i="8"/>
  <c r="C165" i="12" s="1"/>
  <c r="X166" i="8"/>
  <c r="V166" i="8"/>
  <c r="T166" i="8"/>
  <c r="R166" i="8"/>
  <c r="P166" i="8"/>
  <c r="N166" i="8"/>
  <c r="L166" i="8"/>
  <c r="Y165" i="8"/>
  <c r="X165" i="8"/>
  <c r="V165" i="8"/>
  <c r="T165" i="8"/>
  <c r="R165" i="8"/>
  <c r="P165" i="8"/>
  <c r="N165" i="8"/>
  <c r="L165" i="8"/>
  <c r="Y164" i="8"/>
  <c r="C163" i="12" s="1"/>
  <c r="X164" i="8"/>
  <c r="V164" i="8"/>
  <c r="T164" i="8"/>
  <c r="R164" i="8"/>
  <c r="P164" i="8"/>
  <c r="N164" i="8"/>
  <c r="L164" i="8"/>
  <c r="Y163" i="8"/>
  <c r="C162" i="12" s="1"/>
  <c r="X163" i="8"/>
  <c r="V163" i="8"/>
  <c r="T163" i="8"/>
  <c r="R163" i="8"/>
  <c r="P163" i="8"/>
  <c r="N163" i="8"/>
  <c r="L163" i="8"/>
  <c r="Y162" i="8"/>
  <c r="C161" i="12" s="1"/>
  <c r="X162" i="8"/>
  <c r="V162" i="8"/>
  <c r="T162" i="8"/>
  <c r="R162" i="8"/>
  <c r="P162" i="8"/>
  <c r="N162" i="8"/>
  <c r="L162" i="8"/>
  <c r="Y161" i="8"/>
  <c r="X161" i="8"/>
  <c r="V161" i="8"/>
  <c r="T161" i="8"/>
  <c r="R161" i="8"/>
  <c r="P161" i="8"/>
  <c r="N161" i="8"/>
  <c r="L161" i="8"/>
  <c r="Y160" i="8"/>
  <c r="X160" i="8"/>
  <c r="V160" i="8"/>
  <c r="T160" i="8"/>
  <c r="R160" i="8"/>
  <c r="P160" i="8"/>
  <c r="N160" i="8"/>
  <c r="L160" i="8"/>
  <c r="Y159" i="8"/>
  <c r="C158" i="12" s="1"/>
  <c r="X159" i="8"/>
  <c r="V159" i="8"/>
  <c r="T159" i="8"/>
  <c r="R159" i="8"/>
  <c r="P159" i="8"/>
  <c r="N159" i="8"/>
  <c r="L159" i="8"/>
  <c r="J159" i="8"/>
  <c r="Y158" i="8"/>
  <c r="X158" i="8"/>
  <c r="V158" i="8"/>
  <c r="T158" i="8"/>
  <c r="R158" i="8"/>
  <c r="P158" i="8"/>
  <c r="N158" i="8"/>
  <c r="L158" i="8"/>
  <c r="J158" i="8"/>
  <c r="Y157" i="8"/>
  <c r="C156" i="12" s="1"/>
  <c r="X157" i="8"/>
  <c r="V157" i="8"/>
  <c r="T157" i="8"/>
  <c r="R157" i="8"/>
  <c r="P157" i="8"/>
  <c r="N157" i="8"/>
  <c r="L157" i="8"/>
  <c r="J157" i="8"/>
  <c r="Y156" i="8"/>
  <c r="C155" i="12" s="1"/>
  <c r="X156" i="8"/>
  <c r="V156" i="8"/>
  <c r="T156" i="8"/>
  <c r="R156" i="8"/>
  <c r="P156" i="8"/>
  <c r="N156" i="8"/>
  <c r="L156" i="8"/>
  <c r="J156" i="8"/>
  <c r="Y155" i="8"/>
  <c r="X155" i="8"/>
  <c r="V155" i="8"/>
  <c r="T155" i="8"/>
  <c r="R155" i="8"/>
  <c r="P155" i="8"/>
  <c r="N155" i="8"/>
  <c r="L155" i="8"/>
  <c r="J155" i="8"/>
  <c r="Y154" i="8"/>
  <c r="C153" i="12" s="1"/>
  <c r="X154" i="8"/>
  <c r="V154" i="8"/>
  <c r="T154" i="8"/>
  <c r="R154" i="8"/>
  <c r="P154" i="8"/>
  <c r="N154" i="8"/>
  <c r="L154" i="8"/>
  <c r="J154" i="8"/>
  <c r="Y153" i="8"/>
  <c r="C152" i="12" s="1"/>
  <c r="X153" i="8"/>
  <c r="V153" i="8"/>
  <c r="T153" i="8"/>
  <c r="R153" i="8"/>
  <c r="P153" i="8"/>
  <c r="N153" i="8"/>
  <c r="L153" i="8"/>
  <c r="J153" i="8"/>
  <c r="Y152" i="8"/>
  <c r="X152" i="8"/>
  <c r="V152" i="8"/>
  <c r="T152" i="8"/>
  <c r="R152" i="8"/>
  <c r="P152" i="8"/>
  <c r="N152" i="8"/>
  <c r="L152" i="8"/>
  <c r="J152" i="8"/>
  <c r="Y151" i="8"/>
  <c r="C150" i="12" s="1"/>
  <c r="X151" i="8"/>
  <c r="V151" i="8"/>
  <c r="T151" i="8"/>
  <c r="R151" i="8"/>
  <c r="P151" i="8"/>
  <c r="N151" i="8"/>
  <c r="L151" i="8"/>
  <c r="J151" i="8"/>
  <c r="Y150" i="8"/>
  <c r="C149" i="12" s="1"/>
  <c r="X150" i="8"/>
  <c r="V150" i="8"/>
  <c r="T150" i="8"/>
  <c r="R150" i="8"/>
  <c r="P150" i="8"/>
  <c r="N150" i="8"/>
  <c r="L150" i="8"/>
  <c r="J150" i="8"/>
  <c r="Y149" i="8"/>
  <c r="C148" i="12" s="1"/>
  <c r="X149" i="8"/>
  <c r="V149" i="8"/>
  <c r="T149" i="8"/>
  <c r="R149" i="8"/>
  <c r="P149" i="8"/>
  <c r="N149" i="8"/>
  <c r="L149" i="8"/>
  <c r="J149" i="8"/>
  <c r="Y148" i="8"/>
  <c r="C147" i="12" s="1"/>
  <c r="X148" i="8"/>
  <c r="V148" i="8"/>
  <c r="T148" i="8"/>
  <c r="R148" i="8"/>
  <c r="P148" i="8"/>
  <c r="N148" i="8"/>
  <c r="L148" i="8"/>
  <c r="J148" i="8"/>
  <c r="Y147" i="8"/>
  <c r="C146" i="12" s="1"/>
  <c r="X147" i="8"/>
  <c r="V147" i="8"/>
  <c r="T147" i="8"/>
  <c r="R147" i="8"/>
  <c r="P147" i="8"/>
  <c r="N147" i="8"/>
  <c r="L147" i="8"/>
  <c r="J147" i="8"/>
  <c r="Y146" i="8"/>
  <c r="C145" i="12" s="1"/>
  <c r="X146" i="8"/>
  <c r="V146" i="8"/>
  <c r="T146" i="8"/>
  <c r="R146" i="8"/>
  <c r="P146" i="8"/>
  <c r="N146" i="8"/>
  <c r="L146" i="8"/>
  <c r="J146" i="8"/>
  <c r="Y145" i="8"/>
  <c r="C144" i="12" s="1"/>
  <c r="X145" i="8"/>
  <c r="V145" i="8"/>
  <c r="T145" i="8"/>
  <c r="R145" i="8"/>
  <c r="P145" i="8"/>
  <c r="N145" i="8"/>
  <c r="L145" i="8"/>
  <c r="J145" i="8"/>
  <c r="Y144" i="8"/>
  <c r="C143" i="12" s="1"/>
  <c r="X144" i="8"/>
  <c r="V144" i="8"/>
  <c r="T144" i="8"/>
  <c r="R144" i="8"/>
  <c r="P144" i="8"/>
  <c r="N144" i="8"/>
  <c r="L144" i="8"/>
  <c r="J144" i="8"/>
  <c r="Y143" i="8"/>
  <c r="C142" i="12" s="1"/>
  <c r="X143" i="8"/>
  <c r="V143" i="8"/>
  <c r="T143" i="8"/>
  <c r="R143" i="8"/>
  <c r="P143" i="8"/>
  <c r="N143" i="8"/>
  <c r="L143" i="8"/>
  <c r="J143" i="8"/>
  <c r="Y142" i="8"/>
  <c r="X142" i="8"/>
  <c r="V142" i="8"/>
  <c r="T142" i="8"/>
  <c r="R142" i="8"/>
  <c r="P142" i="8"/>
  <c r="N142" i="8"/>
  <c r="L142" i="8"/>
  <c r="J142" i="8"/>
  <c r="Y141" i="8"/>
  <c r="C140" i="12" s="1"/>
  <c r="X141" i="8"/>
  <c r="V141" i="8"/>
  <c r="T141" i="8"/>
  <c r="R141" i="8"/>
  <c r="P141" i="8"/>
  <c r="N141" i="8"/>
  <c r="L141" i="8"/>
  <c r="J141" i="8"/>
  <c r="Y140" i="8"/>
  <c r="C139" i="12" s="1"/>
  <c r="X140" i="8"/>
  <c r="V140" i="8"/>
  <c r="T140" i="8"/>
  <c r="R140" i="8"/>
  <c r="P140" i="8"/>
  <c r="N140" i="8"/>
  <c r="L140" i="8"/>
  <c r="J140" i="8"/>
  <c r="Y139" i="8"/>
  <c r="X139" i="8"/>
  <c r="V139" i="8"/>
  <c r="T139" i="8"/>
  <c r="R139" i="8"/>
  <c r="P139" i="8"/>
  <c r="N139" i="8"/>
  <c r="L139" i="8"/>
  <c r="J139" i="8"/>
  <c r="Y138" i="8"/>
  <c r="C137" i="12" s="1"/>
  <c r="X138" i="8"/>
  <c r="V138" i="8"/>
  <c r="T138" i="8"/>
  <c r="R138" i="8"/>
  <c r="P138" i="8"/>
  <c r="N138" i="8"/>
  <c r="L138" i="8"/>
  <c r="J138" i="8"/>
  <c r="Y137" i="8"/>
  <c r="C136" i="12" s="1"/>
  <c r="X137" i="8"/>
  <c r="V137" i="8"/>
  <c r="T137" i="8"/>
  <c r="R137" i="8"/>
  <c r="P137" i="8"/>
  <c r="N137" i="8"/>
  <c r="L137" i="8"/>
  <c r="J137" i="8"/>
  <c r="Y136" i="8"/>
  <c r="X136" i="8"/>
  <c r="V136" i="8"/>
  <c r="T136" i="8"/>
  <c r="R136" i="8"/>
  <c r="P136" i="8"/>
  <c r="N136" i="8"/>
  <c r="L136" i="8"/>
  <c r="J136" i="8"/>
  <c r="Y135" i="8"/>
  <c r="C134" i="12" s="1"/>
  <c r="X135" i="8"/>
  <c r="V135" i="8"/>
  <c r="T135" i="8"/>
  <c r="R135" i="8"/>
  <c r="P135" i="8"/>
  <c r="N135" i="8"/>
  <c r="L135" i="8"/>
  <c r="J135" i="8"/>
  <c r="Y134" i="8"/>
  <c r="C133" i="12" s="1"/>
  <c r="X134" i="8"/>
  <c r="V134" i="8"/>
  <c r="T134" i="8"/>
  <c r="R134" i="8"/>
  <c r="P134" i="8"/>
  <c r="N134" i="8"/>
  <c r="L134" i="8"/>
  <c r="J134" i="8"/>
  <c r="Y133" i="8"/>
  <c r="C132" i="12" s="1"/>
  <c r="X133" i="8"/>
  <c r="V133" i="8"/>
  <c r="T133" i="8"/>
  <c r="R133" i="8"/>
  <c r="P133" i="8"/>
  <c r="Y132" i="8"/>
  <c r="C131" i="12" s="1"/>
  <c r="X132" i="8"/>
  <c r="V132" i="8"/>
  <c r="T132" i="8"/>
  <c r="R132" i="8"/>
  <c r="P132" i="8"/>
  <c r="Y131" i="8"/>
  <c r="X131" i="8"/>
  <c r="V131" i="8"/>
  <c r="T131" i="8"/>
  <c r="R131" i="8"/>
  <c r="P131" i="8"/>
  <c r="N131" i="8"/>
  <c r="Y130" i="8"/>
  <c r="C129" i="12" s="1"/>
  <c r="X130" i="8"/>
  <c r="V130" i="8"/>
  <c r="T130" i="8"/>
  <c r="R130" i="8"/>
  <c r="P130" i="8"/>
  <c r="N130" i="8"/>
  <c r="Y129" i="8"/>
  <c r="C128" i="12" s="1"/>
  <c r="X129" i="8"/>
  <c r="V129" i="8"/>
  <c r="T129" i="8"/>
  <c r="R129" i="8"/>
  <c r="P129" i="8"/>
  <c r="N129" i="8"/>
  <c r="Y128" i="8"/>
  <c r="C127" i="12" s="1"/>
  <c r="X128" i="8"/>
  <c r="V128" i="8"/>
  <c r="T128" i="8"/>
  <c r="R128" i="8"/>
  <c r="P128" i="8"/>
  <c r="N128" i="8"/>
  <c r="Y127" i="8"/>
  <c r="X127" i="8"/>
  <c r="V127" i="8"/>
  <c r="T127" i="8"/>
  <c r="R127" i="8"/>
  <c r="P127" i="8"/>
  <c r="N127" i="8"/>
  <c r="Y126" i="8"/>
  <c r="X126" i="8"/>
  <c r="V126" i="8"/>
  <c r="T126" i="8"/>
  <c r="R126" i="8"/>
  <c r="P126" i="8"/>
  <c r="N126" i="8"/>
  <c r="Y125" i="8"/>
  <c r="C124" i="12" s="1"/>
  <c r="X125" i="8"/>
  <c r="V125" i="8"/>
  <c r="T125" i="8"/>
  <c r="R125" i="8"/>
  <c r="P125" i="8"/>
  <c r="N125" i="8"/>
  <c r="L125" i="8"/>
  <c r="Y124" i="8"/>
  <c r="C123" i="12" s="1"/>
  <c r="X124" i="8"/>
  <c r="V124" i="8"/>
  <c r="T124" i="8"/>
  <c r="R124" i="8"/>
  <c r="P124" i="8"/>
  <c r="N124" i="8"/>
  <c r="L124" i="8"/>
  <c r="Y123" i="8"/>
  <c r="X123" i="8"/>
  <c r="V123" i="8"/>
  <c r="T123" i="8"/>
  <c r="R123" i="8"/>
  <c r="P123" i="8"/>
  <c r="N123" i="8"/>
  <c r="L123" i="8"/>
  <c r="Y122" i="8"/>
  <c r="C121" i="12" s="1"/>
  <c r="X122" i="8"/>
  <c r="V122" i="8"/>
  <c r="T122" i="8"/>
  <c r="R122" i="8"/>
  <c r="P122" i="8"/>
  <c r="N122" i="8"/>
  <c r="L122" i="8"/>
  <c r="Y121" i="8"/>
  <c r="X121" i="8"/>
  <c r="V121" i="8"/>
  <c r="T121" i="8"/>
  <c r="R121" i="8"/>
  <c r="P121" i="8"/>
  <c r="N121" i="8"/>
  <c r="L121" i="8"/>
  <c r="Y120" i="8"/>
  <c r="X120" i="8"/>
  <c r="V120" i="8"/>
  <c r="T120" i="8"/>
  <c r="R120" i="8"/>
  <c r="P120" i="8"/>
  <c r="N120" i="8"/>
  <c r="L120" i="8"/>
  <c r="J120" i="8"/>
  <c r="Y119" i="8"/>
  <c r="C118" i="12" s="1"/>
  <c r="X119" i="8"/>
  <c r="V119" i="8"/>
  <c r="T119" i="8"/>
  <c r="R119" i="8"/>
  <c r="P119" i="8"/>
  <c r="N119" i="8"/>
  <c r="L119" i="8"/>
  <c r="J119" i="8"/>
  <c r="Y118" i="8"/>
  <c r="C117" i="12" s="1"/>
  <c r="X118" i="8"/>
  <c r="V118" i="8"/>
  <c r="T118" i="8"/>
  <c r="R118" i="8"/>
  <c r="P118" i="8"/>
  <c r="N118" i="8"/>
  <c r="L118" i="8"/>
  <c r="J118" i="8"/>
  <c r="Y117" i="8"/>
  <c r="C116" i="12" s="1"/>
  <c r="X117" i="8"/>
  <c r="V117" i="8"/>
  <c r="T117" i="8"/>
  <c r="R117" i="8"/>
  <c r="P117" i="8"/>
  <c r="N117" i="8"/>
  <c r="L117" i="8"/>
  <c r="J117" i="8"/>
  <c r="Y116" i="8"/>
  <c r="C115" i="12" s="1"/>
  <c r="X116" i="8"/>
  <c r="V116" i="8"/>
  <c r="T116" i="8"/>
  <c r="R116" i="8"/>
  <c r="P116" i="8"/>
  <c r="N116" i="8"/>
  <c r="L116" i="8"/>
  <c r="J116" i="8"/>
  <c r="Y115" i="8"/>
  <c r="C114" i="12" s="1"/>
  <c r="X115" i="8"/>
  <c r="V115" i="8"/>
  <c r="T115" i="8"/>
  <c r="R115" i="8"/>
  <c r="P115" i="8"/>
  <c r="N115" i="8"/>
  <c r="L115" i="8"/>
  <c r="J115" i="8"/>
  <c r="Y114" i="8"/>
  <c r="C113" i="12" s="1"/>
  <c r="X114" i="8"/>
  <c r="V114" i="8"/>
  <c r="T114" i="8"/>
  <c r="R114" i="8"/>
  <c r="P114" i="8"/>
  <c r="N114" i="8"/>
  <c r="L114" i="8"/>
  <c r="J114" i="8"/>
  <c r="Y113" i="8"/>
  <c r="X113" i="8"/>
  <c r="V113" i="8"/>
  <c r="T113" i="8"/>
  <c r="R113" i="8"/>
  <c r="P113" i="8"/>
  <c r="N113" i="8"/>
  <c r="L113" i="8"/>
  <c r="J113" i="8"/>
  <c r="Y112" i="8"/>
  <c r="C111" i="12" s="1"/>
  <c r="X112" i="8"/>
  <c r="V112" i="8"/>
  <c r="T112" i="8"/>
  <c r="R112" i="8"/>
  <c r="P112" i="8"/>
  <c r="N112" i="8"/>
  <c r="L112" i="8"/>
  <c r="J112" i="8"/>
  <c r="Y111" i="8"/>
  <c r="C110" i="12" s="1"/>
  <c r="X111" i="8"/>
  <c r="V111" i="8"/>
  <c r="T111" i="8"/>
  <c r="R111" i="8"/>
  <c r="P111" i="8"/>
  <c r="N111" i="8"/>
  <c r="L111" i="8"/>
  <c r="J111" i="8"/>
  <c r="Y110" i="8"/>
  <c r="X110" i="8"/>
  <c r="V110" i="8"/>
  <c r="T110" i="8"/>
  <c r="R110" i="8"/>
  <c r="P110" i="8"/>
  <c r="N110" i="8"/>
  <c r="L110" i="8"/>
  <c r="J110" i="8"/>
  <c r="H110" i="8"/>
  <c r="Y109" i="8"/>
  <c r="C108" i="12" s="1"/>
  <c r="X109" i="8"/>
  <c r="V109" i="8"/>
  <c r="T109" i="8"/>
  <c r="R109" i="8"/>
  <c r="P109" i="8"/>
  <c r="N109" i="8"/>
  <c r="L109" i="8"/>
  <c r="J109" i="8"/>
  <c r="H109" i="8"/>
  <c r="Y108" i="8"/>
  <c r="C107" i="12" s="1"/>
  <c r="X108" i="8"/>
  <c r="V108" i="8"/>
  <c r="T108" i="8"/>
  <c r="R108" i="8"/>
  <c r="P108" i="8"/>
  <c r="N108" i="8"/>
  <c r="L108" i="8"/>
  <c r="J108" i="8"/>
  <c r="H108" i="8"/>
  <c r="Y107" i="8"/>
  <c r="X107" i="8"/>
  <c r="V107" i="8"/>
  <c r="T107" i="8"/>
  <c r="R107" i="8"/>
  <c r="P107" i="8"/>
  <c r="N107" i="8"/>
  <c r="L107" i="8"/>
  <c r="J107" i="8"/>
  <c r="H107" i="8"/>
  <c r="Y106" i="8"/>
  <c r="C105" i="12" s="1"/>
  <c r="X106" i="8"/>
  <c r="V106" i="8"/>
  <c r="T106" i="8"/>
  <c r="R106" i="8"/>
  <c r="P106" i="8"/>
  <c r="N106" i="8"/>
  <c r="L106" i="8"/>
  <c r="J106" i="8"/>
  <c r="H106" i="8"/>
  <c r="Y105" i="8"/>
  <c r="C104" i="12" s="1"/>
  <c r="X105" i="8"/>
  <c r="V105" i="8"/>
  <c r="T105" i="8"/>
  <c r="R105" i="8"/>
  <c r="P105" i="8"/>
  <c r="N105" i="8"/>
  <c r="L105" i="8"/>
  <c r="J105" i="8"/>
  <c r="H105" i="8"/>
  <c r="Y104" i="8"/>
  <c r="C103" i="12" s="1"/>
  <c r="X104" i="8"/>
  <c r="V104" i="8"/>
  <c r="T104" i="8"/>
  <c r="R104" i="8"/>
  <c r="P104" i="8"/>
  <c r="N104" i="8"/>
  <c r="L104" i="8"/>
  <c r="J104" i="8"/>
  <c r="H104" i="8"/>
  <c r="Y103" i="8"/>
  <c r="C102" i="12" s="1"/>
  <c r="X103" i="8"/>
  <c r="V103" i="8"/>
  <c r="T103" i="8"/>
  <c r="R103" i="8"/>
  <c r="P103" i="8"/>
  <c r="N103" i="8"/>
  <c r="L103" i="8"/>
  <c r="J103" i="8"/>
  <c r="H103" i="8"/>
  <c r="Y102" i="8"/>
  <c r="C101" i="12" s="1"/>
  <c r="X102" i="8"/>
  <c r="V102" i="8"/>
  <c r="T102" i="8"/>
  <c r="R102" i="8"/>
  <c r="P102" i="8"/>
  <c r="N102" i="8"/>
  <c r="L102" i="8"/>
  <c r="J102" i="8"/>
  <c r="H102" i="8"/>
  <c r="Y101" i="8"/>
  <c r="C100" i="12" s="1"/>
  <c r="X101" i="8"/>
  <c r="V101" i="8"/>
  <c r="T101" i="8"/>
  <c r="R101" i="8"/>
  <c r="P101" i="8"/>
  <c r="N101" i="8"/>
  <c r="L101" i="8"/>
  <c r="J101" i="8"/>
  <c r="H101" i="8"/>
  <c r="Y100" i="8"/>
  <c r="C99" i="12" s="1"/>
  <c r="X100" i="8"/>
  <c r="V100" i="8"/>
  <c r="T100" i="8"/>
  <c r="R100" i="8"/>
  <c r="P100" i="8"/>
  <c r="N100" i="8"/>
  <c r="L100" i="8"/>
  <c r="J100" i="8"/>
  <c r="H100" i="8"/>
  <c r="Y99" i="8"/>
  <c r="C98" i="12" s="1"/>
  <c r="X99" i="8"/>
  <c r="V99" i="8"/>
  <c r="T99" i="8"/>
  <c r="R99" i="8"/>
  <c r="P99" i="8"/>
  <c r="N99" i="8"/>
  <c r="L99" i="8"/>
  <c r="J99" i="8"/>
  <c r="H99" i="8"/>
  <c r="Y98" i="8"/>
  <c r="C97" i="12" s="1"/>
  <c r="X98" i="8"/>
  <c r="V98" i="8"/>
  <c r="T98" i="8"/>
  <c r="R98" i="8"/>
  <c r="P98" i="8"/>
  <c r="N98" i="8"/>
  <c r="L98" i="8"/>
  <c r="J98" i="8"/>
  <c r="H98" i="8"/>
  <c r="Y97" i="8"/>
  <c r="X97" i="8"/>
  <c r="V97" i="8"/>
  <c r="T97" i="8"/>
  <c r="R97" i="8"/>
  <c r="P97" i="8"/>
  <c r="Y96" i="8"/>
  <c r="C95" i="12" s="1"/>
  <c r="X96" i="8"/>
  <c r="V96" i="8"/>
  <c r="T96" i="8"/>
  <c r="R96" i="8"/>
  <c r="P96" i="8"/>
  <c r="Y95" i="8"/>
  <c r="C94" i="12" s="1"/>
  <c r="X95" i="8"/>
  <c r="V95" i="8"/>
  <c r="T95" i="8"/>
  <c r="R95" i="8"/>
  <c r="P95" i="8"/>
  <c r="Y94" i="8"/>
  <c r="C93" i="12" s="1"/>
  <c r="X94" i="8"/>
  <c r="V94" i="8"/>
  <c r="T94" i="8"/>
  <c r="R94" i="8"/>
  <c r="P94" i="8"/>
  <c r="Y93" i="8"/>
  <c r="X93" i="8"/>
  <c r="V93" i="8"/>
  <c r="T93" i="8"/>
  <c r="R93" i="8"/>
  <c r="P93" i="8"/>
  <c r="Y92" i="8"/>
  <c r="C91" i="12" s="1"/>
  <c r="X92" i="8"/>
  <c r="V92" i="8"/>
  <c r="T92" i="8"/>
  <c r="R92" i="8"/>
  <c r="P92" i="8"/>
  <c r="Y91" i="8"/>
  <c r="X91" i="8"/>
  <c r="V91" i="8"/>
  <c r="T91" i="8"/>
  <c r="R91" i="8"/>
  <c r="P91" i="8"/>
  <c r="Y90" i="8"/>
  <c r="C89" i="12" s="1"/>
  <c r="X90" i="8"/>
  <c r="V90" i="8"/>
  <c r="T90" i="8"/>
  <c r="R90" i="8"/>
  <c r="P90" i="8"/>
  <c r="Y89" i="8"/>
  <c r="X89" i="8"/>
  <c r="V89" i="8"/>
  <c r="T89" i="8"/>
  <c r="R89" i="8"/>
  <c r="P89" i="8"/>
  <c r="Y88" i="8"/>
  <c r="C87" i="12" s="1"/>
  <c r="X88" i="8"/>
  <c r="V88" i="8"/>
  <c r="T88" i="8"/>
  <c r="R88" i="8"/>
  <c r="P88" i="8"/>
  <c r="Y87" i="8"/>
  <c r="C86" i="12" s="1"/>
  <c r="X87" i="8"/>
  <c r="V87" i="8"/>
  <c r="T87" i="8"/>
  <c r="R87" i="8"/>
  <c r="P87" i="8"/>
  <c r="N87" i="8"/>
  <c r="Y86" i="8"/>
  <c r="X86" i="8"/>
  <c r="V86" i="8"/>
  <c r="T86" i="8"/>
  <c r="R86" i="8"/>
  <c r="P86" i="8"/>
  <c r="N86" i="8"/>
  <c r="Y85" i="8"/>
  <c r="C84" i="12" s="1"/>
  <c r="X85" i="8"/>
  <c r="V85" i="8"/>
  <c r="T85" i="8"/>
  <c r="R85" i="8"/>
  <c r="P85" i="8"/>
  <c r="N85" i="8"/>
  <c r="Y84" i="8"/>
  <c r="C83" i="12" s="1"/>
  <c r="X84" i="8"/>
  <c r="V84" i="8"/>
  <c r="T84" i="8"/>
  <c r="R84" i="8"/>
  <c r="P84" i="8"/>
  <c r="N84" i="8"/>
  <c r="Y83" i="8"/>
  <c r="C82" i="12" s="1"/>
  <c r="X83" i="8"/>
  <c r="V83" i="8"/>
  <c r="T83" i="8"/>
  <c r="R83" i="8"/>
  <c r="P83" i="8"/>
  <c r="N83" i="8"/>
  <c r="Y82" i="8"/>
  <c r="C81" i="12" s="1"/>
  <c r="X82" i="8"/>
  <c r="V82" i="8"/>
  <c r="T82" i="8"/>
  <c r="R82" i="8"/>
  <c r="P82" i="8"/>
  <c r="N82" i="8"/>
  <c r="Y81" i="8"/>
  <c r="X81" i="8"/>
  <c r="V81" i="8"/>
  <c r="T81" i="8"/>
  <c r="R81" i="8"/>
  <c r="P81" i="8"/>
  <c r="N81" i="8"/>
  <c r="Y80" i="8"/>
  <c r="C79" i="12" s="1"/>
  <c r="X80" i="8"/>
  <c r="V80" i="8"/>
  <c r="T80" i="8"/>
  <c r="R80" i="8"/>
  <c r="P80" i="8"/>
  <c r="N80" i="8"/>
  <c r="Y79" i="8"/>
  <c r="C78" i="12" s="1"/>
  <c r="X79" i="8"/>
  <c r="V79" i="8"/>
  <c r="T79" i="8"/>
  <c r="R79" i="8"/>
  <c r="P79" i="8"/>
  <c r="N79" i="8"/>
  <c r="Y78" i="8"/>
  <c r="C77" i="12" s="1"/>
  <c r="X78" i="8"/>
  <c r="V78" i="8"/>
  <c r="T78" i="8"/>
  <c r="R78" i="8"/>
  <c r="P78" i="8"/>
  <c r="N78" i="8"/>
  <c r="L78" i="8"/>
  <c r="Y77" i="8"/>
  <c r="X77" i="8"/>
  <c r="V77" i="8"/>
  <c r="T77" i="8"/>
  <c r="R77" i="8"/>
  <c r="P77" i="8"/>
  <c r="N77" i="8"/>
  <c r="L77" i="8"/>
  <c r="Y76" i="8"/>
  <c r="X76" i="8"/>
  <c r="V76" i="8"/>
  <c r="T76" i="8"/>
  <c r="R76" i="8"/>
  <c r="P76" i="8"/>
  <c r="N76" i="8"/>
  <c r="L76" i="8"/>
  <c r="Y75" i="8"/>
  <c r="C74" i="12" s="1"/>
  <c r="X75" i="8"/>
  <c r="V75" i="8"/>
  <c r="T75" i="8"/>
  <c r="R75" i="8"/>
  <c r="P75" i="8"/>
  <c r="N75" i="8"/>
  <c r="L75" i="8"/>
  <c r="Y74" i="8"/>
  <c r="C73" i="12" s="1"/>
  <c r="X74" i="8"/>
  <c r="V74" i="8"/>
  <c r="T74" i="8"/>
  <c r="R74" i="8"/>
  <c r="P74" i="8"/>
  <c r="N74" i="8"/>
  <c r="L74" i="8"/>
  <c r="Y73" i="8"/>
  <c r="C72" i="12" s="1"/>
  <c r="X73" i="8"/>
  <c r="V73" i="8"/>
  <c r="T73" i="8"/>
  <c r="R73" i="8"/>
  <c r="P73" i="8"/>
  <c r="N73" i="8"/>
  <c r="L73" i="8"/>
  <c r="Y72" i="8"/>
  <c r="C71" i="12" s="1"/>
  <c r="X72" i="8"/>
  <c r="V72" i="8"/>
  <c r="T72" i="8"/>
  <c r="R72" i="8"/>
  <c r="P72" i="8"/>
  <c r="N72" i="8"/>
  <c r="L72" i="8"/>
  <c r="Y71" i="8"/>
  <c r="C70" i="12" s="1"/>
  <c r="X71" i="8"/>
  <c r="V71" i="8"/>
  <c r="T71" i="8"/>
  <c r="R71" i="8"/>
  <c r="P71" i="8"/>
  <c r="N71" i="8"/>
  <c r="L71" i="8"/>
  <c r="Y70" i="8"/>
  <c r="C69" i="12" s="1"/>
  <c r="X70" i="8"/>
  <c r="V70" i="8"/>
  <c r="T70" i="8"/>
  <c r="R70" i="8"/>
  <c r="P70" i="8"/>
  <c r="N70" i="8"/>
  <c r="L70" i="8"/>
  <c r="Y69" i="8"/>
  <c r="C68" i="12" s="1"/>
  <c r="X69" i="8"/>
  <c r="V69" i="8"/>
  <c r="T69" i="8"/>
  <c r="R69" i="8"/>
  <c r="P69" i="8"/>
  <c r="N69" i="8"/>
  <c r="L69" i="8"/>
  <c r="Y68" i="8"/>
  <c r="C67" i="12" s="1"/>
  <c r="X68" i="8"/>
  <c r="V68" i="8"/>
  <c r="T68" i="8"/>
  <c r="R68" i="8"/>
  <c r="P68" i="8"/>
  <c r="N68" i="8"/>
  <c r="L68" i="8"/>
  <c r="Y67" i="8"/>
  <c r="X67" i="8"/>
  <c r="V67" i="8"/>
  <c r="T67" i="8"/>
  <c r="R67" i="8"/>
  <c r="P67" i="8"/>
  <c r="N67" i="8"/>
  <c r="L67" i="8"/>
  <c r="Y66" i="8"/>
  <c r="C65" i="12" s="1"/>
  <c r="X66" i="8"/>
  <c r="V66" i="8"/>
  <c r="T66" i="8"/>
  <c r="R66" i="8"/>
  <c r="P66" i="8"/>
  <c r="N66" i="8"/>
  <c r="L66" i="8"/>
  <c r="Y65" i="8"/>
  <c r="C64" i="12" s="1"/>
  <c r="X65" i="8"/>
  <c r="V65" i="8"/>
  <c r="T65" i="8"/>
  <c r="R65" i="8"/>
  <c r="P65" i="8"/>
  <c r="N65" i="8"/>
  <c r="L65" i="8"/>
  <c r="Y64" i="8"/>
  <c r="C63" i="12" s="1"/>
  <c r="X64" i="8"/>
  <c r="V64" i="8"/>
  <c r="T64" i="8"/>
  <c r="R64" i="8"/>
  <c r="P64" i="8"/>
  <c r="N64" i="8"/>
  <c r="L64" i="8"/>
  <c r="Y63" i="8"/>
  <c r="C62" i="12" s="1"/>
  <c r="X63" i="8"/>
  <c r="V63" i="8"/>
  <c r="T63" i="8"/>
  <c r="R63" i="8"/>
  <c r="P63" i="8"/>
  <c r="N63" i="8"/>
  <c r="L63" i="8"/>
  <c r="Y62" i="8"/>
  <c r="C61" i="12" s="1"/>
  <c r="X62" i="8"/>
  <c r="V62" i="8"/>
  <c r="T62" i="8"/>
  <c r="R62" i="8"/>
  <c r="P62" i="8"/>
  <c r="N62" i="8"/>
  <c r="L62" i="8"/>
  <c r="Y61" i="8"/>
  <c r="C60" i="12" s="1"/>
  <c r="X61" i="8"/>
  <c r="V61" i="8"/>
  <c r="T61" i="8"/>
  <c r="R61" i="8"/>
  <c r="P61" i="8"/>
  <c r="N61" i="8"/>
  <c r="L61" i="8"/>
  <c r="J61" i="8"/>
  <c r="Y60" i="8"/>
  <c r="C59" i="12" s="1"/>
  <c r="X60" i="8"/>
  <c r="V60" i="8"/>
  <c r="T60" i="8"/>
  <c r="R60" i="8"/>
  <c r="P60" i="8"/>
  <c r="N60" i="8"/>
  <c r="L60" i="8"/>
  <c r="J60" i="8"/>
  <c r="Y59" i="8"/>
  <c r="C58" i="12" s="1"/>
  <c r="X59" i="8"/>
  <c r="V59" i="8"/>
  <c r="T59" i="8"/>
  <c r="R59" i="8"/>
  <c r="P59" i="8"/>
  <c r="N59" i="8"/>
  <c r="L59" i="8"/>
  <c r="J59" i="8"/>
  <c r="Y58" i="8"/>
  <c r="C57" i="12" s="1"/>
  <c r="X58" i="8"/>
  <c r="V58" i="8"/>
  <c r="T58" i="8"/>
  <c r="R58" i="8"/>
  <c r="P58" i="8"/>
  <c r="N58" i="8"/>
  <c r="L58" i="8"/>
  <c r="J58" i="8"/>
  <c r="Y57" i="8"/>
  <c r="C56" i="12" s="1"/>
  <c r="X57" i="8"/>
  <c r="V57" i="8"/>
  <c r="T57" i="8"/>
  <c r="R57" i="8"/>
  <c r="P57" i="8"/>
  <c r="N57" i="8"/>
  <c r="L57" i="8"/>
  <c r="J57" i="8"/>
  <c r="Y56" i="8"/>
  <c r="C55" i="12" s="1"/>
  <c r="X56" i="8"/>
  <c r="V56" i="8"/>
  <c r="T56" i="8"/>
  <c r="R56" i="8"/>
  <c r="P56" i="8"/>
  <c r="N56" i="8"/>
  <c r="L56" i="8"/>
  <c r="J56" i="8"/>
  <c r="Y55" i="8"/>
  <c r="C54" i="12" s="1"/>
  <c r="X55" i="8"/>
  <c r="V55" i="8"/>
  <c r="T55" i="8"/>
  <c r="R55" i="8"/>
  <c r="P55" i="8"/>
  <c r="N55" i="8"/>
  <c r="L55" i="8"/>
  <c r="J55" i="8"/>
  <c r="Y54" i="8"/>
  <c r="X54" i="8"/>
  <c r="V54" i="8"/>
  <c r="T54" i="8"/>
  <c r="R54" i="8"/>
  <c r="P54" i="8"/>
  <c r="N54" i="8"/>
  <c r="L54" i="8"/>
  <c r="J54" i="8"/>
  <c r="Y53" i="8"/>
  <c r="C52" i="12" s="1"/>
  <c r="X53" i="8"/>
  <c r="V53" i="8"/>
  <c r="T53" i="8"/>
  <c r="R53" i="8"/>
  <c r="P53" i="8"/>
  <c r="N53" i="8"/>
  <c r="L53" i="8"/>
  <c r="J53" i="8"/>
  <c r="Y52" i="8"/>
  <c r="C51" i="12" s="1"/>
  <c r="X52" i="8"/>
  <c r="V52" i="8"/>
  <c r="T52" i="8"/>
  <c r="R52" i="8"/>
  <c r="P52" i="8"/>
  <c r="N52" i="8"/>
  <c r="L52" i="8"/>
  <c r="J52" i="8"/>
  <c r="Y51" i="8"/>
  <c r="C50" i="12" s="1"/>
  <c r="X51" i="8"/>
  <c r="V51" i="8"/>
  <c r="T51" i="8"/>
  <c r="R51" i="8"/>
  <c r="P51" i="8"/>
  <c r="N51" i="8"/>
  <c r="L51" i="8"/>
  <c r="J51" i="8"/>
  <c r="Y50" i="8"/>
  <c r="C49" i="12" s="1"/>
  <c r="X50" i="8"/>
  <c r="V50" i="8"/>
  <c r="T50" i="8"/>
  <c r="R50" i="8"/>
  <c r="P50" i="8"/>
  <c r="N50" i="8"/>
  <c r="L50" i="8"/>
  <c r="J50" i="8"/>
  <c r="Y49" i="8"/>
  <c r="C48" i="12" s="1"/>
  <c r="X49" i="8"/>
  <c r="V49" i="8"/>
  <c r="T49" i="8"/>
  <c r="R49" i="8"/>
  <c r="P49" i="8"/>
  <c r="N49" i="8"/>
  <c r="L49" i="8"/>
  <c r="J49" i="8"/>
  <c r="Y48" i="8"/>
  <c r="C47" i="12" s="1"/>
  <c r="X48" i="8"/>
  <c r="V48" i="8"/>
  <c r="T48" i="8"/>
  <c r="R48" i="8"/>
  <c r="P48" i="8"/>
  <c r="N48" i="8"/>
  <c r="L48" i="8"/>
  <c r="J48" i="8"/>
  <c r="Y47" i="8"/>
  <c r="X47" i="8"/>
  <c r="V47" i="8"/>
  <c r="T47" i="8"/>
  <c r="R47" i="8"/>
  <c r="P47" i="8"/>
  <c r="N47" i="8"/>
  <c r="L47" i="8"/>
  <c r="J47" i="8"/>
  <c r="Y46" i="8"/>
  <c r="C45" i="12" s="1"/>
  <c r="X46" i="8"/>
  <c r="V46" i="8"/>
  <c r="T46" i="8"/>
  <c r="R46" i="8"/>
  <c r="P46" i="8"/>
  <c r="N46" i="8"/>
  <c r="L46" i="8"/>
  <c r="J46" i="8"/>
  <c r="H46" i="8"/>
  <c r="Y45" i="8"/>
  <c r="C44" i="12" s="1"/>
  <c r="X45" i="8"/>
  <c r="V45" i="8"/>
  <c r="T45" i="8"/>
  <c r="R45" i="8"/>
  <c r="P45" i="8"/>
  <c r="N45" i="8"/>
  <c r="L45" i="8"/>
  <c r="J45" i="8"/>
  <c r="H45" i="8"/>
  <c r="Y44" i="8"/>
  <c r="C43" i="12" s="1"/>
  <c r="X44" i="8"/>
  <c r="V44" i="8"/>
  <c r="T44" i="8"/>
  <c r="R44" i="8"/>
  <c r="P44" i="8"/>
  <c r="N44" i="8"/>
  <c r="L44" i="8"/>
  <c r="J44" i="8"/>
  <c r="H44" i="8"/>
  <c r="Y43" i="8"/>
  <c r="C42" i="12" s="1"/>
  <c r="X43" i="8"/>
  <c r="V43" i="8"/>
  <c r="T43" i="8"/>
  <c r="R43" i="8"/>
  <c r="P43" i="8"/>
  <c r="N43" i="8"/>
  <c r="L43" i="8"/>
  <c r="J43" i="8"/>
  <c r="H43" i="8"/>
  <c r="Y42" i="8"/>
  <c r="C41" i="12" s="1"/>
  <c r="X42" i="8"/>
  <c r="V42" i="8"/>
  <c r="T42" i="8"/>
  <c r="R42" i="8"/>
  <c r="P42" i="8"/>
  <c r="N42" i="8"/>
  <c r="L42" i="8"/>
  <c r="J42" i="8"/>
  <c r="H42" i="8"/>
  <c r="Y41" i="8"/>
  <c r="X41" i="8"/>
  <c r="V41" i="8"/>
  <c r="T41" i="8"/>
  <c r="R41" i="8"/>
  <c r="P41" i="8"/>
  <c r="N41" i="8"/>
  <c r="L41" i="8"/>
  <c r="J41" i="8"/>
  <c r="H41" i="8"/>
  <c r="Y40" i="8"/>
  <c r="C39" i="12" s="1"/>
  <c r="X40" i="8"/>
  <c r="V40" i="8"/>
  <c r="T40" i="8"/>
  <c r="R40" i="8"/>
  <c r="P40" i="8"/>
  <c r="N40" i="8"/>
  <c r="L40" i="8"/>
  <c r="J40" i="8"/>
  <c r="H40" i="8"/>
  <c r="Y39" i="8"/>
  <c r="C38" i="12" s="1"/>
  <c r="X39" i="8"/>
  <c r="V39" i="8"/>
  <c r="T39" i="8"/>
  <c r="R39" i="8"/>
  <c r="P39" i="8"/>
  <c r="N39" i="8"/>
  <c r="L39" i="8"/>
  <c r="J39" i="8"/>
  <c r="H39" i="8"/>
  <c r="Y38" i="8"/>
  <c r="X38" i="8"/>
  <c r="V38" i="8"/>
  <c r="T38" i="8"/>
  <c r="R38" i="8"/>
  <c r="P38" i="8"/>
  <c r="N38" i="8"/>
  <c r="L38" i="8"/>
  <c r="J38" i="8"/>
  <c r="H38" i="8"/>
  <c r="Y37" i="8"/>
  <c r="C36" i="12" s="1"/>
  <c r="X37" i="8"/>
  <c r="V37" i="8"/>
  <c r="T37" i="8"/>
  <c r="R37" i="8"/>
  <c r="P37" i="8"/>
  <c r="N37" i="8"/>
  <c r="L37" i="8"/>
  <c r="J37" i="8"/>
  <c r="H37" i="8"/>
  <c r="Y36" i="8"/>
  <c r="C35" i="12" s="1"/>
  <c r="X36" i="8"/>
  <c r="V36" i="8"/>
  <c r="T36" i="8"/>
  <c r="R36" i="8"/>
  <c r="P36" i="8"/>
  <c r="N36" i="8"/>
  <c r="L36" i="8"/>
  <c r="J36" i="8"/>
  <c r="H36" i="8"/>
  <c r="Y35" i="8"/>
  <c r="C34" i="12" s="1"/>
  <c r="X35" i="8"/>
  <c r="V35" i="8"/>
  <c r="T35" i="8"/>
  <c r="R35" i="8"/>
  <c r="P35" i="8"/>
  <c r="N35" i="8"/>
  <c r="L35" i="8"/>
  <c r="J35" i="8"/>
  <c r="H35" i="8"/>
  <c r="Y34" i="8"/>
  <c r="C33" i="12" s="1"/>
  <c r="X34" i="8"/>
  <c r="V34" i="8"/>
  <c r="T34" i="8"/>
  <c r="R34" i="8"/>
  <c r="P34" i="8"/>
  <c r="N34" i="8"/>
  <c r="L34" i="8"/>
  <c r="J34" i="8"/>
  <c r="H34" i="8"/>
  <c r="Y33" i="8"/>
  <c r="C32" i="12" s="1"/>
  <c r="X33" i="8"/>
  <c r="V33" i="8"/>
  <c r="T33" i="8"/>
  <c r="R33" i="8"/>
  <c r="P33" i="8"/>
  <c r="N33" i="8"/>
  <c r="L33" i="8"/>
  <c r="J33" i="8"/>
  <c r="H33" i="8"/>
  <c r="Y32" i="8"/>
  <c r="C31" i="12" s="1"/>
  <c r="X32" i="8"/>
  <c r="V32" i="8"/>
  <c r="T32" i="8"/>
  <c r="R32" i="8"/>
  <c r="P32" i="8"/>
  <c r="N32" i="8"/>
  <c r="L32" i="8"/>
  <c r="J32" i="8"/>
  <c r="H32" i="8"/>
  <c r="Y31" i="8"/>
  <c r="C30" i="12" s="1"/>
  <c r="X31" i="8"/>
  <c r="V31" i="8"/>
  <c r="T31" i="8"/>
  <c r="R31" i="8"/>
  <c r="P31" i="8"/>
  <c r="N31" i="8"/>
  <c r="L31" i="8"/>
  <c r="J31" i="8"/>
  <c r="H31" i="8"/>
  <c r="Y30" i="8"/>
  <c r="C29" i="12" s="1"/>
  <c r="X30" i="8"/>
  <c r="V30" i="8"/>
  <c r="T30" i="8"/>
  <c r="R30" i="8"/>
  <c r="P30" i="8"/>
  <c r="N30" i="8"/>
  <c r="L30" i="8"/>
  <c r="J30" i="8"/>
  <c r="H30" i="8"/>
  <c r="Y29" i="8"/>
  <c r="C28" i="12" s="1"/>
  <c r="X29" i="8"/>
  <c r="V29" i="8"/>
  <c r="T29" i="8"/>
  <c r="R29" i="8"/>
  <c r="P29" i="8"/>
  <c r="N29" i="8"/>
  <c r="L29" i="8"/>
  <c r="J29" i="8"/>
  <c r="H29" i="8"/>
  <c r="Y28" i="8"/>
  <c r="C27" i="12" s="1"/>
  <c r="X28" i="8"/>
  <c r="V28" i="8"/>
  <c r="T28" i="8"/>
  <c r="R28" i="8"/>
  <c r="P28" i="8"/>
  <c r="N28" i="8"/>
  <c r="L28" i="8"/>
  <c r="J28" i="8"/>
  <c r="H28" i="8"/>
  <c r="Y27" i="8"/>
  <c r="C26" i="12" s="1"/>
  <c r="X27" i="8"/>
  <c r="V27" i="8"/>
  <c r="T27" i="8"/>
  <c r="R27" i="8"/>
  <c r="P27" i="8"/>
  <c r="N27" i="8"/>
  <c r="L27" i="8"/>
  <c r="J27" i="8"/>
  <c r="H27" i="8"/>
  <c r="Y26" i="8"/>
  <c r="C25" i="12" s="1"/>
  <c r="X26" i="8"/>
  <c r="V26" i="8"/>
  <c r="T26" i="8"/>
  <c r="R26" i="8"/>
  <c r="P26" i="8"/>
  <c r="N26" i="8"/>
  <c r="L26" i="8"/>
  <c r="J26" i="8"/>
  <c r="H26" i="8"/>
  <c r="Y25" i="8"/>
  <c r="C24" i="12" s="1"/>
  <c r="X25" i="8"/>
  <c r="V25" i="8"/>
  <c r="T25" i="8"/>
  <c r="R25" i="8"/>
  <c r="P25" i="8"/>
  <c r="N25" i="8"/>
  <c r="L25" i="8"/>
  <c r="J25" i="8"/>
  <c r="H25" i="8"/>
  <c r="Y24" i="8"/>
  <c r="C23" i="12" s="1"/>
  <c r="X24" i="8"/>
  <c r="V24" i="8"/>
  <c r="T24" i="8"/>
  <c r="R24" i="8"/>
  <c r="P24" i="8"/>
  <c r="N24" i="8"/>
  <c r="L24" i="8"/>
  <c r="J24" i="8"/>
  <c r="H24" i="8"/>
  <c r="Y23" i="8"/>
  <c r="X23" i="8"/>
  <c r="V23" i="8"/>
  <c r="T23" i="8"/>
  <c r="R23" i="8"/>
  <c r="P23" i="8"/>
  <c r="N23" i="8"/>
  <c r="L23" i="8"/>
  <c r="J23" i="8"/>
  <c r="H23" i="8"/>
  <c r="Y22" i="8"/>
  <c r="X22" i="8"/>
  <c r="V22" i="8"/>
  <c r="T22" i="8"/>
  <c r="R22" i="8"/>
  <c r="P22" i="8"/>
  <c r="N22" i="8"/>
  <c r="L22" i="8"/>
  <c r="J22" i="8"/>
  <c r="H22" i="8"/>
  <c r="Y21" i="8"/>
  <c r="C20" i="12" s="1"/>
  <c r="X21" i="8"/>
  <c r="V21" i="8"/>
  <c r="T21" i="8"/>
  <c r="R21" i="8"/>
  <c r="P21" i="8"/>
  <c r="N21" i="8"/>
  <c r="L21" i="8"/>
  <c r="J21" i="8"/>
  <c r="H21" i="8"/>
  <c r="Y20" i="8"/>
  <c r="C19" i="12" s="1"/>
  <c r="X20" i="8"/>
  <c r="V20" i="8"/>
  <c r="T20" i="8"/>
  <c r="R20" i="8"/>
  <c r="P20" i="8"/>
  <c r="N20" i="8"/>
  <c r="L20" i="8"/>
  <c r="J20" i="8"/>
  <c r="H20" i="8"/>
  <c r="Y19" i="8"/>
  <c r="C18" i="12" s="1"/>
  <c r="X19" i="8"/>
  <c r="V19" i="8"/>
  <c r="T19" i="8"/>
  <c r="R19" i="8"/>
  <c r="P19" i="8"/>
  <c r="N19" i="8"/>
  <c r="L19" i="8"/>
  <c r="J19" i="8"/>
  <c r="H19" i="8"/>
  <c r="Y18" i="8"/>
  <c r="C17" i="12" s="1"/>
  <c r="X18" i="8"/>
  <c r="V18" i="8"/>
  <c r="T18" i="8"/>
  <c r="R18" i="8"/>
  <c r="P18" i="8"/>
  <c r="N18" i="8"/>
  <c r="L18" i="8"/>
  <c r="J18" i="8"/>
  <c r="H18" i="8"/>
  <c r="Y17" i="8"/>
  <c r="C16" i="12" s="1"/>
  <c r="X17" i="8"/>
  <c r="V17" i="8"/>
  <c r="T17" i="8"/>
  <c r="R17" i="8"/>
  <c r="P17" i="8"/>
  <c r="N17" i="8"/>
  <c r="L17" i="8"/>
  <c r="J17" i="8"/>
  <c r="H17" i="8"/>
  <c r="Y16" i="8"/>
  <c r="C15" i="12" s="1"/>
  <c r="X16" i="8"/>
  <c r="V16" i="8"/>
  <c r="T16" i="8"/>
  <c r="R16" i="8"/>
  <c r="P16" i="8"/>
  <c r="N16" i="8"/>
  <c r="L16" i="8"/>
  <c r="J16" i="8"/>
  <c r="H16" i="8"/>
  <c r="Y15" i="8"/>
  <c r="C14" i="12" s="1"/>
  <c r="X15" i="8"/>
  <c r="V15" i="8"/>
  <c r="T15" i="8"/>
  <c r="R15" i="8"/>
  <c r="P15" i="8"/>
  <c r="N15" i="8"/>
  <c r="L15" i="8"/>
  <c r="J15" i="8"/>
  <c r="H15" i="8"/>
  <c r="Y14" i="8"/>
  <c r="C13" i="12" s="1"/>
  <c r="X14" i="8"/>
  <c r="V14" i="8"/>
  <c r="T14" i="8"/>
  <c r="R14" i="8"/>
  <c r="P14" i="8"/>
  <c r="N14" i="8"/>
  <c r="L14" i="8"/>
  <c r="J14" i="8"/>
  <c r="H14" i="8"/>
  <c r="Y13" i="8"/>
  <c r="C12" i="12" s="1"/>
  <c r="X13" i="8"/>
  <c r="V13" i="8"/>
  <c r="T13" i="8"/>
  <c r="R13" i="8"/>
  <c r="P13" i="8"/>
  <c r="N13" i="8"/>
  <c r="L13" i="8"/>
  <c r="J13" i="8"/>
  <c r="H13" i="8"/>
  <c r="Y12" i="8"/>
  <c r="C11" i="12" s="1"/>
  <c r="X12" i="8"/>
  <c r="V12" i="8"/>
  <c r="T12" i="8"/>
  <c r="R12" i="8"/>
  <c r="P12" i="8"/>
  <c r="N12" i="8"/>
  <c r="L12" i="8"/>
  <c r="J12" i="8"/>
  <c r="H12" i="8"/>
  <c r="Y11" i="8"/>
  <c r="C10" i="12" s="1"/>
  <c r="X11" i="8"/>
  <c r="V11" i="8"/>
  <c r="T11" i="8"/>
  <c r="R11" i="8"/>
  <c r="P11" i="8"/>
  <c r="N11" i="8"/>
  <c r="L11" i="8"/>
  <c r="J11" i="8"/>
  <c r="H11" i="8"/>
  <c r="Y10" i="8"/>
  <c r="C9" i="12" s="1"/>
  <c r="X10" i="8"/>
  <c r="V10" i="8"/>
  <c r="T10" i="8"/>
  <c r="R10" i="8"/>
  <c r="P10" i="8"/>
  <c r="N10" i="8"/>
  <c r="L10" i="8"/>
  <c r="J10" i="8"/>
  <c r="H10" i="8"/>
  <c r="Y9" i="8"/>
  <c r="C8" i="12" s="1"/>
  <c r="X9" i="8"/>
  <c r="V9" i="8"/>
  <c r="T9" i="8"/>
  <c r="R9" i="8"/>
  <c r="P9" i="8"/>
  <c r="N9" i="8"/>
  <c r="L9" i="8"/>
  <c r="J9" i="8"/>
  <c r="H9" i="8"/>
  <c r="Y8" i="8"/>
  <c r="C7" i="12" s="1"/>
  <c r="X8" i="8"/>
  <c r="V8" i="8"/>
  <c r="T8" i="8"/>
  <c r="R8" i="8"/>
  <c r="P8" i="8"/>
  <c r="N8" i="8"/>
  <c r="L8" i="8"/>
  <c r="J8" i="8"/>
  <c r="H8" i="8"/>
  <c r="Y7" i="8"/>
  <c r="C6" i="12" s="1"/>
  <c r="X7" i="8"/>
  <c r="V7" i="8"/>
  <c r="T7" i="8"/>
  <c r="R7" i="8"/>
  <c r="P7" i="8"/>
  <c r="N7" i="8"/>
  <c r="L7" i="8"/>
  <c r="J7" i="8"/>
  <c r="H7" i="8"/>
  <c r="Y6" i="8"/>
  <c r="C5" i="12" s="1"/>
  <c r="X6" i="8"/>
  <c r="V6" i="8"/>
  <c r="T6" i="8"/>
  <c r="R6" i="8"/>
  <c r="P6" i="8"/>
  <c r="N6" i="8"/>
  <c r="L6" i="8"/>
  <c r="J6" i="8"/>
  <c r="H6" i="8"/>
  <c r="Y5" i="8"/>
  <c r="C4" i="12" s="1"/>
  <c r="X5" i="8"/>
  <c r="V5" i="8"/>
  <c r="T5" i="8"/>
  <c r="R5" i="8"/>
  <c r="P5" i="8"/>
  <c r="N5" i="8"/>
  <c r="L5" i="8"/>
  <c r="J5" i="8"/>
  <c r="H5" i="8"/>
  <c r="Y4" i="8"/>
  <c r="C3" i="12" s="1"/>
  <c r="X4" i="8"/>
  <c r="V4" i="8"/>
  <c r="T4" i="8"/>
  <c r="R4" i="8"/>
  <c r="P4" i="8"/>
  <c r="N4" i="8"/>
  <c r="L4" i="8"/>
  <c r="J4" i="8"/>
  <c r="H4" i="8"/>
  <c r="Y3" i="8"/>
  <c r="C2" i="12" s="1"/>
  <c r="X3" i="8"/>
  <c r="V3" i="8"/>
  <c r="T3" i="8"/>
  <c r="R3" i="8"/>
  <c r="P3" i="8"/>
  <c r="N3" i="8"/>
  <c r="L3" i="8"/>
  <c r="J3" i="8"/>
  <c r="H3" i="8"/>
  <c r="F3" i="8"/>
  <c r="B37" i="7"/>
  <c r="C8" i="7"/>
  <c r="C4" i="7"/>
  <c r="D363" i="12" s="1"/>
  <c r="C3" i="7"/>
  <c r="C28" i="5"/>
  <c r="E28" i="5" s="1"/>
  <c r="I27" i="5"/>
  <c r="H27" i="5"/>
  <c r="G27" i="5"/>
  <c r="F27" i="5"/>
  <c r="E27" i="5"/>
  <c r="D27" i="5"/>
  <c r="B27" i="5"/>
  <c r="I24" i="5"/>
  <c r="H24" i="5"/>
  <c r="G24" i="5"/>
  <c r="F24" i="5"/>
  <c r="E24" i="5"/>
  <c r="D24" i="5"/>
  <c r="B24" i="5"/>
  <c r="I23" i="5"/>
  <c r="H23" i="5"/>
  <c r="G23" i="5"/>
  <c r="F23" i="5"/>
  <c r="E23" i="5"/>
  <c r="D23" i="5"/>
  <c r="C23" i="5"/>
  <c r="B23" i="5"/>
  <c r="I22" i="5"/>
  <c r="H22" i="5"/>
  <c r="G22" i="5"/>
  <c r="F22" i="5"/>
  <c r="E22" i="5"/>
  <c r="D22" i="5"/>
  <c r="B22" i="5"/>
  <c r="I21" i="5"/>
  <c r="H21" i="5"/>
  <c r="G21" i="5"/>
  <c r="F21" i="5"/>
  <c r="E21" i="5"/>
  <c r="D21" i="5"/>
  <c r="B21" i="5"/>
  <c r="I20" i="5"/>
  <c r="H20" i="5"/>
  <c r="G20" i="5"/>
  <c r="F20" i="5"/>
  <c r="E20" i="5"/>
  <c r="D20" i="5"/>
  <c r="B20" i="5"/>
  <c r="I19" i="5"/>
  <c r="H19" i="5"/>
  <c r="G19" i="5"/>
  <c r="F19" i="5"/>
  <c r="E19" i="5"/>
  <c r="D19" i="5"/>
  <c r="B19" i="5"/>
  <c r="I18" i="5"/>
  <c r="H18" i="5"/>
  <c r="G18" i="5"/>
  <c r="F18" i="5"/>
  <c r="E18" i="5"/>
  <c r="D18" i="5"/>
  <c r="B18" i="5"/>
  <c r="I17" i="5"/>
  <c r="H17" i="5"/>
  <c r="G17" i="5"/>
  <c r="F17" i="5"/>
  <c r="E17" i="5"/>
  <c r="D17" i="5"/>
  <c r="B17" i="5"/>
  <c r="C14" i="5"/>
  <c r="I13" i="5"/>
  <c r="H13" i="5"/>
  <c r="G13" i="5"/>
  <c r="F13" i="5"/>
  <c r="E13" i="5"/>
  <c r="D13" i="5"/>
  <c r="B13" i="5"/>
  <c r="I11" i="5"/>
  <c r="H11" i="5"/>
  <c r="G11" i="5"/>
  <c r="F11" i="5"/>
  <c r="E11" i="5"/>
  <c r="D11" i="5"/>
  <c r="B11" i="5"/>
  <c r="I9" i="5"/>
  <c r="H9" i="5"/>
  <c r="G9" i="5"/>
  <c r="F9" i="5"/>
  <c r="E9" i="5"/>
  <c r="D9" i="5"/>
  <c r="B9" i="5"/>
  <c r="I6" i="5"/>
  <c r="H6" i="5"/>
  <c r="G6" i="5"/>
  <c r="F6" i="5"/>
  <c r="E6" i="5"/>
  <c r="D6" i="5"/>
  <c r="B6" i="5"/>
  <c r="I5" i="5"/>
  <c r="H5" i="5"/>
  <c r="G5" i="5"/>
  <c r="F5" i="5"/>
  <c r="E5" i="5"/>
  <c r="D5" i="5"/>
  <c r="B5" i="5"/>
  <c r="I4" i="5"/>
  <c r="I14" i="5" s="1"/>
  <c r="H4" i="5"/>
  <c r="H14" i="5" s="1"/>
  <c r="G4" i="5"/>
  <c r="G14" i="5" s="1"/>
  <c r="F4" i="5"/>
  <c r="F14" i="5" s="1"/>
  <c r="E4" i="5"/>
  <c r="E14" i="5" s="1"/>
  <c r="D4" i="5"/>
  <c r="D14" i="5" s="1"/>
  <c r="B4" i="5"/>
  <c r="B14" i="5" s="1"/>
  <c r="I2" i="5"/>
  <c r="H2" i="5"/>
  <c r="G2" i="5"/>
  <c r="F2" i="5"/>
  <c r="E2" i="5"/>
  <c r="D2" i="5"/>
  <c r="B2" i="5"/>
  <c r="K198" i="4"/>
  <c r="M198" i="4" s="1"/>
  <c r="O198" i="4" s="1"/>
  <c r="Q198" i="4" s="1"/>
  <c r="I198" i="4"/>
  <c r="G198" i="4"/>
  <c r="C198" i="4"/>
  <c r="P197" i="4"/>
  <c r="N197" i="4"/>
  <c r="L197" i="4"/>
  <c r="K197" i="4"/>
  <c r="M197" i="4" s="1"/>
  <c r="O197" i="4" s="1"/>
  <c r="Q197" i="4" s="1"/>
  <c r="J197" i="4"/>
  <c r="I197" i="4"/>
  <c r="H197" i="4"/>
  <c r="G197" i="4"/>
  <c r="F197" i="4"/>
  <c r="C197" i="4"/>
  <c r="B197" i="4"/>
  <c r="P196" i="4"/>
  <c r="N196" i="4"/>
  <c r="L196" i="4"/>
  <c r="K196" i="4"/>
  <c r="M196" i="4" s="1"/>
  <c r="O196" i="4" s="1"/>
  <c r="Q196" i="4" s="1"/>
  <c r="J196" i="4"/>
  <c r="I196" i="4"/>
  <c r="H196" i="4"/>
  <c r="G196" i="4"/>
  <c r="F196" i="4"/>
  <c r="C196" i="4"/>
  <c r="B196" i="4"/>
  <c r="P195" i="4"/>
  <c r="N195" i="4"/>
  <c r="L195" i="4"/>
  <c r="K195" i="4"/>
  <c r="M195" i="4" s="1"/>
  <c r="O195" i="4" s="1"/>
  <c r="Q195" i="4" s="1"/>
  <c r="J195" i="4"/>
  <c r="I195" i="4"/>
  <c r="H195" i="4"/>
  <c r="G195" i="4"/>
  <c r="F195" i="4"/>
  <c r="C195" i="4"/>
  <c r="B195" i="4"/>
  <c r="P194" i="4"/>
  <c r="N194" i="4"/>
  <c r="L194" i="4"/>
  <c r="K194" i="4"/>
  <c r="M194" i="4" s="1"/>
  <c r="O194" i="4" s="1"/>
  <c r="Q194" i="4" s="1"/>
  <c r="J194" i="4"/>
  <c r="I194" i="4"/>
  <c r="H194" i="4"/>
  <c r="G194" i="4"/>
  <c r="F194" i="4"/>
  <c r="C194" i="4"/>
  <c r="B194" i="4"/>
  <c r="P193" i="4"/>
  <c r="N193" i="4"/>
  <c r="L193" i="4"/>
  <c r="K193" i="4"/>
  <c r="M193" i="4" s="1"/>
  <c r="O193" i="4" s="1"/>
  <c r="Q193" i="4" s="1"/>
  <c r="J193" i="4"/>
  <c r="I193" i="4"/>
  <c r="H193" i="4"/>
  <c r="G193" i="4"/>
  <c r="F193" i="4"/>
  <c r="C193" i="4"/>
  <c r="B193" i="4"/>
  <c r="P192" i="4"/>
  <c r="N192" i="4"/>
  <c r="L192" i="4"/>
  <c r="K192" i="4"/>
  <c r="M192" i="4" s="1"/>
  <c r="O192" i="4" s="1"/>
  <c r="Q192" i="4" s="1"/>
  <c r="J192" i="4"/>
  <c r="I192" i="4"/>
  <c r="H192" i="4"/>
  <c r="G192" i="4"/>
  <c r="F192" i="4"/>
  <c r="C192" i="4"/>
  <c r="B192" i="4"/>
  <c r="P191" i="4"/>
  <c r="N191" i="4"/>
  <c r="L191" i="4"/>
  <c r="K191" i="4"/>
  <c r="M191" i="4" s="1"/>
  <c r="O191" i="4" s="1"/>
  <c r="Q191" i="4" s="1"/>
  <c r="J191" i="4"/>
  <c r="I191" i="4"/>
  <c r="H191" i="4"/>
  <c r="G191" i="4"/>
  <c r="F191" i="4"/>
  <c r="C191" i="4"/>
  <c r="B191" i="4"/>
  <c r="P190" i="4"/>
  <c r="N190" i="4"/>
  <c r="L190" i="4"/>
  <c r="K190" i="4"/>
  <c r="M190" i="4" s="1"/>
  <c r="O190" i="4" s="1"/>
  <c r="Q190" i="4" s="1"/>
  <c r="J190" i="4"/>
  <c r="I190" i="4"/>
  <c r="H190" i="4"/>
  <c r="G190" i="4"/>
  <c r="F190" i="4"/>
  <c r="C190" i="4"/>
  <c r="B190" i="4"/>
  <c r="P189" i="4"/>
  <c r="N189" i="4"/>
  <c r="L189" i="4"/>
  <c r="K189" i="4"/>
  <c r="M189" i="4" s="1"/>
  <c r="O189" i="4" s="1"/>
  <c r="Q189" i="4" s="1"/>
  <c r="J189" i="4"/>
  <c r="I189" i="4"/>
  <c r="H189" i="4"/>
  <c r="G189" i="4"/>
  <c r="F189" i="4"/>
  <c r="C189" i="4"/>
  <c r="B189" i="4"/>
  <c r="P188" i="4"/>
  <c r="N188" i="4"/>
  <c r="L188" i="4"/>
  <c r="K188" i="4"/>
  <c r="M188" i="4" s="1"/>
  <c r="O188" i="4" s="1"/>
  <c r="Q188" i="4" s="1"/>
  <c r="J188" i="4"/>
  <c r="I188" i="4"/>
  <c r="H188" i="4"/>
  <c r="G188" i="4"/>
  <c r="F188" i="4"/>
  <c r="C188" i="4"/>
  <c r="B188" i="4"/>
  <c r="P187" i="4"/>
  <c r="N187" i="4"/>
  <c r="L187" i="4"/>
  <c r="K187" i="4"/>
  <c r="M187" i="4" s="1"/>
  <c r="O187" i="4" s="1"/>
  <c r="Q187" i="4" s="1"/>
  <c r="J187" i="4"/>
  <c r="I187" i="4"/>
  <c r="H187" i="4"/>
  <c r="G187" i="4"/>
  <c r="F187" i="4"/>
  <c r="C187" i="4"/>
  <c r="B187" i="4"/>
  <c r="P186" i="4"/>
  <c r="N186" i="4"/>
  <c r="L186" i="4"/>
  <c r="K186" i="4"/>
  <c r="M186" i="4" s="1"/>
  <c r="O186" i="4" s="1"/>
  <c r="Q186" i="4" s="1"/>
  <c r="J186" i="4"/>
  <c r="I186" i="4"/>
  <c r="H186" i="4"/>
  <c r="G186" i="4"/>
  <c r="F186" i="4"/>
  <c r="C186" i="4"/>
  <c r="B186" i="4"/>
  <c r="P185" i="4"/>
  <c r="N185" i="4"/>
  <c r="L185" i="4"/>
  <c r="K185" i="4"/>
  <c r="M185" i="4" s="1"/>
  <c r="O185" i="4" s="1"/>
  <c r="Q185" i="4" s="1"/>
  <c r="J185" i="4"/>
  <c r="I185" i="4"/>
  <c r="H185" i="4"/>
  <c r="G185" i="4"/>
  <c r="F185" i="4"/>
  <c r="C185" i="4"/>
  <c r="B185" i="4"/>
  <c r="P184" i="4"/>
  <c r="N184" i="4"/>
  <c r="L184" i="4"/>
  <c r="K184" i="4"/>
  <c r="M184" i="4" s="1"/>
  <c r="O184" i="4" s="1"/>
  <c r="Q184" i="4" s="1"/>
  <c r="J184" i="4"/>
  <c r="I184" i="4"/>
  <c r="H184" i="4"/>
  <c r="G184" i="4"/>
  <c r="F184" i="4"/>
  <c r="C184" i="4"/>
  <c r="B184" i="4"/>
  <c r="P183" i="4"/>
  <c r="N183" i="4"/>
  <c r="L183" i="4"/>
  <c r="K183" i="4"/>
  <c r="M183" i="4" s="1"/>
  <c r="O183" i="4" s="1"/>
  <c r="Q183" i="4" s="1"/>
  <c r="J183" i="4"/>
  <c r="I183" i="4"/>
  <c r="H183" i="4"/>
  <c r="G183" i="4"/>
  <c r="F183" i="4"/>
  <c r="C183" i="4"/>
  <c r="B183" i="4"/>
  <c r="P182" i="4"/>
  <c r="N182" i="4"/>
  <c r="L182" i="4"/>
  <c r="K182" i="4"/>
  <c r="M182" i="4" s="1"/>
  <c r="O182" i="4" s="1"/>
  <c r="Q182" i="4" s="1"/>
  <c r="J182" i="4"/>
  <c r="I182" i="4"/>
  <c r="H182" i="4"/>
  <c r="G182" i="4"/>
  <c r="F182" i="4"/>
  <c r="C182" i="4"/>
  <c r="B182" i="4"/>
  <c r="P181" i="4"/>
  <c r="N181" i="4"/>
  <c r="L181" i="4"/>
  <c r="K181" i="4"/>
  <c r="M181" i="4" s="1"/>
  <c r="O181" i="4" s="1"/>
  <c r="Q181" i="4" s="1"/>
  <c r="J181" i="4"/>
  <c r="I181" i="4"/>
  <c r="H181" i="4"/>
  <c r="G181" i="4"/>
  <c r="F181" i="4"/>
  <c r="C181" i="4"/>
  <c r="B181" i="4"/>
  <c r="P180" i="4"/>
  <c r="N180" i="4"/>
  <c r="L180" i="4"/>
  <c r="K180" i="4"/>
  <c r="M180" i="4" s="1"/>
  <c r="O180" i="4" s="1"/>
  <c r="Q180" i="4" s="1"/>
  <c r="J180" i="4"/>
  <c r="I180" i="4"/>
  <c r="H180" i="4"/>
  <c r="G180" i="4"/>
  <c r="F180" i="4"/>
  <c r="C180" i="4"/>
  <c r="B180" i="4"/>
  <c r="P179" i="4"/>
  <c r="N179" i="4"/>
  <c r="L179" i="4"/>
  <c r="K179" i="4"/>
  <c r="M179" i="4" s="1"/>
  <c r="O179" i="4" s="1"/>
  <c r="Q179" i="4" s="1"/>
  <c r="J179" i="4"/>
  <c r="I179" i="4"/>
  <c r="H179" i="4"/>
  <c r="G179" i="4"/>
  <c r="F179" i="4"/>
  <c r="C179" i="4"/>
  <c r="B179" i="4"/>
  <c r="P178" i="4"/>
  <c r="N178" i="4"/>
  <c r="L178" i="4"/>
  <c r="K178" i="4"/>
  <c r="M178" i="4" s="1"/>
  <c r="O178" i="4" s="1"/>
  <c r="Q178" i="4" s="1"/>
  <c r="J178" i="4"/>
  <c r="I178" i="4"/>
  <c r="H178" i="4"/>
  <c r="G178" i="4"/>
  <c r="F178" i="4"/>
  <c r="C178" i="4"/>
  <c r="B178" i="4"/>
  <c r="P177" i="4"/>
  <c r="N177" i="4"/>
  <c r="L177" i="4"/>
  <c r="K177" i="4"/>
  <c r="M177" i="4" s="1"/>
  <c r="O177" i="4" s="1"/>
  <c r="Q177" i="4" s="1"/>
  <c r="J177" i="4"/>
  <c r="I177" i="4"/>
  <c r="H177" i="4"/>
  <c r="G177" i="4"/>
  <c r="F177" i="4"/>
  <c r="C177" i="4"/>
  <c r="B177" i="4"/>
  <c r="P176" i="4"/>
  <c r="N176" i="4"/>
  <c r="L176" i="4"/>
  <c r="K176" i="4"/>
  <c r="M176" i="4" s="1"/>
  <c r="O176" i="4" s="1"/>
  <c r="Q176" i="4" s="1"/>
  <c r="J176" i="4"/>
  <c r="I176" i="4"/>
  <c r="H176" i="4"/>
  <c r="G176" i="4"/>
  <c r="F176" i="4"/>
  <c r="C176" i="4"/>
  <c r="B176" i="4"/>
  <c r="P175" i="4"/>
  <c r="N175" i="4"/>
  <c r="L175" i="4"/>
  <c r="K175" i="4"/>
  <c r="M175" i="4" s="1"/>
  <c r="O175" i="4" s="1"/>
  <c r="Q175" i="4" s="1"/>
  <c r="J175" i="4"/>
  <c r="I175" i="4"/>
  <c r="H175" i="4"/>
  <c r="G175" i="4"/>
  <c r="F175" i="4"/>
  <c r="C175" i="4"/>
  <c r="B175" i="4"/>
  <c r="P174" i="4"/>
  <c r="N174" i="4"/>
  <c r="L174" i="4"/>
  <c r="K174" i="4"/>
  <c r="M174" i="4" s="1"/>
  <c r="O174" i="4" s="1"/>
  <c r="Q174" i="4" s="1"/>
  <c r="J174" i="4"/>
  <c r="I174" i="4"/>
  <c r="H174" i="4"/>
  <c r="G174" i="4"/>
  <c r="F174" i="4"/>
  <c r="C174" i="4"/>
  <c r="B174" i="4"/>
  <c r="P173" i="4"/>
  <c r="N173" i="4"/>
  <c r="L173" i="4"/>
  <c r="K173" i="4"/>
  <c r="M173" i="4" s="1"/>
  <c r="O173" i="4" s="1"/>
  <c r="Q173" i="4" s="1"/>
  <c r="J173" i="4"/>
  <c r="I173" i="4"/>
  <c r="H173" i="4"/>
  <c r="G173" i="4"/>
  <c r="F173" i="4"/>
  <c r="C173" i="4"/>
  <c r="B173" i="4"/>
  <c r="P172" i="4"/>
  <c r="N172" i="4"/>
  <c r="L172" i="4"/>
  <c r="K172" i="4"/>
  <c r="M172" i="4" s="1"/>
  <c r="O172" i="4" s="1"/>
  <c r="Q172" i="4" s="1"/>
  <c r="J172" i="4"/>
  <c r="I172" i="4"/>
  <c r="H172" i="4"/>
  <c r="G172" i="4"/>
  <c r="F172" i="4"/>
  <c r="C172" i="4"/>
  <c r="B172" i="4"/>
  <c r="P171" i="4"/>
  <c r="N171" i="4"/>
  <c r="L171" i="4"/>
  <c r="K171" i="4"/>
  <c r="M171" i="4" s="1"/>
  <c r="O171" i="4" s="1"/>
  <c r="Q171" i="4" s="1"/>
  <c r="J171" i="4"/>
  <c r="I171" i="4"/>
  <c r="H171" i="4"/>
  <c r="G171" i="4"/>
  <c r="F171" i="4"/>
  <c r="C171" i="4"/>
  <c r="B171" i="4"/>
  <c r="P170" i="4"/>
  <c r="N170" i="4"/>
  <c r="L170" i="4"/>
  <c r="K170" i="4"/>
  <c r="M170" i="4" s="1"/>
  <c r="O170" i="4" s="1"/>
  <c r="Q170" i="4" s="1"/>
  <c r="J170" i="4"/>
  <c r="I170" i="4"/>
  <c r="H170" i="4"/>
  <c r="G170" i="4"/>
  <c r="F170" i="4"/>
  <c r="C170" i="4"/>
  <c r="B170" i="4"/>
  <c r="P169" i="4"/>
  <c r="N169" i="4"/>
  <c r="L169" i="4"/>
  <c r="K169" i="4"/>
  <c r="M169" i="4" s="1"/>
  <c r="O169" i="4" s="1"/>
  <c r="Q169" i="4" s="1"/>
  <c r="J169" i="4"/>
  <c r="I169" i="4"/>
  <c r="H169" i="4"/>
  <c r="G169" i="4"/>
  <c r="F169" i="4"/>
  <c r="C169" i="4"/>
  <c r="B169" i="4"/>
  <c r="P168" i="4"/>
  <c r="N168" i="4"/>
  <c r="L168" i="4"/>
  <c r="K168" i="4"/>
  <c r="M168" i="4" s="1"/>
  <c r="O168" i="4" s="1"/>
  <c r="Q168" i="4" s="1"/>
  <c r="J168" i="4"/>
  <c r="I168" i="4"/>
  <c r="H168" i="4"/>
  <c r="G168" i="4"/>
  <c r="F168" i="4"/>
  <c r="C168" i="4"/>
  <c r="B168" i="4"/>
  <c r="P167" i="4"/>
  <c r="N167" i="4"/>
  <c r="L167" i="4"/>
  <c r="K167" i="4"/>
  <c r="M167" i="4" s="1"/>
  <c r="O167" i="4" s="1"/>
  <c r="Q167" i="4" s="1"/>
  <c r="J167" i="4"/>
  <c r="I167" i="4"/>
  <c r="H167" i="4"/>
  <c r="G167" i="4"/>
  <c r="F167" i="4"/>
  <c r="C167" i="4"/>
  <c r="B167" i="4"/>
  <c r="P166" i="4"/>
  <c r="N166" i="4"/>
  <c r="L166" i="4"/>
  <c r="K166" i="4"/>
  <c r="M166" i="4" s="1"/>
  <c r="O166" i="4" s="1"/>
  <c r="Q166" i="4" s="1"/>
  <c r="J166" i="4"/>
  <c r="I166" i="4"/>
  <c r="H166" i="4"/>
  <c r="G166" i="4"/>
  <c r="F166" i="4"/>
  <c r="C166" i="4"/>
  <c r="B166" i="4"/>
  <c r="P165" i="4"/>
  <c r="N165" i="4"/>
  <c r="L165" i="4"/>
  <c r="K165" i="4"/>
  <c r="M165" i="4" s="1"/>
  <c r="O165" i="4" s="1"/>
  <c r="Q165" i="4" s="1"/>
  <c r="J165" i="4"/>
  <c r="I165" i="4"/>
  <c r="H165" i="4"/>
  <c r="G165" i="4"/>
  <c r="F165" i="4"/>
  <c r="C165" i="4"/>
  <c r="B165" i="4"/>
  <c r="P164" i="4"/>
  <c r="N164" i="4"/>
  <c r="L164" i="4"/>
  <c r="K164" i="4"/>
  <c r="M164" i="4" s="1"/>
  <c r="O164" i="4" s="1"/>
  <c r="Q164" i="4" s="1"/>
  <c r="J164" i="4"/>
  <c r="I164" i="4"/>
  <c r="H164" i="4"/>
  <c r="G164" i="4"/>
  <c r="F164" i="4"/>
  <c r="C164" i="4"/>
  <c r="B164" i="4"/>
  <c r="P163" i="4"/>
  <c r="N163" i="4"/>
  <c r="L163" i="4"/>
  <c r="K163" i="4"/>
  <c r="M163" i="4" s="1"/>
  <c r="O163" i="4" s="1"/>
  <c r="Q163" i="4" s="1"/>
  <c r="J163" i="4"/>
  <c r="I163" i="4"/>
  <c r="H163" i="4"/>
  <c r="G163" i="4"/>
  <c r="F163" i="4"/>
  <c r="C163" i="4"/>
  <c r="B163" i="4"/>
  <c r="P162" i="4"/>
  <c r="N162" i="4"/>
  <c r="L162" i="4"/>
  <c r="K162" i="4"/>
  <c r="M162" i="4" s="1"/>
  <c r="O162" i="4" s="1"/>
  <c r="Q162" i="4" s="1"/>
  <c r="J162" i="4"/>
  <c r="I162" i="4"/>
  <c r="H162" i="4"/>
  <c r="G162" i="4"/>
  <c r="F162" i="4"/>
  <c r="C162" i="4"/>
  <c r="B162" i="4"/>
  <c r="P161" i="4"/>
  <c r="N161" i="4"/>
  <c r="L161" i="4"/>
  <c r="K161" i="4"/>
  <c r="M161" i="4" s="1"/>
  <c r="O161" i="4" s="1"/>
  <c r="Q161" i="4" s="1"/>
  <c r="J161" i="4"/>
  <c r="I161" i="4"/>
  <c r="H161" i="4"/>
  <c r="G161" i="4"/>
  <c r="F161" i="4"/>
  <c r="C161" i="4"/>
  <c r="B161" i="4"/>
  <c r="P160" i="4"/>
  <c r="N160" i="4"/>
  <c r="L160" i="4"/>
  <c r="K160" i="4"/>
  <c r="M160" i="4" s="1"/>
  <c r="O160" i="4" s="1"/>
  <c r="Q160" i="4" s="1"/>
  <c r="J160" i="4"/>
  <c r="I160" i="4"/>
  <c r="H160" i="4"/>
  <c r="G160" i="4"/>
  <c r="F160" i="4"/>
  <c r="C160" i="4"/>
  <c r="B160" i="4"/>
  <c r="P159" i="4"/>
  <c r="N159" i="4"/>
  <c r="L159" i="4"/>
  <c r="K159" i="4"/>
  <c r="M159" i="4" s="1"/>
  <c r="O159" i="4" s="1"/>
  <c r="Q159" i="4" s="1"/>
  <c r="J159" i="4"/>
  <c r="I159" i="4"/>
  <c r="H159" i="4"/>
  <c r="G159" i="4"/>
  <c r="F159" i="4"/>
  <c r="C159" i="4"/>
  <c r="B159" i="4"/>
  <c r="P158" i="4"/>
  <c r="N158" i="4"/>
  <c r="L158" i="4"/>
  <c r="K158" i="4"/>
  <c r="M158" i="4" s="1"/>
  <c r="O158" i="4" s="1"/>
  <c r="Q158" i="4" s="1"/>
  <c r="J158" i="4"/>
  <c r="I158" i="4"/>
  <c r="H158" i="4"/>
  <c r="G158" i="4"/>
  <c r="F158" i="4"/>
  <c r="C158" i="4"/>
  <c r="B158" i="4"/>
  <c r="P157" i="4"/>
  <c r="N157" i="4"/>
  <c r="L157" i="4"/>
  <c r="K157" i="4"/>
  <c r="M157" i="4" s="1"/>
  <c r="O157" i="4" s="1"/>
  <c r="Q157" i="4" s="1"/>
  <c r="J157" i="4"/>
  <c r="I157" i="4"/>
  <c r="H157" i="4"/>
  <c r="G157" i="4"/>
  <c r="F157" i="4"/>
  <c r="C157" i="4"/>
  <c r="B157" i="4"/>
  <c r="P156" i="4"/>
  <c r="N156" i="4"/>
  <c r="L156" i="4"/>
  <c r="K156" i="4"/>
  <c r="M156" i="4" s="1"/>
  <c r="O156" i="4" s="1"/>
  <c r="Q156" i="4" s="1"/>
  <c r="J156" i="4"/>
  <c r="I156" i="4"/>
  <c r="H156" i="4"/>
  <c r="G156" i="4"/>
  <c r="F156" i="4"/>
  <c r="C156" i="4"/>
  <c r="B156" i="4"/>
  <c r="P155" i="4"/>
  <c r="N155" i="4"/>
  <c r="L155" i="4"/>
  <c r="K155" i="4"/>
  <c r="M155" i="4" s="1"/>
  <c r="O155" i="4" s="1"/>
  <c r="Q155" i="4" s="1"/>
  <c r="J155" i="4"/>
  <c r="I155" i="4"/>
  <c r="H155" i="4"/>
  <c r="G155" i="4"/>
  <c r="F155" i="4"/>
  <c r="C155" i="4"/>
  <c r="B155" i="4"/>
  <c r="P154" i="4"/>
  <c r="N154" i="4"/>
  <c r="L154" i="4"/>
  <c r="K154" i="4"/>
  <c r="M154" i="4" s="1"/>
  <c r="O154" i="4" s="1"/>
  <c r="Q154" i="4" s="1"/>
  <c r="J154" i="4"/>
  <c r="I154" i="4"/>
  <c r="H154" i="4"/>
  <c r="G154" i="4"/>
  <c r="F154" i="4"/>
  <c r="C154" i="4"/>
  <c r="B154" i="4"/>
  <c r="P153" i="4"/>
  <c r="N153" i="4"/>
  <c r="L153" i="4"/>
  <c r="K153" i="4"/>
  <c r="M153" i="4" s="1"/>
  <c r="O153" i="4" s="1"/>
  <c r="Q153" i="4" s="1"/>
  <c r="J153" i="4"/>
  <c r="I153" i="4"/>
  <c r="H153" i="4"/>
  <c r="G153" i="4"/>
  <c r="F153" i="4"/>
  <c r="C153" i="4"/>
  <c r="B153" i="4"/>
  <c r="P152" i="4"/>
  <c r="N152" i="4"/>
  <c r="L152" i="4"/>
  <c r="K152" i="4"/>
  <c r="M152" i="4" s="1"/>
  <c r="O152" i="4" s="1"/>
  <c r="Q152" i="4" s="1"/>
  <c r="J152" i="4"/>
  <c r="I152" i="4"/>
  <c r="H152" i="4"/>
  <c r="G152" i="4"/>
  <c r="F152" i="4"/>
  <c r="C152" i="4"/>
  <c r="B152" i="4"/>
  <c r="P151" i="4"/>
  <c r="N151" i="4"/>
  <c r="L151" i="4"/>
  <c r="K151" i="4"/>
  <c r="M151" i="4" s="1"/>
  <c r="O151" i="4" s="1"/>
  <c r="Q151" i="4" s="1"/>
  <c r="J151" i="4"/>
  <c r="I151" i="4"/>
  <c r="H151" i="4"/>
  <c r="G151" i="4"/>
  <c r="F151" i="4"/>
  <c r="C151" i="4"/>
  <c r="B151" i="4"/>
  <c r="P150" i="4"/>
  <c r="N150" i="4"/>
  <c r="L150" i="4"/>
  <c r="K150" i="4"/>
  <c r="M150" i="4" s="1"/>
  <c r="O150" i="4" s="1"/>
  <c r="Q150" i="4" s="1"/>
  <c r="J150" i="4"/>
  <c r="I150" i="4"/>
  <c r="H150" i="4"/>
  <c r="G150" i="4"/>
  <c r="F150" i="4"/>
  <c r="C150" i="4"/>
  <c r="B150" i="4"/>
  <c r="P149" i="4"/>
  <c r="N149" i="4"/>
  <c r="L149" i="4"/>
  <c r="K149" i="4"/>
  <c r="M149" i="4" s="1"/>
  <c r="O149" i="4" s="1"/>
  <c r="Q149" i="4" s="1"/>
  <c r="J149" i="4"/>
  <c r="I149" i="4"/>
  <c r="H149" i="4"/>
  <c r="G149" i="4"/>
  <c r="F149" i="4"/>
  <c r="C149" i="4"/>
  <c r="B149" i="4"/>
  <c r="P148" i="4"/>
  <c r="N148" i="4"/>
  <c r="L148" i="4"/>
  <c r="K148" i="4"/>
  <c r="M148" i="4" s="1"/>
  <c r="O148" i="4" s="1"/>
  <c r="Q148" i="4" s="1"/>
  <c r="J148" i="4"/>
  <c r="I148" i="4"/>
  <c r="H148" i="4"/>
  <c r="G148" i="4"/>
  <c r="F148" i="4"/>
  <c r="C148" i="4"/>
  <c r="B148" i="4"/>
  <c r="P147" i="4"/>
  <c r="N147" i="4"/>
  <c r="L147" i="4"/>
  <c r="K147" i="4"/>
  <c r="M147" i="4" s="1"/>
  <c r="O147" i="4" s="1"/>
  <c r="Q147" i="4" s="1"/>
  <c r="J147" i="4"/>
  <c r="I147" i="4"/>
  <c r="H147" i="4"/>
  <c r="G147" i="4"/>
  <c r="F147" i="4"/>
  <c r="C147" i="4"/>
  <c r="B147" i="4"/>
  <c r="P146" i="4"/>
  <c r="N146" i="4"/>
  <c r="L146" i="4"/>
  <c r="K146" i="4"/>
  <c r="M146" i="4" s="1"/>
  <c r="O146" i="4" s="1"/>
  <c r="Q146" i="4" s="1"/>
  <c r="J146" i="4"/>
  <c r="I146" i="4"/>
  <c r="H146" i="4"/>
  <c r="G146" i="4"/>
  <c r="F146" i="4"/>
  <c r="C146" i="4"/>
  <c r="B146" i="4"/>
  <c r="P145" i="4"/>
  <c r="N145" i="4"/>
  <c r="L145" i="4"/>
  <c r="K145" i="4"/>
  <c r="M145" i="4" s="1"/>
  <c r="O145" i="4" s="1"/>
  <c r="Q145" i="4" s="1"/>
  <c r="J145" i="4"/>
  <c r="I145" i="4"/>
  <c r="H145" i="4"/>
  <c r="G145" i="4"/>
  <c r="F145" i="4"/>
  <c r="C145" i="4"/>
  <c r="B145" i="4"/>
  <c r="P144" i="4"/>
  <c r="N144" i="4"/>
  <c r="L144" i="4"/>
  <c r="K144" i="4"/>
  <c r="M144" i="4" s="1"/>
  <c r="O144" i="4" s="1"/>
  <c r="Q144" i="4" s="1"/>
  <c r="J144" i="4"/>
  <c r="I144" i="4"/>
  <c r="H144" i="4"/>
  <c r="G144" i="4"/>
  <c r="F144" i="4"/>
  <c r="C144" i="4"/>
  <c r="B144" i="4"/>
  <c r="P143" i="4"/>
  <c r="N143" i="4"/>
  <c r="L143" i="4"/>
  <c r="K143" i="4"/>
  <c r="M143" i="4" s="1"/>
  <c r="O143" i="4" s="1"/>
  <c r="Q143" i="4" s="1"/>
  <c r="J143" i="4"/>
  <c r="I143" i="4"/>
  <c r="H143" i="4"/>
  <c r="G143" i="4"/>
  <c r="F143" i="4"/>
  <c r="C143" i="4"/>
  <c r="B143" i="4"/>
  <c r="P142" i="4"/>
  <c r="N142" i="4"/>
  <c r="L142" i="4"/>
  <c r="K142" i="4"/>
  <c r="M142" i="4" s="1"/>
  <c r="O142" i="4" s="1"/>
  <c r="Q142" i="4" s="1"/>
  <c r="J142" i="4"/>
  <c r="I142" i="4"/>
  <c r="H142" i="4"/>
  <c r="G142" i="4"/>
  <c r="F142" i="4"/>
  <c r="C142" i="4"/>
  <c r="B142" i="4"/>
  <c r="P141" i="4"/>
  <c r="N141" i="4"/>
  <c r="L141" i="4"/>
  <c r="K141" i="4"/>
  <c r="M141" i="4" s="1"/>
  <c r="O141" i="4" s="1"/>
  <c r="Q141" i="4" s="1"/>
  <c r="J141" i="4"/>
  <c r="I141" i="4"/>
  <c r="H141" i="4"/>
  <c r="G141" i="4"/>
  <c r="F141" i="4"/>
  <c r="C141" i="4"/>
  <c r="B141" i="4"/>
  <c r="P140" i="4"/>
  <c r="N140" i="4"/>
  <c r="L140" i="4"/>
  <c r="K140" i="4"/>
  <c r="M140" i="4" s="1"/>
  <c r="O140" i="4" s="1"/>
  <c r="Q140" i="4" s="1"/>
  <c r="J140" i="4"/>
  <c r="I140" i="4"/>
  <c r="H140" i="4"/>
  <c r="G140" i="4"/>
  <c r="F140" i="4"/>
  <c r="C140" i="4"/>
  <c r="B140" i="4"/>
  <c r="P139" i="4"/>
  <c r="N139" i="4"/>
  <c r="L139" i="4"/>
  <c r="K139" i="4"/>
  <c r="M139" i="4" s="1"/>
  <c r="O139" i="4" s="1"/>
  <c r="Q139" i="4" s="1"/>
  <c r="J139" i="4"/>
  <c r="I139" i="4"/>
  <c r="H139" i="4"/>
  <c r="G139" i="4"/>
  <c r="F139" i="4"/>
  <c r="C139" i="4"/>
  <c r="B139" i="4"/>
  <c r="P138" i="4"/>
  <c r="N138" i="4"/>
  <c r="L138" i="4"/>
  <c r="K138" i="4"/>
  <c r="M138" i="4" s="1"/>
  <c r="O138" i="4" s="1"/>
  <c r="Q138" i="4" s="1"/>
  <c r="J138" i="4"/>
  <c r="I138" i="4"/>
  <c r="H138" i="4"/>
  <c r="G138" i="4"/>
  <c r="F138" i="4"/>
  <c r="C138" i="4"/>
  <c r="B138" i="4"/>
  <c r="P137" i="4"/>
  <c r="N137" i="4"/>
  <c r="L137" i="4"/>
  <c r="K137" i="4"/>
  <c r="M137" i="4" s="1"/>
  <c r="O137" i="4" s="1"/>
  <c r="Q137" i="4" s="1"/>
  <c r="J137" i="4"/>
  <c r="I137" i="4"/>
  <c r="H137" i="4"/>
  <c r="G137" i="4"/>
  <c r="F137" i="4"/>
  <c r="C137" i="4"/>
  <c r="B137" i="4"/>
  <c r="P136" i="4"/>
  <c r="N136" i="4"/>
  <c r="L136" i="4"/>
  <c r="K136" i="4"/>
  <c r="M136" i="4" s="1"/>
  <c r="O136" i="4" s="1"/>
  <c r="Q136" i="4" s="1"/>
  <c r="J136" i="4"/>
  <c r="I136" i="4"/>
  <c r="H136" i="4"/>
  <c r="G136" i="4"/>
  <c r="F136" i="4"/>
  <c r="C136" i="4"/>
  <c r="B136" i="4"/>
  <c r="P135" i="4"/>
  <c r="N135" i="4"/>
  <c r="L135" i="4"/>
  <c r="K135" i="4"/>
  <c r="M135" i="4" s="1"/>
  <c r="O135" i="4" s="1"/>
  <c r="Q135" i="4" s="1"/>
  <c r="J135" i="4"/>
  <c r="I135" i="4"/>
  <c r="H135" i="4"/>
  <c r="G135" i="4"/>
  <c r="F135" i="4"/>
  <c r="C135" i="4"/>
  <c r="B135" i="4"/>
  <c r="P134" i="4"/>
  <c r="N134" i="4"/>
  <c r="L134" i="4"/>
  <c r="K134" i="4"/>
  <c r="M134" i="4" s="1"/>
  <c r="O134" i="4" s="1"/>
  <c r="Q134" i="4" s="1"/>
  <c r="J134" i="4"/>
  <c r="I134" i="4"/>
  <c r="H134" i="4"/>
  <c r="G134" i="4"/>
  <c r="F134" i="4"/>
  <c r="C134" i="4"/>
  <c r="B134" i="4"/>
  <c r="P133" i="4"/>
  <c r="N133" i="4"/>
  <c r="L133" i="4"/>
  <c r="K133" i="4"/>
  <c r="M133" i="4" s="1"/>
  <c r="O133" i="4" s="1"/>
  <c r="Q133" i="4" s="1"/>
  <c r="J133" i="4"/>
  <c r="I133" i="4"/>
  <c r="H133" i="4"/>
  <c r="G133" i="4"/>
  <c r="F133" i="4"/>
  <c r="C133" i="4"/>
  <c r="B133" i="4"/>
  <c r="P132" i="4"/>
  <c r="N132" i="4"/>
  <c r="L132" i="4"/>
  <c r="K132" i="4"/>
  <c r="M132" i="4" s="1"/>
  <c r="O132" i="4" s="1"/>
  <c r="Q132" i="4" s="1"/>
  <c r="J132" i="4"/>
  <c r="I132" i="4"/>
  <c r="H132" i="4"/>
  <c r="G132" i="4"/>
  <c r="F132" i="4"/>
  <c r="C132" i="4"/>
  <c r="B132" i="4"/>
  <c r="P131" i="4"/>
  <c r="N131" i="4"/>
  <c r="L131" i="4"/>
  <c r="K131" i="4"/>
  <c r="M131" i="4" s="1"/>
  <c r="O131" i="4" s="1"/>
  <c r="Q131" i="4" s="1"/>
  <c r="J131" i="4"/>
  <c r="I131" i="4"/>
  <c r="H131" i="4"/>
  <c r="G131" i="4"/>
  <c r="F131" i="4"/>
  <c r="C131" i="4"/>
  <c r="B131" i="4"/>
  <c r="P130" i="4"/>
  <c r="N130" i="4"/>
  <c r="L130" i="4"/>
  <c r="K130" i="4"/>
  <c r="M130" i="4" s="1"/>
  <c r="O130" i="4" s="1"/>
  <c r="Q130" i="4" s="1"/>
  <c r="J130" i="4"/>
  <c r="I130" i="4"/>
  <c r="H130" i="4"/>
  <c r="G130" i="4"/>
  <c r="F130" i="4"/>
  <c r="C130" i="4"/>
  <c r="B130" i="4"/>
  <c r="P129" i="4"/>
  <c r="N129" i="4"/>
  <c r="L129" i="4"/>
  <c r="K129" i="4"/>
  <c r="M129" i="4" s="1"/>
  <c r="O129" i="4" s="1"/>
  <c r="Q129" i="4" s="1"/>
  <c r="J129" i="4"/>
  <c r="I129" i="4"/>
  <c r="H129" i="4"/>
  <c r="G129" i="4"/>
  <c r="F129" i="4"/>
  <c r="C129" i="4"/>
  <c r="B129" i="4"/>
  <c r="P128" i="4"/>
  <c r="N128" i="4"/>
  <c r="L128" i="4"/>
  <c r="K128" i="4"/>
  <c r="M128" i="4" s="1"/>
  <c r="O128" i="4" s="1"/>
  <c r="Q128" i="4" s="1"/>
  <c r="J128" i="4"/>
  <c r="I128" i="4"/>
  <c r="H128" i="4"/>
  <c r="G128" i="4"/>
  <c r="F128" i="4"/>
  <c r="C128" i="4"/>
  <c r="B128" i="4"/>
  <c r="P127" i="4"/>
  <c r="N127" i="4"/>
  <c r="L127" i="4"/>
  <c r="K127" i="4"/>
  <c r="M127" i="4" s="1"/>
  <c r="O127" i="4" s="1"/>
  <c r="Q127" i="4" s="1"/>
  <c r="J127" i="4"/>
  <c r="I127" i="4"/>
  <c r="H127" i="4"/>
  <c r="G127" i="4"/>
  <c r="F127" i="4"/>
  <c r="C127" i="4"/>
  <c r="B127" i="4"/>
  <c r="P126" i="4"/>
  <c r="N126" i="4"/>
  <c r="L126" i="4"/>
  <c r="K126" i="4"/>
  <c r="M126" i="4" s="1"/>
  <c r="O126" i="4" s="1"/>
  <c r="Q126" i="4" s="1"/>
  <c r="J126" i="4"/>
  <c r="I126" i="4"/>
  <c r="H126" i="4"/>
  <c r="G126" i="4"/>
  <c r="F126" i="4"/>
  <c r="C126" i="4"/>
  <c r="B126" i="4"/>
  <c r="P125" i="4"/>
  <c r="N125" i="4"/>
  <c r="L125" i="4"/>
  <c r="K125" i="4"/>
  <c r="M125" i="4" s="1"/>
  <c r="O125" i="4" s="1"/>
  <c r="Q125" i="4" s="1"/>
  <c r="J125" i="4"/>
  <c r="I125" i="4"/>
  <c r="H125" i="4"/>
  <c r="G125" i="4"/>
  <c r="F125" i="4"/>
  <c r="C125" i="4"/>
  <c r="B125" i="4"/>
  <c r="P124" i="4"/>
  <c r="N124" i="4"/>
  <c r="L124" i="4"/>
  <c r="K124" i="4"/>
  <c r="M124" i="4" s="1"/>
  <c r="O124" i="4" s="1"/>
  <c r="Q124" i="4" s="1"/>
  <c r="J124" i="4"/>
  <c r="I124" i="4"/>
  <c r="H124" i="4"/>
  <c r="G124" i="4"/>
  <c r="F124" i="4"/>
  <c r="C124" i="4"/>
  <c r="B124" i="4"/>
  <c r="P123" i="4"/>
  <c r="N123" i="4"/>
  <c r="L123" i="4"/>
  <c r="K123" i="4"/>
  <c r="M123" i="4" s="1"/>
  <c r="O123" i="4" s="1"/>
  <c r="Q123" i="4" s="1"/>
  <c r="J123" i="4"/>
  <c r="I123" i="4"/>
  <c r="H123" i="4"/>
  <c r="G123" i="4"/>
  <c r="F123" i="4"/>
  <c r="C123" i="4"/>
  <c r="B123" i="4"/>
  <c r="P122" i="4"/>
  <c r="N122" i="4"/>
  <c r="L122" i="4"/>
  <c r="K122" i="4"/>
  <c r="M122" i="4" s="1"/>
  <c r="O122" i="4" s="1"/>
  <c r="Q122" i="4" s="1"/>
  <c r="J122" i="4"/>
  <c r="I122" i="4"/>
  <c r="H122" i="4"/>
  <c r="G122" i="4"/>
  <c r="F122" i="4"/>
  <c r="C122" i="4"/>
  <c r="B122" i="4"/>
  <c r="P121" i="4"/>
  <c r="N121" i="4"/>
  <c r="L121" i="4"/>
  <c r="K121" i="4"/>
  <c r="M121" i="4" s="1"/>
  <c r="O121" i="4" s="1"/>
  <c r="Q121" i="4" s="1"/>
  <c r="J121" i="4"/>
  <c r="I121" i="4"/>
  <c r="H121" i="4"/>
  <c r="G121" i="4"/>
  <c r="F121" i="4"/>
  <c r="C121" i="4"/>
  <c r="B121" i="4"/>
  <c r="P120" i="4"/>
  <c r="N120" i="4"/>
  <c r="L120" i="4"/>
  <c r="K120" i="4"/>
  <c r="M120" i="4" s="1"/>
  <c r="O120" i="4" s="1"/>
  <c r="Q120" i="4" s="1"/>
  <c r="J120" i="4"/>
  <c r="I120" i="4"/>
  <c r="H120" i="4"/>
  <c r="G120" i="4"/>
  <c r="F120" i="4"/>
  <c r="C120" i="4"/>
  <c r="B120" i="4"/>
  <c r="P119" i="4"/>
  <c r="N119" i="4"/>
  <c r="L119" i="4"/>
  <c r="K119" i="4"/>
  <c r="M119" i="4" s="1"/>
  <c r="O119" i="4" s="1"/>
  <c r="Q119" i="4" s="1"/>
  <c r="J119" i="4"/>
  <c r="I119" i="4"/>
  <c r="H119" i="4"/>
  <c r="G119" i="4"/>
  <c r="F119" i="4"/>
  <c r="C119" i="4"/>
  <c r="B119" i="4"/>
  <c r="P118" i="4"/>
  <c r="N118" i="4"/>
  <c r="L118" i="4"/>
  <c r="K118" i="4"/>
  <c r="M118" i="4" s="1"/>
  <c r="O118" i="4" s="1"/>
  <c r="Q118" i="4" s="1"/>
  <c r="J118" i="4"/>
  <c r="I118" i="4"/>
  <c r="H118" i="4"/>
  <c r="G118" i="4"/>
  <c r="F118" i="4"/>
  <c r="C118" i="4"/>
  <c r="B118" i="4"/>
  <c r="P117" i="4"/>
  <c r="N117" i="4"/>
  <c r="L117" i="4"/>
  <c r="K117" i="4"/>
  <c r="M117" i="4" s="1"/>
  <c r="O117" i="4" s="1"/>
  <c r="Q117" i="4" s="1"/>
  <c r="J117" i="4"/>
  <c r="I117" i="4"/>
  <c r="H117" i="4"/>
  <c r="G117" i="4"/>
  <c r="F117" i="4"/>
  <c r="C117" i="4"/>
  <c r="B117" i="4"/>
  <c r="P116" i="4"/>
  <c r="N116" i="4"/>
  <c r="L116" i="4"/>
  <c r="K116" i="4"/>
  <c r="M116" i="4" s="1"/>
  <c r="O116" i="4" s="1"/>
  <c r="Q116" i="4" s="1"/>
  <c r="J116" i="4"/>
  <c r="I116" i="4"/>
  <c r="H116" i="4"/>
  <c r="G116" i="4"/>
  <c r="F116" i="4"/>
  <c r="C116" i="4"/>
  <c r="B116" i="4"/>
  <c r="P115" i="4"/>
  <c r="N115" i="4"/>
  <c r="L115" i="4"/>
  <c r="K115" i="4"/>
  <c r="M115" i="4" s="1"/>
  <c r="O115" i="4" s="1"/>
  <c r="Q115" i="4" s="1"/>
  <c r="J115" i="4"/>
  <c r="I115" i="4"/>
  <c r="H115" i="4"/>
  <c r="G115" i="4"/>
  <c r="F115" i="4"/>
  <c r="C115" i="4"/>
  <c r="B115" i="4"/>
  <c r="P114" i="4"/>
  <c r="N114" i="4"/>
  <c r="L114" i="4"/>
  <c r="K114" i="4"/>
  <c r="M114" i="4" s="1"/>
  <c r="O114" i="4" s="1"/>
  <c r="Q114" i="4" s="1"/>
  <c r="J114" i="4"/>
  <c r="I114" i="4"/>
  <c r="H114" i="4"/>
  <c r="G114" i="4"/>
  <c r="F114" i="4"/>
  <c r="C114" i="4"/>
  <c r="B114" i="4"/>
  <c r="P113" i="4"/>
  <c r="N113" i="4"/>
  <c r="L113" i="4"/>
  <c r="K113" i="4"/>
  <c r="M113" i="4" s="1"/>
  <c r="O113" i="4" s="1"/>
  <c r="Q113" i="4" s="1"/>
  <c r="J113" i="4"/>
  <c r="I113" i="4"/>
  <c r="H113" i="4"/>
  <c r="G113" i="4"/>
  <c r="F113" i="4"/>
  <c r="C113" i="4"/>
  <c r="B113" i="4"/>
  <c r="P112" i="4"/>
  <c r="N112" i="4"/>
  <c r="L112" i="4"/>
  <c r="K112" i="4"/>
  <c r="M112" i="4" s="1"/>
  <c r="O112" i="4" s="1"/>
  <c r="Q112" i="4" s="1"/>
  <c r="J112" i="4"/>
  <c r="I112" i="4"/>
  <c r="H112" i="4"/>
  <c r="G112" i="4"/>
  <c r="F112" i="4"/>
  <c r="C112" i="4"/>
  <c r="B112" i="4"/>
  <c r="P111" i="4"/>
  <c r="N111" i="4"/>
  <c r="L111" i="4"/>
  <c r="K111" i="4"/>
  <c r="M111" i="4" s="1"/>
  <c r="O111" i="4" s="1"/>
  <c r="Q111" i="4" s="1"/>
  <c r="J111" i="4"/>
  <c r="I111" i="4"/>
  <c r="H111" i="4"/>
  <c r="G111" i="4"/>
  <c r="F111" i="4"/>
  <c r="C111" i="4"/>
  <c r="B111" i="4"/>
  <c r="P110" i="4"/>
  <c r="N110" i="4"/>
  <c r="L110" i="4"/>
  <c r="K110" i="4"/>
  <c r="M110" i="4" s="1"/>
  <c r="O110" i="4" s="1"/>
  <c r="Q110" i="4" s="1"/>
  <c r="J110" i="4"/>
  <c r="I110" i="4"/>
  <c r="H110" i="4"/>
  <c r="G110" i="4"/>
  <c r="F110" i="4"/>
  <c r="C110" i="4"/>
  <c r="B110" i="4"/>
  <c r="P109" i="4"/>
  <c r="N109" i="4"/>
  <c r="L109" i="4"/>
  <c r="K109" i="4"/>
  <c r="M109" i="4" s="1"/>
  <c r="O109" i="4" s="1"/>
  <c r="Q109" i="4" s="1"/>
  <c r="J109" i="4"/>
  <c r="I109" i="4"/>
  <c r="H109" i="4"/>
  <c r="G109" i="4"/>
  <c r="F109" i="4"/>
  <c r="C109" i="4"/>
  <c r="B109" i="4"/>
  <c r="P108" i="4"/>
  <c r="N108" i="4"/>
  <c r="L108" i="4"/>
  <c r="K108" i="4"/>
  <c r="M108" i="4" s="1"/>
  <c r="O108" i="4" s="1"/>
  <c r="Q108" i="4" s="1"/>
  <c r="J108" i="4"/>
  <c r="I108" i="4"/>
  <c r="H108" i="4"/>
  <c r="G108" i="4"/>
  <c r="F108" i="4"/>
  <c r="C108" i="4"/>
  <c r="B108" i="4"/>
  <c r="P107" i="4"/>
  <c r="N107" i="4"/>
  <c r="L107" i="4"/>
  <c r="K107" i="4"/>
  <c r="M107" i="4" s="1"/>
  <c r="O107" i="4" s="1"/>
  <c r="Q107" i="4" s="1"/>
  <c r="J107" i="4"/>
  <c r="I107" i="4"/>
  <c r="H107" i="4"/>
  <c r="G107" i="4"/>
  <c r="F107" i="4"/>
  <c r="C107" i="4"/>
  <c r="B107" i="4"/>
  <c r="P106" i="4"/>
  <c r="N106" i="4"/>
  <c r="L106" i="4"/>
  <c r="K106" i="4"/>
  <c r="M106" i="4" s="1"/>
  <c r="O106" i="4" s="1"/>
  <c r="Q106" i="4" s="1"/>
  <c r="J106" i="4"/>
  <c r="I106" i="4"/>
  <c r="H106" i="4"/>
  <c r="G106" i="4"/>
  <c r="F106" i="4"/>
  <c r="C106" i="4"/>
  <c r="B106" i="4"/>
  <c r="P105" i="4"/>
  <c r="N105" i="4"/>
  <c r="L105" i="4"/>
  <c r="K105" i="4"/>
  <c r="M105" i="4" s="1"/>
  <c r="O105" i="4" s="1"/>
  <c r="Q105" i="4" s="1"/>
  <c r="J105" i="4"/>
  <c r="I105" i="4"/>
  <c r="H105" i="4"/>
  <c r="G105" i="4"/>
  <c r="F105" i="4"/>
  <c r="C105" i="4"/>
  <c r="B105" i="4"/>
  <c r="P104" i="4"/>
  <c r="N104" i="4"/>
  <c r="L104" i="4"/>
  <c r="K104" i="4"/>
  <c r="M104" i="4" s="1"/>
  <c r="O104" i="4" s="1"/>
  <c r="Q104" i="4" s="1"/>
  <c r="J104" i="4"/>
  <c r="I104" i="4"/>
  <c r="H104" i="4"/>
  <c r="G104" i="4"/>
  <c r="F104" i="4"/>
  <c r="C104" i="4"/>
  <c r="B104" i="4"/>
  <c r="P103" i="4"/>
  <c r="N103" i="4"/>
  <c r="L103" i="4"/>
  <c r="K103" i="4"/>
  <c r="M103" i="4" s="1"/>
  <c r="O103" i="4" s="1"/>
  <c r="Q103" i="4" s="1"/>
  <c r="J103" i="4"/>
  <c r="I103" i="4"/>
  <c r="H103" i="4"/>
  <c r="G103" i="4"/>
  <c r="F103" i="4"/>
  <c r="C103" i="4"/>
  <c r="B103" i="4"/>
  <c r="P102" i="4"/>
  <c r="N102" i="4"/>
  <c r="L102" i="4"/>
  <c r="K102" i="4"/>
  <c r="M102" i="4" s="1"/>
  <c r="O102" i="4" s="1"/>
  <c r="Q102" i="4" s="1"/>
  <c r="J102" i="4"/>
  <c r="I102" i="4"/>
  <c r="H102" i="4"/>
  <c r="G102" i="4"/>
  <c r="F102" i="4"/>
  <c r="C102" i="4"/>
  <c r="B102" i="4"/>
  <c r="P101" i="4"/>
  <c r="N101" i="4"/>
  <c r="L101" i="4"/>
  <c r="K101" i="4"/>
  <c r="M101" i="4" s="1"/>
  <c r="O101" i="4" s="1"/>
  <c r="Q101" i="4" s="1"/>
  <c r="J101" i="4"/>
  <c r="I101" i="4"/>
  <c r="H101" i="4"/>
  <c r="G101" i="4"/>
  <c r="F101" i="4"/>
  <c r="C101" i="4"/>
  <c r="B101" i="4"/>
  <c r="P100" i="4"/>
  <c r="N100" i="4"/>
  <c r="L100" i="4"/>
  <c r="K100" i="4"/>
  <c r="M100" i="4" s="1"/>
  <c r="O100" i="4" s="1"/>
  <c r="Q100" i="4" s="1"/>
  <c r="J100" i="4"/>
  <c r="I100" i="4"/>
  <c r="H100" i="4"/>
  <c r="G100" i="4"/>
  <c r="F100" i="4"/>
  <c r="C100" i="4"/>
  <c r="B100" i="4"/>
  <c r="P99" i="4"/>
  <c r="N99" i="4"/>
  <c r="L99" i="4"/>
  <c r="K99" i="4"/>
  <c r="M99" i="4" s="1"/>
  <c r="O99" i="4" s="1"/>
  <c r="Q99" i="4" s="1"/>
  <c r="J99" i="4"/>
  <c r="I99" i="4"/>
  <c r="H99" i="4"/>
  <c r="G99" i="4"/>
  <c r="F99" i="4"/>
  <c r="C99" i="4"/>
  <c r="B99" i="4"/>
  <c r="P98" i="4"/>
  <c r="N98" i="4"/>
  <c r="L98" i="4"/>
  <c r="K98" i="4"/>
  <c r="M98" i="4" s="1"/>
  <c r="O98" i="4" s="1"/>
  <c r="Q98" i="4" s="1"/>
  <c r="J98" i="4"/>
  <c r="I98" i="4"/>
  <c r="H98" i="4"/>
  <c r="G98" i="4"/>
  <c r="F98" i="4"/>
  <c r="C98" i="4"/>
  <c r="B98" i="4"/>
  <c r="P97" i="4"/>
  <c r="N97" i="4"/>
  <c r="L97" i="4"/>
  <c r="K97" i="4"/>
  <c r="M97" i="4" s="1"/>
  <c r="O97" i="4" s="1"/>
  <c r="Q97" i="4" s="1"/>
  <c r="J97" i="4"/>
  <c r="I97" i="4"/>
  <c r="H97" i="4"/>
  <c r="G97" i="4"/>
  <c r="F97" i="4"/>
  <c r="C97" i="4"/>
  <c r="B97" i="4"/>
  <c r="P96" i="4"/>
  <c r="N96" i="4"/>
  <c r="L96" i="4"/>
  <c r="K96" i="4"/>
  <c r="M96" i="4" s="1"/>
  <c r="O96" i="4" s="1"/>
  <c r="Q96" i="4" s="1"/>
  <c r="J96" i="4"/>
  <c r="I96" i="4"/>
  <c r="H96" i="4"/>
  <c r="G96" i="4"/>
  <c r="F96" i="4"/>
  <c r="C96" i="4"/>
  <c r="B96" i="4"/>
  <c r="P95" i="4"/>
  <c r="N95" i="4"/>
  <c r="L95" i="4"/>
  <c r="K95" i="4"/>
  <c r="M95" i="4" s="1"/>
  <c r="O95" i="4" s="1"/>
  <c r="Q95" i="4" s="1"/>
  <c r="J95" i="4"/>
  <c r="I95" i="4"/>
  <c r="H95" i="4"/>
  <c r="G95" i="4"/>
  <c r="F95" i="4"/>
  <c r="C95" i="4"/>
  <c r="B95" i="4"/>
  <c r="P94" i="4"/>
  <c r="N94" i="4"/>
  <c r="L94" i="4"/>
  <c r="K94" i="4"/>
  <c r="M94" i="4" s="1"/>
  <c r="O94" i="4" s="1"/>
  <c r="Q94" i="4" s="1"/>
  <c r="J94" i="4"/>
  <c r="I94" i="4"/>
  <c r="H94" i="4"/>
  <c r="G94" i="4"/>
  <c r="F94" i="4"/>
  <c r="C94" i="4"/>
  <c r="B94" i="4"/>
  <c r="P93" i="4"/>
  <c r="N93" i="4"/>
  <c r="L93" i="4"/>
  <c r="K93" i="4"/>
  <c r="M93" i="4" s="1"/>
  <c r="O93" i="4" s="1"/>
  <c r="Q93" i="4" s="1"/>
  <c r="J93" i="4"/>
  <c r="I93" i="4"/>
  <c r="H93" i="4"/>
  <c r="G93" i="4"/>
  <c r="F93" i="4"/>
  <c r="C93" i="4"/>
  <c r="B93" i="4"/>
  <c r="P92" i="4"/>
  <c r="N92" i="4"/>
  <c r="L92" i="4"/>
  <c r="K92" i="4"/>
  <c r="M92" i="4" s="1"/>
  <c r="O92" i="4" s="1"/>
  <c r="Q92" i="4" s="1"/>
  <c r="J92" i="4"/>
  <c r="I92" i="4"/>
  <c r="H92" i="4"/>
  <c r="G92" i="4"/>
  <c r="F92" i="4"/>
  <c r="C92" i="4"/>
  <c r="B92" i="4"/>
  <c r="P91" i="4"/>
  <c r="N91" i="4"/>
  <c r="L91" i="4"/>
  <c r="K91" i="4"/>
  <c r="M91" i="4" s="1"/>
  <c r="O91" i="4" s="1"/>
  <c r="Q91" i="4" s="1"/>
  <c r="J91" i="4"/>
  <c r="I91" i="4"/>
  <c r="H91" i="4"/>
  <c r="G91" i="4"/>
  <c r="F91" i="4"/>
  <c r="C91" i="4"/>
  <c r="B91" i="4"/>
  <c r="P90" i="4"/>
  <c r="N90" i="4"/>
  <c r="L90" i="4"/>
  <c r="K90" i="4"/>
  <c r="M90" i="4" s="1"/>
  <c r="O90" i="4" s="1"/>
  <c r="Q90" i="4" s="1"/>
  <c r="J90" i="4"/>
  <c r="I90" i="4"/>
  <c r="H90" i="4"/>
  <c r="G90" i="4"/>
  <c r="F90" i="4"/>
  <c r="C90" i="4"/>
  <c r="B90" i="4"/>
  <c r="P89" i="4"/>
  <c r="N89" i="4"/>
  <c r="L89" i="4"/>
  <c r="K89" i="4"/>
  <c r="M89" i="4" s="1"/>
  <c r="O89" i="4" s="1"/>
  <c r="Q89" i="4" s="1"/>
  <c r="J89" i="4"/>
  <c r="I89" i="4"/>
  <c r="H89" i="4"/>
  <c r="G89" i="4"/>
  <c r="F89" i="4"/>
  <c r="C89" i="4"/>
  <c r="B89" i="4"/>
  <c r="P88" i="4"/>
  <c r="N88" i="4"/>
  <c r="L88" i="4"/>
  <c r="K88" i="4"/>
  <c r="M88" i="4" s="1"/>
  <c r="O88" i="4" s="1"/>
  <c r="Q88" i="4" s="1"/>
  <c r="J88" i="4"/>
  <c r="I88" i="4"/>
  <c r="H88" i="4"/>
  <c r="G88" i="4"/>
  <c r="F88" i="4"/>
  <c r="C88" i="4"/>
  <c r="B88" i="4"/>
  <c r="P87" i="4"/>
  <c r="N87" i="4"/>
  <c r="L87" i="4"/>
  <c r="K87" i="4"/>
  <c r="M87" i="4" s="1"/>
  <c r="O87" i="4" s="1"/>
  <c r="Q87" i="4" s="1"/>
  <c r="J87" i="4"/>
  <c r="I87" i="4"/>
  <c r="H87" i="4"/>
  <c r="G87" i="4"/>
  <c r="F87" i="4"/>
  <c r="C87" i="4"/>
  <c r="B87" i="4"/>
  <c r="P86" i="4"/>
  <c r="N86" i="4"/>
  <c r="L86" i="4"/>
  <c r="K86" i="4"/>
  <c r="M86" i="4" s="1"/>
  <c r="O86" i="4" s="1"/>
  <c r="Q86" i="4" s="1"/>
  <c r="J86" i="4"/>
  <c r="I86" i="4"/>
  <c r="H86" i="4"/>
  <c r="G86" i="4"/>
  <c r="F86" i="4"/>
  <c r="C86" i="4"/>
  <c r="B86" i="4"/>
  <c r="P85" i="4"/>
  <c r="N85" i="4"/>
  <c r="L85" i="4"/>
  <c r="K85" i="4"/>
  <c r="M85" i="4" s="1"/>
  <c r="O85" i="4" s="1"/>
  <c r="Q85" i="4" s="1"/>
  <c r="J85" i="4"/>
  <c r="I85" i="4"/>
  <c r="H85" i="4"/>
  <c r="G85" i="4"/>
  <c r="F85" i="4"/>
  <c r="C85" i="4"/>
  <c r="B85" i="4"/>
  <c r="P84" i="4"/>
  <c r="N84" i="4"/>
  <c r="L84" i="4"/>
  <c r="K84" i="4"/>
  <c r="M84" i="4" s="1"/>
  <c r="O84" i="4" s="1"/>
  <c r="Q84" i="4" s="1"/>
  <c r="J84" i="4"/>
  <c r="I84" i="4"/>
  <c r="H84" i="4"/>
  <c r="G84" i="4"/>
  <c r="F84" i="4"/>
  <c r="C84" i="4"/>
  <c r="B84" i="4"/>
  <c r="P83" i="4"/>
  <c r="N83" i="4"/>
  <c r="L83" i="4"/>
  <c r="K83" i="4"/>
  <c r="M83" i="4" s="1"/>
  <c r="O83" i="4" s="1"/>
  <c r="Q83" i="4" s="1"/>
  <c r="J83" i="4"/>
  <c r="I83" i="4"/>
  <c r="H83" i="4"/>
  <c r="G83" i="4"/>
  <c r="F83" i="4"/>
  <c r="C83" i="4"/>
  <c r="B83" i="4"/>
  <c r="P82" i="4"/>
  <c r="N82" i="4"/>
  <c r="L82" i="4"/>
  <c r="K82" i="4"/>
  <c r="M82" i="4" s="1"/>
  <c r="O82" i="4" s="1"/>
  <c r="Q82" i="4" s="1"/>
  <c r="J82" i="4"/>
  <c r="I82" i="4"/>
  <c r="H82" i="4"/>
  <c r="G82" i="4"/>
  <c r="F82" i="4"/>
  <c r="C82" i="4"/>
  <c r="B82" i="4"/>
  <c r="P81" i="4"/>
  <c r="N81" i="4"/>
  <c r="L81" i="4"/>
  <c r="K81" i="4"/>
  <c r="M81" i="4" s="1"/>
  <c r="O81" i="4" s="1"/>
  <c r="Q81" i="4" s="1"/>
  <c r="J81" i="4"/>
  <c r="I81" i="4"/>
  <c r="H81" i="4"/>
  <c r="G81" i="4"/>
  <c r="F81" i="4"/>
  <c r="C81" i="4"/>
  <c r="B81" i="4"/>
  <c r="P80" i="4"/>
  <c r="N80" i="4"/>
  <c r="L80" i="4"/>
  <c r="K80" i="4"/>
  <c r="M80" i="4" s="1"/>
  <c r="O80" i="4" s="1"/>
  <c r="Q80" i="4" s="1"/>
  <c r="J80" i="4"/>
  <c r="I80" i="4"/>
  <c r="H80" i="4"/>
  <c r="G80" i="4"/>
  <c r="F80" i="4"/>
  <c r="C80" i="4"/>
  <c r="B80" i="4"/>
  <c r="P79" i="4"/>
  <c r="N79" i="4"/>
  <c r="L79" i="4"/>
  <c r="K79" i="4"/>
  <c r="M79" i="4" s="1"/>
  <c r="O79" i="4" s="1"/>
  <c r="Q79" i="4" s="1"/>
  <c r="J79" i="4"/>
  <c r="I79" i="4"/>
  <c r="H79" i="4"/>
  <c r="G79" i="4"/>
  <c r="F79" i="4"/>
  <c r="C79" i="4"/>
  <c r="B79" i="4"/>
  <c r="P78" i="4"/>
  <c r="N78" i="4"/>
  <c r="L78" i="4"/>
  <c r="K78" i="4"/>
  <c r="M78" i="4" s="1"/>
  <c r="O78" i="4" s="1"/>
  <c r="Q78" i="4" s="1"/>
  <c r="J78" i="4"/>
  <c r="I78" i="4"/>
  <c r="H78" i="4"/>
  <c r="G78" i="4"/>
  <c r="F78" i="4"/>
  <c r="C78" i="4"/>
  <c r="B78" i="4"/>
  <c r="P77" i="4"/>
  <c r="N77" i="4"/>
  <c r="L77" i="4"/>
  <c r="K77" i="4"/>
  <c r="M77" i="4" s="1"/>
  <c r="O77" i="4" s="1"/>
  <c r="Q77" i="4" s="1"/>
  <c r="J77" i="4"/>
  <c r="I77" i="4"/>
  <c r="H77" i="4"/>
  <c r="G77" i="4"/>
  <c r="F77" i="4"/>
  <c r="C77" i="4"/>
  <c r="B77" i="4"/>
  <c r="P76" i="4"/>
  <c r="N76" i="4"/>
  <c r="L76" i="4"/>
  <c r="K76" i="4"/>
  <c r="M76" i="4" s="1"/>
  <c r="O76" i="4" s="1"/>
  <c r="Q76" i="4" s="1"/>
  <c r="J76" i="4"/>
  <c r="I76" i="4"/>
  <c r="H76" i="4"/>
  <c r="G76" i="4"/>
  <c r="F76" i="4"/>
  <c r="C76" i="4"/>
  <c r="B76" i="4"/>
  <c r="P75" i="4"/>
  <c r="N75" i="4"/>
  <c r="L75" i="4"/>
  <c r="K75" i="4"/>
  <c r="M75" i="4" s="1"/>
  <c r="O75" i="4" s="1"/>
  <c r="Q75" i="4" s="1"/>
  <c r="J75" i="4"/>
  <c r="I75" i="4"/>
  <c r="H75" i="4"/>
  <c r="G75" i="4"/>
  <c r="F75" i="4"/>
  <c r="C75" i="4"/>
  <c r="B75" i="4"/>
  <c r="P74" i="4"/>
  <c r="N74" i="4"/>
  <c r="L74" i="4"/>
  <c r="K74" i="4"/>
  <c r="M74" i="4" s="1"/>
  <c r="O74" i="4" s="1"/>
  <c r="Q74" i="4" s="1"/>
  <c r="J74" i="4"/>
  <c r="I74" i="4"/>
  <c r="H74" i="4"/>
  <c r="G74" i="4"/>
  <c r="F74" i="4"/>
  <c r="C74" i="4"/>
  <c r="B74" i="4"/>
  <c r="P73" i="4"/>
  <c r="N73" i="4"/>
  <c r="L73" i="4"/>
  <c r="K73" i="4"/>
  <c r="M73" i="4" s="1"/>
  <c r="O73" i="4" s="1"/>
  <c r="Q73" i="4" s="1"/>
  <c r="J73" i="4"/>
  <c r="I73" i="4"/>
  <c r="H73" i="4"/>
  <c r="G73" i="4"/>
  <c r="F73" i="4"/>
  <c r="C73" i="4"/>
  <c r="B73" i="4"/>
  <c r="P72" i="4"/>
  <c r="N72" i="4"/>
  <c r="L72" i="4"/>
  <c r="K72" i="4"/>
  <c r="M72" i="4" s="1"/>
  <c r="O72" i="4" s="1"/>
  <c r="Q72" i="4" s="1"/>
  <c r="J72" i="4"/>
  <c r="I72" i="4"/>
  <c r="H72" i="4"/>
  <c r="G72" i="4"/>
  <c r="F72" i="4"/>
  <c r="C72" i="4"/>
  <c r="B72" i="4"/>
  <c r="P71" i="4"/>
  <c r="N71" i="4"/>
  <c r="L71" i="4"/>
  <c r="K71" i="4"/>
  <c r="M71" i="4" s="1"/>
  <c r="O71" i="4" s="1"/>
  <c r="Q71" i="4" s="1"/>
  <c r="J71" i="4"/>
  <c r="I71" i="4"/>
  <c r="H71" i="4"/>
  <c r="G71" i="4"/>
  <c r="F71" i="4"/>
  <c r="C71" i="4"/>
  <c r="B71" i="4"/>
  <c r="P70" i="4"/>
  <c r="N70" i="4"/>
  <c r="L70" i="4"/>
  <c r="K70" i="4"/>
  <c r="M70" i="4" s="1"/>
  <c r="O70" i="4" s="1"/>
  <c r="Q70" i="4" s="1"/>
  <c r="J70" i="4"/>
  <c r="I70" i="4"/>
  <c r="H70" i="4"/>
  <c r="G70" i="4"/>
  <c r="F70" i="4"/>
  <c r="C70" i="4"/>
  <c r="B70" i="4"/>
  <c r="P69" i="4"/>
  <c r="N69" i="4"/>
  <c r="L69" i="4"/>
  <c r="K69" i="4"/>
  <c r="M69" i="4" s="1"/>
  <c r="O69" i="4" s="1"/>
  <c r="Q69" i="4" s="1"/>
  <c r="J69" i="4"/>
  <c r="I69" i="4"/>
  <c r="H69" i="4"/>
  <c r="G69" i="4"/>
  <c r="F69" i="4"/>
  <c r="C69" i="4"/>
  <c r="B69" i="4"/>
  <c r="P68" i="4"/>
  <c r="N68" i="4"/>
  <c r="L68" i="4"/>
  <c r="K68" i="4"/>
  <c r="M68" i="4" s="1"/>
  <c r="O68" i="4" s="1"/>
  <c r="Q68" i="4" s="1"/>
  <c r="J68" i="4"/>
  <c r="I68" i="4"/>
  <c r="H68" i="4"/>
  <c r="G68" i="4"/>
  <c r="F68" i="4"/>
  <c r="C68" i="4"/>
  <c r="B68" i="4"/>
  <c r="P67" i="4"/>
  <c r="N67" i="4"/>
  <c r="L67" i="4"/>
  <c r="K67" i="4"/>
  <c r="M67" i="4" s="1"/>
  <c r="O67" i="4" s="1"/>
  <c r="Q67" i="4" s="1"/>
  <c r="J67" i="4"/>
  <c r="I67" i="4"/>
  <c r="H67" i="4"/>
  <c r="G67" i="4"/>
  <c r="F67" i="4"/>
  <c r="C67" i="4"/>
  <c r="B67" i="4"/>
  <c r="P66" i="4"/>
  <c r="N66" i="4"/>
  <c r="L66" i="4"/>
  <c r="K66" i="4"/>
  <c r="M66" i="4" s="1"/>
  <c r="O66" i="4" s="1"/>
  <c r="Q66" i="4" s="1"/>
  <c r="J66" i="4"/>
  <c r="I66" i="4"/>
  <c r="H66" i="4"/>
  <c r="G66" i="4"/>
  <c r="F66" i="4"/>
  <c r="C66" i="4"/>
  <c r="B66" i="4"/>
  <c r="P65" i="4"/>
  <c r="N65" i="4"/>
  <c r="L65" i="4"/>
  <c r="K65" i="4"/>
  <c r="M65" i="4" s="1"/>
  <c r="O65" i="4" s="1"/>
  <c r="Q65" i="4" s="1"/>
  <c r="J65" i="4"/>
  <c r="I65" i="4"/>
  <c r="H65" i="4"/>
  <c r="G65" i="4"/>
  <c r="F65" i="4"/>
  <c r="C65" i="4"/>
  <c r="B65" i="4"/>
  <c r="P64" i="4"/>
  <c r="N64" i="4"/>
  <c r="L64" i="4"/>
  <c r="K64" i="4"/>
  <c r="M64" i="4" s="1"/>
  <c r="O64" i="4" s="1"/>
  <c r="Q64" i="4" s="1"/>
  <c r="J64" i="4"/>
  <c r="I64" i="4"/>
  <c r="H64" i="4"/>
  <c r="G64" i="4"/>
  <c r="F64" i="4"/>
  <c r="C64" i="4"/>
  <c r="B64" i="4"/>
  <c r="P63" i="4"/>
  <c r="N63" i="4"/>
  <c r="L63" i="4"/>
  <c r="K63" i="4"/>
  <c r="M63" i="4" s="1"/>
  <c r="O63" i="4" s="1"/>
  <c r="Q63" i="4" s="1"/>
  <c r="J63" i="4"/>
  <c r="I63" i="4"/>
  <c r="H63" i="4"/>
  <c r="G63" i="4"/>
  <c r="F63" i="4"/>
  <c r="C63" i="4"/>
  <c r="B63" i="4"/>
  <c r="P62" i="4"/>
  <c r="N62" i="4"/>
  <c r="L62" i="4"/>
  <c r="K62" i="4"/>
  <c r="M62" i="4" s="1"/>
  <c r="O62" i="4" s="1"/>
  <c r="Q62" i="4" s="1"/>
  <c r="J62" i="4"/>
  <c r="I62" i="4"/>
  <c r="H62" i="4"/>
  <c r="G62" i="4"/>
  <c r="F62" i="4"/>
  <c r="C62" i="4"/>
  <c r="B62" i="4"/>
  <c r="P61" i="4"/>
  <c r="N61" i="4"/>
  <c r="L61" i="4"/>
  <c r="K61" i="4"/>
  <c r="M61" i="4" s="1"/>
  <c r="O61" i="4" s="1"/>
  <c r="Q61" i="4" s="1"/>
  <c r="J61" i="4"/>
  <c r="I61" i="4"/>
  <c r="H61" i="4"/>
  <c r="G61" i="4"/>
  <c r="F61" i="4"/>
  <c r="C61" i="4"/>
  <c r="B61" i="4"/>
  <c r="P60" i="4"/>
  <c r="N60" i="4"/>
  <c r="L60" i="4"/>
  <c r="K60" i="4"/>
  <c r="M60" i="4" s="1"/>
  <c r="O60" i="4" s="1"/>
  <c r="Q60" i="4" s="1"/>
  <c r="J60" i="4"/>
  <c r="I60" i="4"/>
  <c r="H60" i="4"/>
  <c r="G60" i="4"/>
  <c r="F60" i="4"/>
  <c r="C60" i="4"/>
  <c r="B60" i="4"/>
  <c r="P59" i="4"/>
  <c r="N59" i="4"/>
  <c r="L59" i="4"/>
  <c r="K59" i="4"/>
  <c r="M59" i="4" s="1"/>
  <c r="O59" i="4" s="1"/>
  <c r="Q59" i="4" s="1"/>
  <c r="J59" i="4"/>
  <c r="I59" i="4"/>
  <c r="H59" i="4"/>
  <c r="G59" i="4"/>
  <c r="F59" i="4"/>
  <c r="C59" i="4"/>
  <c r="B59" i="4"/>
  <c r="P58" i="4"/>
  <c r="N58" i="4"/>
  <c r="L58" i="4"/>
  <c r="K58" i="4"/>
  <c r="M58" i="4" s="1"/>
  <c r="O58" i="4" s="1"/>
  <c r="Q58" i="4" s="1"/>
  <c r="J58" i="4"/>
  <c r="I58" i="4"/>
  <c r="H58" i="4"/>
  <c r="G58" i="4"/>
  <c r="F58" i="4"/>
  <c r="C58" i="4"/>
  <c r="B58" i="4"/>
  <c r="P57" i="4"/>
  <c r="N57" i="4"/>
  <c r="L57" i="4"/>
  <c r="K57" i="4"/>
  <c r="M57" i="4" s="1"/>
  <c r="O57" i="4" s="1"/>
  <c r="Q57" i="4" s="1"/>
  <c r="J57" i="4"/>
  <c r="I57" i="4"/>
  <c r="H57" i="4"/>
  <c r="G57" i="4"/>
  <c r="F57" i="4"/>
  <c r="C57" i="4"/>
  <c r="B57" i="4"/>
  <c r="P56" i="4"/>
  <c r="N56" i="4"/>
  <c r="L56" i="4"/>
  <c r="K56" i="4"/>
  <c r="M56" i="4" s="1"/>
  <c r="O56" i="4" s="1"/>
  <c r="Q56" i="4" s="1"/>
  <c r="J56" i="4"/>
  <c r="I56" i="4"/>
  <c r="H56" i="4"/>
  <c r="G56" i="4"/>
  <c r="F56" i="4"/>
  <c r="C56" i="4"/>
  <c r="B56" i="4"/>
  <c r="P55" i="4"/>
  <c r="N55" i="4"/>
  <c r="L55" i="4"/>
  <c r="K55" i="4"/>
  <c r="M55" i="4" s="1"/>
  <c r="O55" i="4" s="1"/>
  <c r="Q55" i="4" s="1"/>
  <c r="J55" i="4"/>
  <c r="I55" i="4"/>
  <c r="H55" i="4"/>
  <c r="G55" i="4"/>
  <c r="F55" i="4"/>
  <c r="C55" i="4"/>
  <c r="B55" i="4"/>
  <c r="P54" i="4"/>
  <c r="N54" i="4"/>
  <c r="L54" i="4"/>
  <c r="K54" i="4"/>
  <c r="M54" i="4" s="1"/>
  <c r="O54" i="4" s="1"/>
  <c r="Q54" i="4" s="1"/>
  <c r="J54" i="4"/>
  <c r="I54" i="4"/>
  <c r="H54" i="4"/>
  <c r="G54" i="4"/>
  <c r="F54" i="4"/>
  <c r="C54" i="4"/>
  <c r="B54" i="4"/>
  <c r="P53" i="4"/>
  <c r="N53" i="4"/>
  <c r="L53" i="4"/>
  <c r="K53" i="4"/>
  <c r="M53" i="4" s="1"/>
  <c r="O53" i="4" s="1"/>
  <c r="Q53" i="4" s="1"/>
  <c r="J53" i="4"/>
  <c r="I53" i="4"/>
  <c r="H53" i="4"/>
  <c r="G53" i="4"/>
  <c r="F53" i="4"/>
  <c r="C53" i="4"/>
  <c r="B53" i="4"/>
  <c r="P52" i="4"/>
  <c r="N52" i="4"/>
  <c r="L52" i="4"/>
  <c r="K52" i="4"/>
  <c r="M52" i="4" s="1"/>
  <c r="O52" i="4" s="1"/>
  <c r="Q52" i="4" s="1"/>
  <c r="J52" i="4"/>
  <c r="I52" i="4"/>
  <c r="H52" i="4"/>
  <c r="G52" i="4"/>
  <c r="F52" i="4"/>
  <c r="C52" i="4"/>
  <c r="B52" i="4"/>
  <c r="P51" i="4"/>
  <c r="N51" i="4"/>
  <c r="L51" i="4"/>
  <c r="K51" i="4"/>
  <c r="M51" i="4" s="1"/>
  <c r="O51" i="4" s="1"/>
  <c r="Q51" i="4" s="1"/>
  <c r="J51" i="4"/>
  <c r="I51" i="4"/>
  <c r="H51" i="4"/>
  <c r="G51" i="4"/>
  <c r="F51" i="4"/>
  <c r="C51" i="4"/>
  <c r="B51" i="4"/>
  <c r="P50" i="4"/>
  <c r="N50" i="4"/>
  <c r="L50" i="4"/>
  <c r="K50" i="4"/>
  <c r="M50" i="4" s="1"/>
  <c r="O50" i="4" s="1"/>
  <c r="Q50" i="4" s="1"/>
  <c r="J50" i="4"/>
  <c r="I50" i="4"/>
  <c r="H50" i="4"/>
  <c r="G50" i="4"/>
  <c r="F50" i="4"/>
  <c r="C50" i="4"/>
  <c r="B50" i="4"/>
  <c r="P49" i="4"/>
  <c r="N49" i="4"/>
  <c r="L49" i="4"/>
  <c r="K49" i="4"/>
  <c r="M49" i="4" s="1"/>
  <c r="O49" i="4" s="1"/>
  <c r="Q49" i="4" s="1"/>
  <c r="J49" i="4"/>
  <c r="I49" i="4"/>
  <c r="H49" i="4"/>
  <c r="G49" i="4"/>
  <c r="F49" i="4"/>
  <c r="C49" i="4"/>
  <c r="B49" i="4"/>
  <c r="P48" i="4"/>
  <c r="N48" i="4"/>
  <c r="L48" i="4"/>
  <c r="K48" i="4"/>
  <c r="M48" i="4" s="1"/>
  <c r="O48" i="4" s="1"/>
  <c r="Q48" i="4" s="1"/>
  <c r="J48" i="4"/>
  <c r="I48" i="4"/>
  <c r="H48" i="4"/>
  <c r="G48" i="4"/>
  <c r="F48" i="4"/>
  <c r="C48" i="4"/>
  <c r="B48" i="4"/>
  <c r="P47" i="4"/>
  <c r="N47" i="4"/>
  <c r="L47" i="4"/>
  <c r="K47" i="4"/>
  <c r="M47" i="4" s="1"/>
  <c r="O47" i="4" s="1"/>
  <c r="Q47" i="4" s="1"/>
  <c r="J47" i="4"/>
  <c r="I47" i="4"/>
  <c r="H47" i="4"/>
  <c r="G47" i="4"/>
  <c r="F47" i="4"/>
  <c r="C47" i="4"/>
  <c r="B47" i="4"/>
  <c r="P46" i="4"/>
  <c r="N46" i="4"/>
  <c r="L46" i="4"/>
  <c r="K46" i="4"/>
  <c r="M46" i="4" s="1"/>
  <c r="O46" i="4" s="1"/>
  <c r="Q46" i="4" s="1"/>
  <c r="J46" i="4"/>
  <c r="I46" i="4"/>
  <c r="H46" i="4"/>
  <c r="G46" i="4"/>
  <c r="F46" i="4"/>
  <c r="C46" i="4"/>
  <c r="B46" i="4"/>
  <c r="P45" i="4"/>
  <c r="N45" i="4"/>
  <c r="L45" i="4"/>
  <c r="K45" i="4"/>
  <c r="M45" i="4" s="1"/>
  <c r="O45" i="4" s="1"/>
  <c r="Q45" i="4" s="1"/>
  <c r="J45" i="4"/>
  <c r="I45" i="4"/>
  <c r="H45" i="4"/>
  <c r="G45" i="4"/>
  <c r="F45" i="4"/>
  <c r="C45" i="4"/>
  <c r="B45" i="4"/>
  <c r="P44" i="4"/>
  <c r="N44" i="4"/>
  <c r="L44" i="4"/>
  <c r="K44" i="4"/>
  <c r="M44" i="4" s="1"/>
  <c r="O44" i="4" s="1"/>
  <c r="Q44" i="4" s="1"/>
  <c r="J44" i="4"/>
  <c r="I44" i="4"/>
  <c r="H44" i="4"/>
  <c r="G44" i="4"/>
  <c r="F44" i="4"/>
  <c r="C44" i="4"/>
  <c r="B44" i="4"/>
  <c r="P43" i="4"/>
  <c r="N43" i="4"/>
  <c r="L43" i="4"/>
  <c r="K43" i="4"/>
  <c r="M43" i="4" s="1"/>
  <c r="O43" i="4" s="1"/>
  <c r="Q43" i="4" s="1"/>
  <c r="J43" i="4"/>
  <c r="I43" i="4"/>
  <c r="H43" i="4"/>
  <c r="G43" i="4"/>
  <c r="F43" i="4"/>
  <c r="C43" i="4"/>
  <c r="B43" i="4"/>
  <c r="P42" i="4"/>
  <c r="N42" i="4"/>
  <c r="L42" i="4"/>
  <c r="K42" i="4"/>
  <c r="M42" i="4" s="1"/>
  <c r="O42" i="4" s="1"/>
  <c r="Q42" i="4" s="1"/>
  <c r="J42" i="4"/>
  <c r="I42" i="4"/>
  <c r="H42" i="4"/>
  <c r="G42" i="4"/>
  <c r="F42" i="4"/>
  <c r="C42" i="4"/>
  <c r="B42" i="4"/>
  <c r="P41" i="4"/>
  <c r="N41" i="4"/>
  <c r="L41" i="4"/>
  <c r="K41" i="4"/>
  <c r="M41" i="4" s="1"/>
  <c r="O41" i="4" s="1"/>
  <c r="Q41" i="4" s="1"/>
  <c r="J41" i="4"/>
  <c r="I41" i="4"/>
  <c r="H41" i="4"/>
  <c r="G41" i="4"/>
  <c r="F41" i="4"/>
  <c r="C41" i="4"/>
  <c r="B41" i="4"/>
  <c r="P40" i="4"/>
  <c r="N40" i="4"/>
  <c r="L40" i="4"/>
  <c r="K40" i="4"/>
  <c r="M40" i="4" s="1"/>
  <c r="O40" i="4" s="1"/>
  <c r="Q40" i="4" s="1"/>
  <c r="J40" i="4"/>
  <c r="I40" i="4"/>
  <c r="H40" i="4"/>
  <c r="G40" i="4"/>
  <c r="F40" i="4"/>
  <c r="C40" i="4"/>
  <c r="B40" i="4"/>
  <c r="P39" i="4"/>
  <c r="N39" i="4"/>
  <c r="L39" i="4"/>
  <c r="K39" i="4"/>
  <c r="M39" i="4" s="1"/>
  <c r="O39" i="4" s="1"/>
  <c r="Q39" i="4" s="1"/>
  <c r="J39" i="4"/>
  <c r="I39" i="4"/>
  <c r="H39" i="4"/>
  <c r="G39" i="4"/>
  <c r="F39" i="4"/>
  <c r="C39" i="4"/>
  <c r="B39" i="4"/>
  <c r="P38" i="4"/>
  <c r="N38" i="4"/>
  <c r="L38" i="4"/>
  <c r="K38" i="4"/>
  <c r="M38" i="4" s="1"/>
  <c r="O38" i="4" s="1"/>
  <c r="Q38" i="4" s="1"/>
  <c r="J38" i="4"/>
  <c r="I38" i="4"/>
  <c r="H38" i="4"/>
  <c r="G38" i="4"/>
  <c r="F38" i="4"/>
  <c r="C38" i="4"/>
  <c r="B38" i="4"/>
  <c r="P37" i="4"/>
  <c r="N37" i="4"/>
  <c r="L37" i="4"/>
  <c r="K37" i="4"/>
  <c r="M37" i="4" s="1"/>
  <c r="O37" i="4" s="1"/>
  <c r="Q37" i="4" s="1"/>
  <c r="J37" i="4"/>
  <c r="I37" i="4"/>
  <c r="H37" i="4"/>
  <c r="G37" i="4"/>
  <c r="F37" i="4"/>
  <c r="C37" i="4"/>
  <c r="B37" i="4"/>
  <c r="P36" i="4"/>
  <c r="N36" i="4"/>
  <c r="L36" i="4"/>
  <c r="K36" i="4"/>
  <c r="M36" i="4" s="1"/>
  <c r="O36" i="4" s="1"/>
  <c r="Q36" i="4" s="1"/>
  <c r="J36" i="4"/>
  <c r="I36" i="4"/>
  <c r="H36" i="4"/>
  <c r="G36" i="4"/>
  <c r="F36" i="4"/>
  <c r="C36" i="4"/>
  <c r="B36" i="4"/>
  <c r="P35" i="4"/>
  <c r="N35" i="4"/>
  <c r="L35" i="4"/>
  <c r="K35" i="4"/>
  <c r="M35" i="4" s="1"/>
  <c r="O35" i="4" s="1"/>
  <c r="Q35" i="4" s="1"/>
  <c r="J35" i="4"/>
  <c r="I35" i="4"/>
  <c r="H35" i="4"/>
  <c r="G35" i="4"/>
  <c r="F35" i="4"/>
  <c r="C35" i="4"/>
  <c r="B35" i="4"/>
  <c r="P34" i="4"/>
  <c r="N34" i="4"/>
  <c r="L34" i="4"/>
  <c r="K34" i="4"/>
  <c r="M34" i="4" s="1"/>
  <c r="O34" i="4" s="1"/>
  <c r="Q34" i="4" s="1"/>
  <c r="J34" i="4"/>
  <c r="I34" i="4"/>
  <c r="H34" i="4"/>
  <c r="G34" i="4"/>
  <c r="F34" i="4"/>
  <c r="C34" i="4"/>
  <c r="B34" i="4"/>
  <c r="P33" i="4"/>
  <c r="N33" i="4"/>
  <c r="L33" i="4"/>
  <c r="K33" i="4"/>
  <c r="M33" i="4" s="1"/>
  <c r="O33" i="4" s="1"/>
  <c r="Q33" i="4" s="1"/>
  <c r="J33" i="4"/>
  <c r="I33" i="4"/>
  <c r="H33" i="4"/>
  <c r="G33" i="4"/>
  <c r="F33" i="4"/>
  <c r="C33" i="4"/>
  <c r="B33" i="4"/>
  <c r="P32" i="4"/>
  <c r="N32" i="4"/>
  <c r="L32" i="4"/>
  <c r="K32" i="4"/>
  <c r="M32" i="4" s="1"/>
  <c r="O32" i="4" s="1"/>
  <c r="Q32" i="4" s="1"/>
  <c r="J32" i="4"/>
  <c r="I32" i="4"/>
  <c r="H32" i="4"/>
  <c r="G32" i="4"/>
  <c r="F32" i="4"/>
  <c r="C32" i="4"/>
  <c r="B32" i="4"/>
  <c r="P31" i="4"/>
  <c r="N31" i="4"/>
  <c r="L31" i="4"/>
  <c r="K31" i="4"/>
  <c r="M31" i="4" s="1"/>
  <c r="O31" i="4" s="1"/>
  <c r="Q31" i="4" s="1"/>
  <c r="J31" i="4"/>
  <c r="I31" i="4"/>
  <c r="H31" i="4"/>
  <c r="G31" i="4"/>
  <c r="F31" i="4"/>
  <c r="C31" i="4"/>
  <c r="B31" i="4"/>
  <c r="P30" i="4"/>
  <c r="N30" i="4"/>
  <c r="L30" i="4"/>
  <c r="K30" i="4"/>
  <c r="M30" i="4" s="1"/>
  <c r="O30" i="4" s="1"/>
  <c r="Q30" i="4" s="1"/>
  <c r="J30" i="4"/>
  <c r="I30" i="4"/>
  <c r="H30" i="4"/>
  <c r="G30" i="4"/>
  <c r="F30" i="4"/>
  <c r="C30" i="4"/>
  <c r="B30" i="4"/>
  <c r="P29" i="4"/>
  <c r="N29" i="4"/>
  <c r="L29" i="4"/>
  <c r="K29" i="4"/>
  <c r="M29" i="4" s="1"/>
  <c r="O29" i="4" s="1"/>
  <c r="Q29" i="4" s="1"/>
  <c r="J29" i="4"/>
  <c r="I29" i="4"/>
  <c r="H29" i="4"/>
  <c r="G29" i="4"/>
  <c r="F29" i="4"/>
  <c r="C29" i="4"/>
  <c r="B29" i="4"/>
  <c r="P28" i="4"/>
  <c r="N28" i="4"/>
  <c r="L28" i="4"/>
  <c r="K28" i="4"/>
  <c r="M28" i="4" s="1"/>
  <c r="O28" i="4" s="1"/>
  <c r="Q28" i="4" s="1"/>
  <c r="J28" i="4"/>
  <c r="I28" i="4"/>
  <c r="H28" i="4"/>
  <c r="G28" i="4"/>
  <c r="F28" i="4"/>
  <c r="C28" i="4"/>
  <c r="B28" i="4"/>
  <c r="P27" i="4"/>
  <c r="N27" i="4"/>
  <c r="L27" i="4"/>
  <c r="K27" i="4"/>
  <c r="M27" i="4" s="1"/>
  <c r="O27" i="4" s="1"/>
  <c r="Q27" i="4" s="1"/>
  <c r="J27" i="4"/>
  <c r="I27" i="4"/>
  <c r="H27" i="4"/>
  <c r="G27" i="4"/>
  <c r="F27" i="4"/>
  <c r="C27" i="4"/>
  <c r="B27" i="4"/>
  <c r="P26" i="4"/>
  <c r="N26" i="4"/>
  <c r="L26" i="4"/>
  <c r="K26" i="4"/>
  <c r="M26" i="4" s="1"/>
  <c r="O26" i="4" s="1"/>
  <c r="Q26" i="4" s="1"/>
  <c r="J26" i="4"/>
  <c r="I26" i="4"/>
  <c r="H26" i="4"/>
  <c r="G26" i="4"/>
  <c r="F26" i="4"/>
  <c r="C26" i="4"/>
  <c r="B26" i="4"/>
  <c r="P25" i="4"/>
  <c r="N25" i="4"/>
  <c r="L25" i="4"/>
  <c r="K25" i="4"/>
  <c r="M25" i="4" s="1"/>
  <c r="O25" i="4" s="1"/>
  <c r="Q25" i="4" s="1"/>
  <c r="J25" i="4"/>
  <c r="I25" i="4"/>
  <c r="H25" i="4"/>
  <c r="G25" i="4"/>
  <c r="F25" i="4"/>
  <c r="C25" i="4"/>
  <c r="B25" i="4"/>
  <c r="P24" i="4"/>
  <c r="N24" i="4"/>
  <c r="L24" i="4"/>
  <c r="K24" i="4"/>
  <c r="M24" i="4" s="1"/>
  <c r="O24" i="4" s="1"/>
  <c r="Q24" i="4" s="1"/>
  <c r="J24" i="4"/>
  <c r="I24" i="4"/>
  <c r="H24" i="4"/>
  <c r="G24" i="4"/>
  <c r="F24" i="4"/>
  <c r="C24" i="4"/>
  <c r="B24" i="4"/>
  <c r="P23" i="4"/>
  <c r="N23" i="4"/>
  <c r="L23" i="4"/>
  <c r="K23" i="4"/>
  <c r="M23" i="4" s="1"/>
  <c r="O23" i="4" s="1"/>
  <c r="Q23" i="4" s="1"/>
  <c r="J23" i="4"/>
  <c r="I23" i="4"/>
  <c r="H23" i="4"/>
  <c r="G23" i="4"/>
  <c r="F23" i="4"/>
  <c r="C23" i="4"/>
  <c r="B23" i="4"/>
  <c r="P22" i="4"/>
  <c r="N22" i="4"/>
  <c r="L22" i="4"/>
  <c r="K22" i="4"/>
  <c r="M22" i="4" s="1"/>
  <c r="O22" i="4" s="1"/>
  <c r="Q22" i="4" s="1"/>
  <c r="J22" i="4"/>
  <c r="I22" i="4"/>
  <c r="H22" i="4"/>
  <c r="G22" i="4"/>
  <c r="F22" i="4"/>
  <c r="C22" i="4"/>
  <c r="B22" i="4"/>
  <c r="P21" i="4"/>
  <c r="N21" i="4"/>
  <c r="L21" i="4"/>
  <c r="K21" i="4"/>
  <c r="M21" i="4" s="1"/>
  <c r="O21" i="4" s="1"/>
  <c r="Q21" i="4" s="1"/>
  <c r="J21" i="4"/>
  <c r="I21" i="4"/>
  <c r="H21" i="4"/>
  <c r="G21" i="4"/>
  <c r="F21" i="4"/>
  <c r="C21" i="4"/>
  <c r="B21" i="4"/>
  <c r="P20" i="4"/>
  <c r="N20" i="4"/>
  <c r="L20" i="4"/>
  <c r="K20" i="4"/>
  <c r="M20" i="4" s="1"/>
  <c r="O20" i="4" s="1"/>
  <c r="Q20" i="4" s="1"/>
  <c r="J20" i="4"/>
  <c r="I20" i="4"/>
  <c r="H20" i="4"/>
  <c r="G20" i="4"/>
  <c r="F20" i="4"/>
  <c r="C20" i="4"/>
  <c r="B20" i="4"/>
  <c r="P19" i="4"/>
  <c r="N19" i="4"/>
  <c r="L19" i="4"/>
  <c r="K19" i="4"/>
  <c r="M19" i="4" s="1"/>
  <c r="O19" i="4" s="1"/>
  <c r="Q19" i="4" s="1"/>
  <c r="J19" i="4"/>
  <c r="I19" i="4"/>
  <c r="H19" i="4"/>
  <c r="G19" i="4"/>
  <c r="F19" i="4"/>
  <c r="C19" i="4"/>
  <c r="B19" i="4"/>
  <c r="P18" i="4"/>
  <c r="N18" i="4"/>
  <c r="L18" i="4"/>
  <c r="K18" i="4"/>
  <c r="M18" i="4" s="1"/>
  <c r="O18" i="4" s="1"/>
  <c r="Q18" i="4" s="1"/>
  <c r="J18" i="4"/>
  <c r="I18" i="4"/>
  <c r="H18" i="4"/>
  <c r="G18" i="4"/>
  <c r="F18" i="4"/>
  <c r="C18" i="4"/>
  <c r="B18" i="4"/>
  <c r="P17" i="4"/>
  <c r="N17" i="4"/>
  <c r="L17" i="4"/>
  <c r="K17" i="4"/>
  <c r="M17" i="4" s="1"/>
  <c r="O17" i="4" s="1"/>
  <c r="Q17" i="4" s="1"/>
  <c r="J17" i="4"/>
  <c r="I17" i="4"/>
  <c r="H17" i="4"/>
  <c r="G17" i="4"/>
  <c r="F17" i="4"/>
  <c r="C17" i="4"/>
  <c r="B17" i="4"/>
  <c r="P16" i="4"/>
  <c r="N16" i="4"/>
  <c r="L16" i="4"/>
  <c r="K16" i="4"/>
  <c r="M16" i="4" s="1"/>
  <c r="O16" i="4" s="1"/>
  <c r="Q16" i="4" s="1"/>
  <c r="J16" i="4"/>
  <c r="I16" i="4"/>
  <c r="H16" i="4"/>
  <c r="G16" i="4"/>
  <c r="F16" i="4"/>
  <c r="C16" i="4"/>
  <c r="B16" i="4"/>
  <c r="P15" i="4"/>
  <c r="N15" i="4"/>
  <c r="L15" i="4"/>
  <c r="K15" i="4"/>
  <c r="M15" i="4" s="1"/>
  <c r="O15" i="4" s="1"/>
  <c r="Q15" i="4" s="1"/>
  <c r="J15" i="4"/>
  <c r="I15" i="4"/>
  <c r="H15" i="4"/>
  <c r="G15" i="4"/>
  <c r="F15" i="4"/>
  <c r="C15" i="4"/>
  <c r="B15" i="4"/>
  <c r="P14" i="4"/>
  <c r="N14" i="4"/>
  <c r="L14" i="4"/>
  <c r="K14" i="4"/>
  <c r="M14" i="4" s="1"/>
  <c r="O14" i="4" s="1"/>
  <c r="Q14" i="4" s="1"/>
  <c r="J14" i="4"/>
  <c r="I14" i="4"/>
  <c r="H14" i="4"/>
  <c r="G14" i="4"/>
  <c r="F14" i="4"/>
  <c r="C14" i="4"/>
  <c r="B14" i="4"/>
  <c r="P13" i="4"/>
  <c r="N13" i="4"/>
  <c r="L13" i="4"/>
  <c r="K13" i="4"/>
  <c r="M13" i="4" s="1"/>
  <c r="O13" i="4" s="1"/>
  <c r="Q13" i="4" s="1"/>
  <c r="J13" i="4"/>
  <c r="I13" i="4"/>
  <c r="H13" i="4"/>
  <c r="G13" i="4"/>
  <c r="F13" i="4"/>
  <c r="C13" i="4"/>
  <c r="B13" i="4"/>
  <c r="P12" i="4"/>
  <c r="N12" i="4"/>
  <c r="L12" i="4"/>
  <c r="K12" i="4"/>
  <c r="M12" i="4" s="1"/>
  <c r="O12" i="4" s="1"/>
  <c r="Q12" i="4" s="1"/>
  <c r="J12" i="4"/>
  <c r="I12" i="4"/>
  <c r="H12" i="4"/>
  <c r="G12" i="4"/>
  <c r="F12" i="4"/>
  <c r="C12" i="4"/>
  <c r="B12" i="4"/>
  <c r="P11" i="4"/>
  <c r="N11" i="4"/>
  <c r="L11" i="4"/>
  <c r="K11" i="4"/>
  <c r="M11" i="4" s="1"/>
  <c r="O11" i="4" s="1"/>
  <c r="Q11" i="4" s="1"/>
  <c r="J11" i="4"/>
  <c r="I11" i="4"/>
  <c r="H11" i="4"/>
  <c r="G11" i="4"/>
  <c r="F11" i="4"/>
  <c r="C11" i="4"/>
  <c r="B11" i="4"/>
  <c r="P10" i="4"/>
  <c r="N10" i="4"/>
  <c r="L10" i="4"/>
  <c r="K10" i="4"/>
  <c r="M10" i="4" s="1"/>
  <c r="O10" i="4" s="1"/>
  <c r="Q10" i="4" s="1"/>
  <c r="J10" i="4"/>
  <c r="I10" i="4"/>
  <c r="H10" i="4"/>
  <c r="G10" i="4"/>
  <c r="F10" i="4"/>
  <c r="C10" i="4"/>
  <c r="B10" i="4"/>
  <c r="P9" i="4"/>
  <c r="N9" i="4"/>
  <c r="L9" i="4"/>
  <c r="K9" i="4"/>
  <c r="M9" i="4" s="1"/>
  <c r="O9" i="4" s="1"/>
  <c r="Q9" i="4" s="1"/>
  <c r="J9" i="4"/>
  <c r="I9" i="4"/>
  <c r="H9" i="4"/>
  <c r="G9" i="4"/>
  <c r="F9" i="4"/>
  <c r="C9" i="4"/>
  <c r="B9" i="4"/>
  <c r="P8" i="4"/>
  <c r="N8" i="4"/>
  <c r="L8" i="4"/>
  <c r="K8" i="4"/>
  <c r="M8" i="4" s="1"/>
  <c r="O8" i="4" s="1"/>
  <c r="Q8" i="4" s="1"/>
  <c r="J8" i="4"/>
  <c r="I8" i="4"/>
  <c r="H8" i="4"/>
  <c r="G8" i="4"/>
  <c r="F8" i="4"/>
  <c r="C8" i="4"/>
  <c r="B8" i="4"/>
  <c r="P7" i="4"/>
  <c r="N7" i="4"/>
  <c r="L7" i="4"/>
  <c r="K7" i="4"/>
  <c r="M7" i="4" s="1"/>
  <c r="O7" i="4" s="1"/>
  <c r="Q7" i="4" s="1"/>
  <c r="J7" i="4"/>
  <c r="I7" i="4"/>
  <c r="H7" i="4"/>
  <c r="G7" i="4"/>
  <c r="F7" i="4"/>
  <c r="C7" i="4"/>
  <c r="B7" i="4"/>
  <c r="P6" i="4"/>
  <c r="N6" i="4"/>
  <c r="L6" i="4"/>
  <c r="K6" i="4"/>
  <c r="M6" i="4" s="1"/>
  <c r="O6" i="4" s="1"/>
  <c r="Q6" i="4" s="1"/>
  <c r="J6" i="4"/>
  <c r="I6" i="4"/>
  <c r="H6" i="4"/>
  <c r="G6" i="4"/>
  <c r="F6" i="4"/>
  <c r="C6" i="4"/>
  <c r="B6" i="4"/>
  <c r="P5" i="4"/>
  <c r="N5" i="4"/>
  <c r="L5" i="4"/>
  <c r="K5" i="4"/>
  <c r="M5" i="4" s="1"/>
  <c r="O5" i="4" s="1"/>
  <c r="Q5" i="4" s="1"/>
  <c r="J5" i="4"/>
  <c r="I5" i="4"/>
  <c r="H5" i="4"/>
  <c r="G5" i="4"/>
  <c r="F5" i="4"/>
  <c r="C5" i="4"/>
  <c r="B5" i="4"/>
  <c r="P4" i="4"/>
  <c r="N4" i="4"/>
  <c r="L4" i="4"/>
  <c r="K4" i="4"/>
  <c r="M4" i="4" s="1"/>
  <c r="O4" i="4" s="1"/>
  <c r="Q4" i="4" s="1"/>
  <c r="J4" i="4"/>
  <c r="I4" i="4"/>
  <c r="H4" i="4"/>
  <c r="G4" i="4"/>
  <c r="F4" i="4"/>
  <c r="C4" i="4"/>
  <c r="B4" i="4"/>
  <c r="Q3" i="4"/>
  <c r="O3" i="4"/>
  <c r="M3" i="4"/>
  <c r="K3" i="4"/>
  <c r="I3" i="4"/>
  <c r="G3" i="4"/>
  <c r="C3" i="4"/>
  <c r="Q2" i="4"/>
  <c r="O2" i="4"/>
  <c r="M2" i="4"/>
  <c r="K2" i="4"/>
  <c r="I2" i="4"/>
  <c r="G2" i="4"/>
  <c r="C2" i="4"/>
  <c r="C388" i="3"/>
  <c r="C387" i="3"/>
  <c r="G378" i="3"/>
  <c r="G377" i="3"/>
  <c r="M371" i="3"/>
  <c r="G371" i="3"/>
  <c r="E371" i="3"/>
  <c r="T370" i="3" s="1"/>
  <c r="X370" i="3"/>
  <c r="U370" i="3"/>
  <c r="V370" i="3" s="1"/>
  <c r="Q370" i="3"/>
  <c r="G370" i="3"/>
  <c r="E370" i="3"/>
  <c r="X369" i="3"/>
  <c r="U369" i="3"/>
  <c r="Q369" i="3"/>
  <c r="C362" i="3"/>
  <c r="C363" i="3" s="1"/>
  <c r="E358" i="3"/>
  <c r="G357" i="3"/>
  <c r="E357" i="3"/>
  <c r="H357" i="3" s="1"/>
  <c r="G356" i="3"/>
  <c r="E356" i="3"/>
  <c r="H356" i="3" s="1"/>
  <c r="G355" i="3"/>
  <c r="E355" i="3"/>
  <c r="H355" i="3" s="1"/>
  <c r="G354" i="3"/>
  <c r="E354" i="3"/>
  <c r="H354" i="3" s="1"/>
  <c r="G353" i="3"/>
  <c r="E353" i="3"/>
  <c r="H353" i="3" s="1"/>
  <c r="G352" i="3"/>
  <c r="E352" i="3"/>
  <c r="H352" i="3" s="1"/>
  <c r="G351" i="3"/>
  <c r="E351" i="3"/>
  <c r="H351" i="3" s="1"/>
  <c r="G350" i="3"/>
  <c r="E350" i="3"/>
  <c r="H350" i="3" s="1"/>
  <c r="G349" i="3"/>
  <c r="E349" i="3"/>
  <c r="H349" i="3" s="1"/>
  <c r="G348" i="3"/>
  <c r="E348" i="3"/>
  <c r="H348" i="3" s="1"/>
  <c r="G347" i="3"/>
  <c r="E347" i="3"/>
  <c r="H347" i="3" s="1"/>
  <c r="G346" i="3"/>
  <c r="E346" i="3"/>
  <c r="H346" i="3" s="1"/>
  <c r="G345" i="3"/>
  <c r="E345" i="3"/>
  <c r="H345" i="3" s="1"/>
  <c r="G344" i="3"/>
  <c r="E344" i="3"/>
  <c r="H344" i="3" s="1"/>
  <c r="G343" i="3"/>
  <c r="E343" i="3"/>
  <c r="H343" i="3" s="1"/>
  <c r="G342" i="3"/>
  <c r="E342" i="3"/>
  <c r="H342" i="3" s="1"/>
  <c r="G341" i="3"/>
  <c r="E341" i="3"/>
  <c r="H341" i="3" s="1"/>
  <c r="G340" i="3"/>
  <c r="E340" i="3"/>
  <c r="H340" i="3" s="1"/>
  <c r="G339" i="3"/>
  <c r="E339" i="3"/>
  <c r="H339" i="3" s="1"/>
  <c r="G338" i="3"/>
  <c r="E338" i="3"/>
  <c r="H338" i="3" s="1"/>
  <c r="G337" i="3"/>
  <c r="E337" i="3"/>
  <c r="H337" i="3" s="1"/>
  <c r="G336" i="3"/>
  <c r="E336" i="3"/>
  <c r="H336" i="3" s="1"/>
  <c r="G335" i="3"/>
  <c r="E335" i="3"/>
  <c r="H335" i="3" s="1"/>
  <c r="G334" i="3"/>
  <c r="E334" i="3"/>
  <c r="H334" i="3" s="1"/>
  <c r="G333" i="3"/>
  <c r="E333" i="3"/>
  <c r="H333" i="3" s="1"/>
  <c r="G332" i="3"/>
  <c r="E332" i="3"/>
  <c r="H332" i="3" s="1"/>
  <c r="G331" i="3"/>
  <c r="E331" i="3"/>
  <c r="H331" i="3" s="1"/>
  <c r="G330" i="3"/>
  <c r="E330" i="3"/>
  <c r="H330" i="3" s="1"/>
  <c r="G329" i="3"/>
  <c r="E329" i="3"/>
  <c r="H329" i="3" s="1"/>
  <c r="G328" i="3"/>
  <c r="E328" i="3"/>
  <c r="H328" i="3" s="1"/>
  <c r="G327" i="3"/>
  <c r="E327" i="3"/>
  <c r="H327" i="3" s="1"/>
  <c r="G326" i="3"/>
  <c r="E326" i="3"/>
  <c r="H326" i="3" s="1"/>
  <c r="G325" i="3"/>
  <c r="E325" i="3"/>
  <c r="H325" i="3" s="1"/>
  <c r="G324" i="3"/>
  <c r="E324" i="3"/>
  <c r="H324" i="3" s="1"/>
  <c r="G323" i="3"/>
  <c r="E323" i="3"/>
  <c r="H323" i="3" s="1"/>
  <c r="G322" i="3"/>
  <c r="E322" i="3"/>
  <c r="H322" i="3" s="1"/>
  <c r="G321" i="3"/>
  <c r="E321" i="3"/>
  <c r="H321" i="3" s="1"/>
  <c r="G320" i="3"/>
  <c r="E320" i="3"/>
  <c r="H320" i="3" s="1"/>
  <c r="G319" i="3"/>
  <c r="E319" i="3"/>
  <c r="H319" i="3" s="1"/>
  <c r="G318" i="3"/>
  <c r="E318" i="3"/>
  <c r="H318" i="3" s="1"/>
  <c r="G317" i="3"/>
  <c r="E317" i="3"/>
  <c r="H317" i="3" s="1"/>
  <c r="G316" i="3"/>
  <c r="E316" i="3"/>
  <c r="H316" i="3" s="1"/>
  <c r="G315" i="3"/>
  <c r="E315" i="3"/>
  <c r="H315" i="3" s="1"/>
  <c r="G314" i="3"/>
  <c r="E314" i="3"/>
  <c r="H314" i="3" s="1"/>
  <c r="G313" i="3"/>
  <c r="E313" i="3"/>
  <c r="H313" i="3" s="1"/>
  <c r="G312" i="3"/>
  <c r="E312" i="3"/>
  <c r="H312" i="3" s="1"/>
  <c r="G311" i="3"/>
  <c r="E311" i="3"/>
  <c r="H311" i="3" s="1"/>
  <c r="G310" i="3"/>
  <c r="E310" i="3"/>
  <c r="H310" i="3" s="1"/>
  <c r="G309" i="3"/>
  <c r="E309" i="3"/>
  <c r="H309" i="3" s="1"/>
  <c r="G308" i="3"/>
  <c r="E308" i="3"/>
  <c r="H308" i="3" s="1"/>
  <c r="G307" i="3"/>
  <c r="E307" i="3"/>
  <c r="H307" i="3" s="1"/>
  <c r="G306" i="3"/>
  <c r="E306" i="3"/>
  <c r="H306" i="3" s="1"/>
  <c r="G305" i="3"/>
  <c r="E305" i="3"/>
  <c r="H305" i="3" s="1"/>
  <c r="G304" i="3"/>
  <c r="E304" i="3"/>
  <c r="H304" i="3" s="1"/>
  <c r="G303" i="3"/>
  <c r="E303" i="3"/>
  <c r="H303" i="3" s="1"/>
  <c r="G302" i="3"/>
  <c r="E302" i="3"/>
  <c r="H302" i="3" s="1"/>
  <c r="G301" i="3"/>
  <c r="E301" i="3"/>
  <c r="H301" i="3" s="1"/>
  <c r="G300" i="3"/>
  <c r="E300" i="3"/>
  <c r="H300" i="3" s="1"/>
  <c r="G299" i="3"/>
  <c r="E299" i="3"/>
  <c r="H299" i="3" s="1"/>
  <c r="G298" i="3"/>
  <c r="E298" i="3"/>
  <c r="H298" i="3" s="1"/>
  <c r="G297" i="3"/>
  <c r="E297" i="3"/>
  <c r="H297" i="3" s="1"/>
  <c r="G296" i="3"/>
  <c r="E296" i="3"/>
  <c r="H296" i="3" s="1"/>
  <c r="G295" i="3"/>
  <c r="E295" i="3"/>
  <c r="H295" i="3" s="1"/>
  <c r="G294" i="3"/>
  <c r="E294" i="3"/>
  <c r="H294" i="3" s="1"/>
  <c r="G293" i="3"/>
  <c r="E293" i="3"/>
  <c r="H293" i="3" s="1"/>
  <c r="G292" i="3"/>
  <c r="E292" i="3"/>
  <c r="H292" i="3" s="1"/>
  <c r="G291" i="3"/>
  <c r="E291" i="3"/>
  <c r="H291" i="3" s="1"/>
  <c r="G290" i="3"/>
  <c r="E290" i="3"/>
  <c r="H290" i="3" s="1"/>
  <c r="G289" i="3"/>
  <c r="E289" i="3"/>
  <c r="H289" i="3" s="1"/>
  <c r="G288" i="3"/>
  <c r="E288" i="3"/>
  <c r="H288" i="3" s="1"/>
  <c r="G287" i="3"/>
  <c r="E287" i="3"/>
  <c r="H287" i="3" s="1"/>
  <c r="G286" i="3"/>
  <c r="E286" i="3"/>
  <c r="H286" i="3" s="1"/>
  <c r="G285" i="3"/>
  <c r="E285" i="3"/>
  <c r="H285" i="3" s="1"/>
  <c r="G284" i="3"/>
  <c r="E284" i="3"/>
  <c r="H284" i="3" s="1"/>
  <c r="G283" i="3"/>
  <c r="E283" i="3"/>
  <c r="H283" i="3" s="1"/>
  <c r="G282" i="3"/>
  <c r="E282" i="3"/>
  <c r="H282" i="3" s="1"/>
  <c r="G281" i="3"/>
  <c r="E281" i="3"/>
  <c r="H281" i="3" s="1"/>
  <c r="G280" i="3"/>
  <c r="E280" i="3"/>
  <c r="H280" i="3" s="1"/>
  <c r="G279" i="3"/>
  <c r="E279" i="3"/>
  <c r="H279" i="3" s="1"/>
  <c r="G278" i="3"/>
  <c r="E278" i="3"/>
  <c r="H278" i="3" s="1"/>
  <c r="G277" i="3"/>
  <c r="E277" i="3"/>
  <c r="H277" i="3" s="1"/>
  <c r="G276" i="3"/>
  <c r="E276" i="3"/>
  <c r="H276" i="3" s="1"/>
  <c r="G275" i="3"/>
  <c r="E275" i="3"/>
  <c r="H275" i="3" s="1"/>
  <c r="G274" i="3"/>
  <c r="E274" i="3"/>
  <c r="H274" i="3" s="1"/>
  <c r="G273" i="3"/>
  <c r="E273" i="3"/>
  <c r="H273" i="3" s="1"/>
  <c r="G272" i="3"/>
  <c r="E272" i="3"/>
  <c r="H272" i="3" s="1"/>
  <c r="G271" i="3"/>
  <c r="E271" i="3"/>
  <c r="H271" i="3" s="1"/>
  <c r="G270" i="3"/>
  <c r="E270" i="3"/>
  <c r="H270" i="3" s="1"/>
  <c r="G269" i="3"/>
  <c r="E269" i="3"/>
  <c r="H269" i="3" s="1"/>
  <c r="G268" i="3"/>
  <c r="E268" i="3"/>
  <c r="H268" i="3" s="1"/>
  <c r="G267" i="3"/>
  <c r="E267" i="3"/>
  <c r="H267" i="3" s="1"/>
  <c r="G266" i="3"/>
  <c r="E266" i="3"/>
  <c r="H266" i="3" s="1"/>
  <c r="G265" i="3"/>
  <c r="E265" i="3"/>
  <c r="H265" i="3" s="1"/>
  <c r="G264" i="3"/>
  <c r="E264" i="3"/>
  <c r="H264" i="3" s="1"/>
  <c r="G263" i="3"/>
  <c r="E263" i="3"/>
  <c r="H263" i="3" s="1"/>
  <c r="G262" i="3"/>
  <c r="E262" i="3"/>
  <c r="H262" i="3" s="1"/>
  <c r="G261" i="3"/>
  <c r="E261" i="3"/>
  <c r="H261" i="3" s="1"/>
  <c r="G260" i="3"/>
  <c r="E260" i="3"/>
  <c r="H260" i="3" s="1"/>
  <c r="G259" i="3"/>
  <c r="E259" i="3"/>
  <c r="H259" i="3" s="1"/>
  <c r="G258" i="3"/>
  <c r="E258" i="3"/>
  <c r="H258" i="3" s="1"/>
  <c r="G257" i="3"/>
  <c r="E257" i="3"/>
  <c r="H257" i="3" s="1"/>
  <c r="G256" i="3"/>
  <c r="E256" i="3"/>
  <c r="H256" i="3" s="1"/>
  <c r="G255" i="3"/>
  <c r="E255" i="3"/>
  <c r="H255" i="3" s="1"/>
  <c r="G254" i="3"/>
  <c r="E254" i="3"/>
  <c r="H254" i="3" s="1"/>
  <c r="G253" i="3"/>
  <c r="E253" i="3"/>
  <c r="H253" i="3" s="1"/>
  <c r="G252" i="3"/>
  <c r="E252" i="3"/>
  <c r="H252" i="3" s="1"/>
  <c r="G251" i="3"/>
  <c r="E251" i="3"/>
  <c r="H251" i="3" s="1"/>
  <c r="G250" i="3"/>
  <c r="E250" i="3"/>
  <c r="H250" i="3" s="1"/>
  <c r="G249" i="3"/>
  <c r="E249" i="3"/>
  <c r="H249" i="3" s="1"/>
  <c r="G248" i="3"/>
  <c r="E248" i="3"/>
  <c r="H248" i="3" s="1"/>
  <c r="G247" i="3"/>
  <c r="E247" i="3"/>
  <c r="H247" i="3" s="1"/>
  <c r="G246" i="3"/>
  <c r="E246" i="3"/>
  <c r="H246" i="3" s="1"/>
  <c r="G245" i="3"/>
  <c r="E245" i="3"/>
  <c r="H245" i="3" s="1"/>
  <c r="G244" i="3"/>
  <c r="E244" i="3"/>
  <c r="H244" i="3" s="1"/>
  <c r="G243" i="3"/>
  <c r="E243" i="3"/>
  <c r="H243" i="3" s="1"/>
  <c r="G242" i="3"/>
  <c r="E242" i="3"/>
  <c r="H242" i="3" s="1"/>
  <c r="G241" i="3"/>
  <c r="E241" i="3"/>
  <c r="H241" i="3" s="1"/>
  <c r="G240" i="3"/>
  <c r="E240" i="3"/>
  <c r="H240" i="3" s="1"/>
  <c r="G239" i="3"/>
  <c r="E239" i="3"/>
  <c r="H239" i="3" s="1"/>
  <c r="G238" i="3"/>
  <c r="E238" i="3"/>
  <c r="H238" i="3" s="1"/>
  <c r="G237" i="3"/>
  <c r="E237" i="3"/>
  <c r="H237" i="3" s="1"/>
  <c r="G236" i="3"/>
  <c r="E236" i="3"/>
  <c r="H236" i="3" s="1"/>
  <c r="G235" i="3"/>
  <c r="E235" i="3"/>
  <c r="H235" i="3" s="1"/>
  <c r="G234" i="3"/>
  <c r="E234" i="3"/>
  <c r="H234" i="3" s="1"/>
  <c r="G233" i="3"/>
  <c r="E233" i="3"/>
  <c r="H233" i="3" s="1"/>
  <c r="G232" i="3"/>
  <c r="E232" i="3"/>
  <c r="H232" i="3" s="1"/>
  <c r="G231" i="3"/>
  <c r="E231" i="3"/>
  <c r="H231" i="3" s="1"/>
  <c r="G230" i="3"/>
  <c r="E230" i="3"/>
  <c r="H230" i="3" s="1"/>
  <c r="G229" i="3"/>
  <c r="E229" i="3"/>
  <c r="H229" i="3" s="1"/>
  <c r="G228" i="3"/>
  <c r="E228" i="3"/>
  <c r="H228" i="3" s="1"/>
  <c r="G227" i="3"/>
  <c r="E227" i="3"/>
  <c r="H227" i="3" s="1"/>
  <c r="G226" i="3"/>
  <c r="E226" i="3"/>
  <c r="H226" i="3" s="1"/>
  <c r="G225" i="3"/>
  <c r="E225" i="3"/>
  <c r="H225" i="3" s="1"/>
  <c r="G224" i="3"/>
  <c r="G223" i="3"/>
  <c r="E223" i="3"/>
  <c r="H223" i="3" s="1"/>
  <c r="G222" i="3"/>
  <c r="E222" i="3"/>
  <c r="H222" i="3" s="1"/>
  <c r="G221" i="3"/>
  <c r="E221" i="3"/>
  <c r="H221" i="3" s="1"/>
  <c r="G220" i="3"/>
  <c r="E220" i="3"/>
  <c r="H220" i="3" s="1"/>
  <c r="G219" i="3"/>
  <c r="E219" i="3"/>
  <c r="H219" i="3" s="1"/>
  <c r="G218" i="3"/>
  <c r="E218" i="3"/>
  <c r="H218" i="3" s="1"/>
  <c r="G217" i="3"/>
  <c r="E217" i="3"/>
  <c r="H217" i="3" s="1"/>
  <c r="G216" i="3"/>
  <c r="E216" i="3"/>
  <c r="H216" i="3" s="1"/>
  <c r="G215" i="3"/>
  <c r="E215" i="3"/>
  <c r="H215" i="3" s="1"/>
  <c r="G214" i="3"/>
  <c r="E214" i="3"/>
  <c r="H214" i="3" s="1"/>
  <c r="G213" i="3"/>
  <c r="E213" i="3"/>
  <c r="H213" i="3" s="1"/>
  <c r="G212" i="3"/>
  <c r="E212" i="3"/>
  <c r="H212" i="3" s="1"/>
  <c r="G211" i="3"/>
  <c r="E211" i="3"/>
  <c r="H211" i="3" s="1"/>
  <c r="G210" i="3"/>
  <c r="E210" i="3"/>
  <c r="H210" i="3" s="1"/>
  <c r="G209" i="3"/>
  <c r="E209" i="3"/>
  <c r="H209" i="3" s="1"/>
  <c r="G208" i="3"/>
  <c r="E208" i="3"/>
  <c r="H208" i="3" s="1"/>
  <c r="G207" i="3"/>
  <c r="E207" i="3"/>
  <c r="H207" i="3" s="1"/>
  <c r="G206" i="3"/>
  <c r="E206" i="3"/>
  <c r="H206" i="3" s="1"/>
  <c r="G205" i="3"/>
  <c r="E205" i="3"/>
  <c r="H205" i="3" s="1"/>
  <c r="G204" i="3"/>
  <c r="E204" i="3"/>
  <c r="H204" i="3" s="1"/>
  <c r="G203" i="3"/>
  <c r="E203" i="3"/>
  <c r="H203" i="3" s="1"/>
  <c r="G202" i="3"/>
  <c r="E202" i="3"/>
  <c r="H202" i="3" s="1"/>
  <c r="G201" i="3"/>
  <c r="E201" i="3"/>
  <c r="H201" i="3" s="1"/>
  <c r="G200" i="3"/>
  <c r="E200" i="3"/>
  <c r="H200" i="3" s="1"/>
  <c r="G199" i="3"/>
  <c r="E199" i="3"/>
  <c r="H199" i="3" s="1"/>
  <c r="G198" i="3"/>
  <c r="E198" i="3"/>
  <c r="H198" i="3" s="1"/>
  <c r="G197" i="3"/>
  <c r="E197" i="3"/>
  <c r="H197" i="3" s="1"/>
  <c r="G196" i="3"/>
  <c r="E196" i="3"/>
  <c r="H196" i="3" s="1"/>
  <c r="G195" i="3"/>
  <c r="E195" i="3"/>
  <c r="H195" i="3" s="1"/>
  <c r="G194" i="3"/>
  <c r="E194" i="3"/>
  <c r="H194" i="3" s="1"/>
  <c r="G193" i="3"/>
  <c r="E193" i="3"/>
  <c r="H193" i="3" s="1"/>
  <c r="G192" i="3"/>
  <c r="E192" i="3"/>
  <c r="H192" i="3" s="1"/>
  <c r="G191" i="3"/>
  <c r="E191" i="3"/>
  <c r="H191" i="3" s="1"/>
  <c r="G190" i="3"/>
  <c r="E190" i="3"/>
  <c r="H190" i="3" s="1"/>
  <c r="G189" i="3"/>
  <c r="E189" i="3"/>
  <c r="H189" i="3" s="1"/>
  <c r="G188" i="3"/>
  <c r="E188" i="3"/>
  <c r="H188" i="3" s="1"/>
  <c r="G187" i="3"/>
  <c r="E187" i="3"/>
  <c r="H187" i="3" s="1"/>
  <c r="G186" i="3"/>
  <c r="E186" i="3"/>
  <c r="H186" i="3" s="1"/>
  <c r="G185" i="3"/>
  <c r="E185" i="3"/>
  <c r="H185" i="3" s="1"/>
  <c r="G184" i="3"/>
  <c r="E184" i="3"/>
  <c r="H184" i="3" s="1"/>
  <c r="G183" i="3"/>
  <c r="E183" i="3"/>
  <c r="H183" i="3" s="1"/>
  <c r="G182" i="3"/>
  <c r="E182" i="3"/>
  <c r="H182" i="3" s="1"/>
  <c r="G181" i="3"/>
  <c r="E181" i="3"/>
  <c r="H181" i="3" s="1"/>
  <c r="G180" i="3"/>
  <c r="E180" i="3"/>
  <c r="H180" i="3" s="1"/>
  <c r="G179" i="3"/>
  <c r="E179" i="3"/>
  <c r="H179" i="3" s="1"/>
  <c r="G178" i="3"/>
  <c r="E178" i="3"/>
  <c r="H178" i="3" s="1"/>
  <c r="G177" i="3"/>
  <c r="E177" i="3"/>
  <c r="H177" i="3" s="1"/>
  <c r="G176" i="3"/>
  <c r="E176" i="3"/>
  <c r="H176" i="3" s="1"/>
  <c r="G175" i="3"/>
  <c r="E175" i="3"/>
  <c r="H175" i="3" s="1"/>
  <c r="G174" i="3"/>
  <c r="E174" i="3"/>
  <c r="H174" i="3" s="1"/>
  <c r="G173" i="3"/>
  <c r="E173" i="3"/>
  <c r="H173" i="3" s="1"/>
  <c r="G172" i="3"/>
  <c r="E172" i="3"/>
  <c r="H172" i="3" s="1"/>
  <c r="G171" i="3"/>
  <c r="E171" i="3"/>
  <c r="H171" i="3" s="1"/>
  <c r="G170" i="3"/>
  <c r="E170" i="3"/>
  <c r="H170" i="3" s="1"/>
  <c r="G169" i="3"/>
  <c r="E169" i="3"/>
  <c r="H169" i="3" s="1"/>
  <c r="G168" i="3"/>
  <c r="E168" i="3"/>
  <c r="H168" i="3" s="1"/>
  <c r="G167" i="3"/>
  <c r="E167" i="3"/>
  <c r="H167" i="3" s="1"/>
  <c r="G166" i="3"/>
  <c r="E166" i="3"/>
  <c r="H166" i="3" s="1"/>
  <c r="G165" i="3"/>
  <c r="E165" i="3"/>
  <c r="H165" i="3" s="1"/>
  <c r="G164" i="3"/>
  <c r="E164" i="3"/>
  <c r="H164" i="3" s="1"/>
  <c r="G163" i="3"/>
  <c r="E163" i="3"/>
  <c r="H163" i="3" s="1"/>
  <c r="G162" i="3"/>
  <c r="E162" i="3"/>
  <c r="H162" i="3" s="1"/>
  <c r="G161" i="3"/>
  <c r="E161" i="3"/>
  <c r="H161" i="3" s="1"/>
  <c r="G160" i="3"/>
  <c r="E160" i="3"/>
  <c r="H160" i="3" s="1"/>
  <c r="G159" i="3"/>
  <c r="E159" i="3"/>
  <c r="H159" i="3" s="1"/>
  <c r="G158" i="3"/>
  <c r="E158" i="3"/>
  <c r="H158" i="3" s="1"/>
  <c r="G157" i="3"/>
  <c r="E157" i="3"/>
  <c r="H157" i="3" s="1"/>
  <c r="G156" i="3"/>
  <c r="E156" i="3"/>
  <c r="H156" i="3" s="1"/>
  <c r="G155" i="3"/>
  <c r="E155" i="3"/>
  <c r="H155" i="3" s="1"/>
  <c r="G154" i="3"/>
  <c r="E154" i="3"/>
  <c r="H154" i="3" s="1"/>
  <c r="G153" i="3"/>
  <c r="E153" i="3"/>
  <c r="H153" i="3" s="1"/>
  <c r="G152" i="3"/>
  <c r="E152" i="3"/>
  <c r="H152" i="3" s="1"/>
  <c r="G151" i="3"/>
  <c r="E151" i="3"/>
  <c r="H151" i="3" s="1"/>
  <c r="G150" i="3"/>
  <c r="E150" i="3"/>
  <c r="H150" i="3" s="1"/>
  <c r="G149" i="3"/>
  <c r="E149" i="3"/>
  <c r="H149" i="3" s="1"/>
  <c r="G148" i="3"/>
  <c r="E148" i="3"/>
  <c r="H148" i="3" s="1"/>
  <c r="G147" i="3"/>
  <c r="E147" i="3"/>
  <c r="H147" i="3" s="1"/>
  <c r="G146" i="3"/>
  <c r="E146" i="3"/>
  <c r="H146" i="3" s="1"/>
  <c r="G145" i="3"/>
  <c r="E145" i="3"/>
  <c r="H145" i="3" s="1"/>
  <c r="G144" i="3"/>
  <c r="E144" i="3"/>
  <c r="H144" i="3" s="1"/>
  <c r="G143" i="3"/>
  <c r="E143" i="3"/>
  <c r="H143" i="3" s="1"/>
  <c r="G142" i="3"/>
  <c r="E142" i="3"/>
  <c r="H142" i="3" s="1"/>
  <c r="G141" i="3"/>
  <c r="E141" i="3"/>
  <c r="H141" i="3" s="1"/>
  <c r="G140" i="3"/>
  <c r="E140" i="3"/>
  <c r="H140" i="3" s="1"/>
  <c r="G139" i="3"/>
  <c r="E139" i="3"/>
  <c r="H139" i="3" s="1"/>
  <c r="G138" i="3"/>
  <c r="E138" i="3"/>
  <c r="H138" i="3" s="1"/>
  <c r="G137" i="3"/>
  <c r="E137" i="3"/>
  <c r="H137" i="3" s="1"/>
  <c r="G136" i="3"/>
  <c r="E136" i="3"/>
  <c r="H136" i="3" s="1"/>
  <c r="G135" i="3"/>
  <c r="E135" i="3"/>
  <c r="H135" i="3" s="1"/>
  <c r="G134" i="3"/>
  <c r="E134" i="3"/>
  <c r="H134" i="3" s="1"/>
  <c r="G133" i="3"/>
  <c r="E133" i="3"/>
  <c r="H133" i="3" s="1"/>
  <c r="G132" i="3"/>
  <c r="E132" i="3"/>
  <c r="H132" i="3" s="1"/>
  <c r="G131" i="3"/>
  <c r="E131" i="3"/>
  <c r="H131" i="3" s="1"/>
  <c r="G130" i="3"/>
  <c r="E130" i="3"/>
  <c r="H130" i="3" s="1"/>
  <c r="G129" i="3"/>
  <c r="E129" i="3"/>
  <c r="H129" i="3" s="1"/>
  <c r="G128" i="3"/>
  <c r="E128" i="3"/>
  <c r="H128" i="3" s="1"/>
  <c r="G127" i="3"/>
  <c r="E127" i="3"/>
  <c r="H127" i="3" s="1"/>
  <c r="G126" i="3"/>
  <c r="E126" i="3"/>
  <c r="H126" i="3" s="1"/>
  <c r="G125" i="3"/>
  <c r="E125" i="3"/>
  <c r="H125" i="3" s="1"/>
  <c r="G124" i="3"/>
  <c r="E124" i="3"/>
  <c r="H124" i="3" s="1"/>
  <c r="G123" i="3"/>
  <c r="E123" i="3"/>
  <c r="H123" i="3" s="1"/>
  <c r="G122" i="3"/>
  <c r="E122" i="3"/>
  <c r="H122" i="3" s="1"/>
  <c r="G121" i="3"/>
  <c r="E121" i="3"/>
  <c r="H121" i="3" s="1"/>
  <c r="G120" i="3"/>
  <c r="E120" i="3"/>
  <c r="H120" i="3" s="1"/>
  <c r="G119" i="3"/>
  <c r="E119" i="3"/>
  <c r="H119" i="3" s="1"/>
  <c r="G118" i="3"/>
  <c r="E118" i="3"/>
  <c r="H118" i="3" s="1"/>
  <c r="G117" i="3"/>
  <c r="E117" i="3"/>
  <c r="H117" i="3" s="1"/>
  <c r="G116" i="3"/>
  <c r="E116" i="3"/>
  <c r="H116" i="3" s="1"/>
  <c r="G115" i="3"/>
  <c r="E115" i="3"/>
  <c r="H115" i="3" s="1"/>
  <c r="G114" i="3"/>
  <c r="E114" i="3"/>
  <c r="H114" i="3" s="1"/>
  <c r="G113" i="3"/>
  <c r="E113" i="3"/>
  <c r="H113" i="3" s="1"/>
  <c r="G112" i="3"/>
  <c r="E112" i="3"/>
  <c r="H112" i="3" s="1"/>
  <c r="G111" i="3"/>
  <c r="E111" i="3"/>
  <c r="H111" i="3" s="1"/>
  <c r="G110" i="3"/>
  <c r="E110" i="3"/>
  <c r="H110" i="3" s="1"/>
  <c r="G109" i="3"/>
  <c r="E109" i="3"/>
  <c r="H109" i="3" s="1"/>
  <c r="G108" i="3"/>
  <c r="E108" i="3"/>
  <c r="H108" i="3" s="1"/>
  <c r="G107" i="3"/>
  <c r="E107" i="3"/>
  <c r="H107" i="3" s="1"/>
  <c r="G106" i="3"/>
  <c r="E106" i="3"/>
  <c r="H106" i="3" s="1"/>
  <c r="G105" i="3"/>
  <c r="E105" i="3"/>
  <c r="H105" i="3" s="1"/>
  <c r="G104" i="3"/>
  <c r="E104" i="3"/>
  <c r="H104" i="3" s="1"/>
  <c r="G103" i="3"/>
  <c r="E103" i="3"/>
  <c r="H103" i="3" s="1"/>
  <c r="G102" i="3"/>
  <c r="E102" i="3"/>
  <c r="H102" i="3" s="1"/>
  <c r="G101" i="3"/>
  <c r="E101" i="3"/>
  <c r="H101" i="3" s="1"/>
  <c r="G100" i="3"/>
  <c r="E100" i="3"/>
  <c r="H100" i="3" s="1"/>
  <c r="G99" i="3"/>
  <c r="E99" i="3"/>
  <c r="H99" i="3" s="1"/>
  <c r="G98" i="3"/>
  <c r="E98" i="3"/>
  <c r="H98" i="3" s="1"/>
  <c r="G97" i="3"/>
  <c r="E97" i="3"/>
  <c r="H97" i="3" s="1"/>
  <c r="G96" i="3"/>
  <c r="E96" i="3"/>
  <c r="H96" i="3" s="1"/>
  <c r="G95" i="3"/>
  <c r="E95" i="3"/>
  <c r="H95" i="3" s="1"/>
  <c r="G94" i="3"/>
  <c r="E94" i="3"/>
  <c r="H94" i="3" s="1"/>
  <c r="G93" i="3"/>
  <c r="E93" i="3"/>
  <c r="H93" i="3" s="1"/>
  <c r="G92" i="3"/>
  <c r="E92" i="3"/>
  <c r="H92" i="3" s="1"/>
  <c r="G91" i="3"/>
  <c r="E91" i="3"/>
  <c r="H91" i="3" s="1"/>
  <c r="G90" i="3"/>
  <c r="E90" i="3"/>
  <c r="H90" i="3" s="1"/>
  <c r="G89" i="3"/>
  <c r="E89" i="3"/>
  <c r="H89" i="3" s="1"/>
  <c r="G88" i="3"/>
  <c r="E88" i="3"/>
  <c r="H88" i="3" s="1"/>
  <c r="G87" i="3"/>
  <c r="E87" i="3"/>
  <c r="H87" i="3" s="1"/>
  <c r="G86" i="3"/>
  <c r="E86" i="3"/>
  <c r="H86" i="3" s="1"/>
  <c r="G85" i="3"/>
  <c r="E85" i="3"/>
  <c r="H85" i="3" s="1"/>
  <c r="G84" i="3"/>
  <c r="E84" i="3"/>
  <c r="H84" i="3" s="1"/>
  <c r="G83" i="3"/>
  <c r="E83" i="3"/>
  <c r="H83" i="3" s="1"/>
  <c r="G82" i="3"/>
  <c r="E82" i="3"/>
  <c r="H82" i="3" s="1"/>
  <c r="G81" i="3"/>
  <c r="E81" i="3"/>
  <c r="H81" i="3" s="1"/>
  <c r="G80" i="3"/>
  <c r="E80" i="3"/>
  <c r="H80" i="3" s="1"/>
  <c r="G79" i="3"/>
  <c r="E79" i="3"/>
  <c r="H79" i="3" s="1"/>
  <c r="G78" i="3"/>
  <c r="E78" i="3"/>
  <c r="H78" i="3" s="1"/>
  <c r="G77" i="3"/>
  <c r="E77" i="3"/>
  <c r="H77" i="3" s="1"/>
  <c r="G76" i="3"/>
  <c r="E76" i="3"/>
  <c r="H76" i="3" s="1"/>
  <c r="G75" i="3"/>
  <c r="E75" i="3"/>
  <c r="H75" i="3" s="1"/>
  <c r="G74" i="3"/>
  <c r="E74" i="3"/>
  <c r="H74" i="3" s="1"/>
  <c r="G73" i="3"/>
  <c r="E73" i="3"/>
  <c r="H73" i="3" s="1"/>
  <c r="G72" i="3"/>
  <c r="E72" i="3"/>
  <c r="H72" i="3" s="1"/>
  <c r="G71" i="3"/>
  <c r="E71" i="3"/>
  <c r="H71" i="3" s="1"/>
  <c r="G70" i="3"/>
  <c r="E70" i="3"/>
  <c r="H70" i="3" s="1"/>
  <c r="G69" i="3"/>
  <c r="E69" i="3"/>
  <c r="H69" i="3" s="1"/>
  <c r="G68" i="3"/>
  <c r="E68" i="3"/>
  <c r="H68" i="3" s="1"/>
  <c r="G67" i="3"/>
  <c r="E67" i="3"/>
  <c r="H67" i="3" s="1"/>
  <c r="G66" i="3"/>
  <c r="E66" i="3"/>
  <c r="H66" i="3" s="1"/>
  <c r="G65" i="3"/>
  <c r="E65" i="3"/>
  <c r="H65" i="3" s="1"/>
  <c r="G64" i="3"/>
  <c r="E64" i="3"/>
  <c r="H64" i="3" s="1"/>
  <c r="G63" i="3"/>
  <c r="E63" i="3"/>
  <c r="H63" i="3" s="1"/>
  <c r="G62" i="3"/>
  <c r="E62" i="3"/>
  <c r="H62" i="3" s="1"/>
  <c r="G61" i="3"/>
  <c r="E61" i="3"/>
  <c r="H61" i="3" s="1"/>
  <c r="G60" i="3"/>
  <c r="E60" i="3"/>
  <c r="H60" i="3" s="1"/>
  <c r="G59" i="3"/>
  <c r="E59" i="3"/>
  <c r="H59" i="3" s="1"/>
  <c r="G58" i="3"/>
  <c r="E58" i="3"/>
  <c r="H58" i="3" s="1"/>
  <c r="G57" i="3"/>
  <c r="E57" i="3"/>
  <c r="H57" i="3" s="1"/>
  <c r="G56" i="3"/>
  <c r="E56" i="3"/>
  <c r="H56" i="3" s="1"/>
  <c r="G55" i="3"/>
  <c r="E55" i="3"/>
  <c r="H55" i="3" s="1"/>
  <c r="G54" i="3"/>
  <c r="E54" i="3"/>
  <c r="H54" i="3" s="1"/>
  <c r="G53" i="3"/>
  <c r="E53" i="3"/>
  <c r="H53" i="3" s="1"/>
  <c r="G52" i="3"/>
  <c r="E52" i="3"/>
  <c r="H52" i="3" s="1"/>
  <c r="G51" i="3"/>
  <c r="E51" i="3"/>
  <c r="H51" i="3" s="1"/>
  <c r="G50" i="3"/>
  <c r="E50" i="3"/>
  <c r="H50" i="3" s="1"/>
  <c r="G49" i="3"/>
  <c r="E49" i="3"/>
  <c r="H49" i="3" s="1"/>
  <c r="G48" i="3"/>
  <c r="E48" i="3"/>
  <c r="H48" i="3" s="1"/>
  <c r="G47" i="3"/>
  <c r="E47" i="3"/>
  <c r="H47" i="3" s="1"/>
  <c r="G46" i="3"/>
  <c r="E46" i="3"/>
  <c r="H46" i="3" s="1"/>
  <c r="G45" i="3"/>
  <c r="E45" i="3"/>
  <c r="H45" i="3" s="1"/>
  <c r="G44" i="3"/>
  <c r="E44" i="3"/>
  <c r="H44" i="3" s="1"/>
  <c r="G43" i="3"/>
  <c r="E43" i="3"/>
  <c r="H43" i="3" s="1"/>
  <c r="G42" i="3"/>
  <c r="E42" i="3"/>
  <c r="H42" i="3" s="1"/>
  <c r="G41" i="3"/>
  <c r="E41" i="3"/>
  <c r="H41" i="3" s="1"/>
  <c r="G40" i="3"/>
  <c r="E40" i="3"/>
  <c r="H40" i="3" s="1"/>
  <c r="G39" i="3"/>
  <c r="E39" i="3"/>
  <c r="H39" i="3" s="1"/>
  <c r="G38" i="3"/>
  <c r="E38" i="3"/>
  <c r="H38" i="3" s="1"/>
  <c r="G37" i="3"/>
  <c r="E37" i="3"/>
  <c r="H37" i="3" s="1"/>
  <c r="G36" i="3"/>
  <c r="E36" i="3"/>
  <c r="H36" i="3" s="1"/>
  <c r="G35" i="3"/>
  <c r="E35" i="3"/>
  <c r="H35" i="3" s="1"/>
  <c r="G34" i="3"/>
  <c r="E34" i="3"/>
  <c r="H34" i="3" s="1"/>
  <c r="G33" i="3"/>
  <c r="E33" i="3"/>
  <c r="H33" i="3" s="1"/>
  <c r="G32" i="3"/>
  <c r="E32" i="3"/>
  <c r="H32" i="3" s="1"/>
  <c r="G31" i="3"/>
  <c r="E31" i="3"/>
  <c r="H31" i="3" s="1"/>
  <c r="G30" i="3"/>
  <c r="E30" i="3"/>
  <c r="H30" i="3" s="1"/>
  <c r="G29" i="3"/>
  <c r="E29" i="3"/>
  <c r="H29" i="3" s="1"/>
  <c r="G28" i="3"/>
  <c r="E28" i="3"/>
  <c r="H28" i="3" s="1"/>
  <c r="G27" i="3"/>
  <c r="E27" i="3"/>
  <c r="H27" i="3" s="1"/>
  <c r="G26" i="3"/>
  <c r="E26" i="3"/>
  <c r="H26" i="3" s="1"/>
  <c r="G25" i="3"/>
  <c r="E25" i="3"/>
  <c r="H25" i="3" s="1"/>
  <c r="G24" i="3"/>
  <c r="E24" i="3"/>
  <c r="H24" i="3" s="1"/>
  <c r="G23" i="3"/>
  <c r="E23" i="3"/>
  <c r="H23" i="3" s="1"/>
  <c r="G22" i="3"/>
  <c r="E22" i="3"/>
  <c r="H22" i="3" s="1"/>
  <c r="G21" i="3"/>
  <c r="E21" i="3"/>
  <c r="H21" i="3" s="1"/>
  <c r="G20" i="3"/>
  <c r="E20" i="3"/>
  <c r="H20" i="3" s="1"/>
  <c r="G19" i="3"/>
  <c r="E19" i="3"/>
  <c r="H19" i="3" s="1"/>
  <c r="G18" i="3"/>
  <c r="E18" i="3"/>
  <c r="H18" i="3" s="1"/>
  <c r="G17" i="3"/>
  <c r="E17" i="3"/>
  <c r="H17" i="3" s="1"/>
  <c r="G16" i="3"/>
  <c r="E16" i="3"/>
  <c r="H16" i="3" s="1"/>
  <c r="G15" i="3"/>
  <c r="E15" i="3"/>
  <c r="H15" i="3" s="1"/>
  <c r="F358" i="3"/>
  <c r="G14" i="3"/>
  <c r="E14" i="3"/>
  <c r="H14" i="3" s="1"/>
  <c r="G13" i="3"/>
  <c r="E13" i="3"/>
  <c r="H13" i="3" s="1"/>
  <c r="G12" i="3"/>
  <c r="E12" i="3"/>
  <c r="H12" i="3" s="1"/>
  <c r="G11" i="3"/>
  <c r="E11" i="3"/>
  <c r="H11" i="3" s="1"/>
  <c r="G10" i="3"/>
  <c r="E10" i="3"/>
  <c r="H10" i="3" s="1"/>
  <c r="G9" i="3"/>
  <c r="E9" i="3"/>
  <c r="H9" i="3" s="1"/>
  <c r="M8" i="3"/>
  <c r="G8" i="3"/>
  <c r="E8" i="3"/>
  <c r="H8" i="3" s="1"/>
  <c r="G7" i="3"/>
  <c r="E7" i="3"/>
  <c r="H7" i="3" s="1"/>
  <c r="G6" i="3"/>
  <c r="E6" i="3"/>
  <c r="H6" i="3" s="1"/>
  <c r="G5" i="3"/>
  <c r="E5" i="3"/>
  <c r="H5" i="3" s="1"/>
  <c r="G4" i="3"/>
  <c r="E4" i="3"/>
  <c r="H4" i="3" s="1"/>
  <c r="C28" i="2"/>
  <c r="G19" i="2"/>
  <c r="F19" i="2"/>
  <c r="G18" i="2"/>
  <c r="F18" i="2"/>
  <c r="M12" i="2"/>
  <c r="G12" i="2"/>
  <c r="F12" i="2"/>
  <c r="E12" i="2"/>
  <c r="T11" i="2" s="1"/>
  <c r="X11" i="2"/>
  <c r="U11" i="2"/>
  <c r="V11" i="2" s="1"/>
  <c r="Q11" i="2"/>
  <c r="G11" i="2"/>
  <c r="F11" i="2"/>
  <c r="E11" i="2"/>
  <c r="T10" i="2" s="1"/>
  <c r="X10" i="2"/>
  <c r="U10" i="2"/>
  <c r="V10" i="2" s="1"/>
  <c r="Q10" i="2"/>
  <c r="C4" i="2"/>
  <c r="F358" i="1"/>
  <c r="H358" i="1" s="1"/>
  <c r="B358" i="1"/>
  <c r="F357" i="1"/>
  <c r="H357" i="1" s="1"/>
  <c r="B357" i="1"/>
  <c r="F356" i="1"/>
  <c r="H356" i="1" s="1"/>
  <c r="B356" i="1"/>
  <c r="F355" i="1"/>
  <c r="H355" i="1" s="1"/>
  <c r="B355" i="1"/>
  <c r="F354" i="1"/>
  <c r="H354" i="1" s="1"/>
  <c r="B354" i="1"/>
  <c r="F353" i="1"/>
  <c r="H353" i="1" s="1"/>
  <c r="B353" i="1"/>
  <c r="F352" i="1"/>
  <c r="H352" i="1" s="1"/>
  <c r="B352" i="1"/>
  <c r="F351" i="1"/>
  <c r="H351" i="1" s="1"/>
  <c r="B351" i="1"/>
  <c r="F350" i="1"/>
  <c r="H350" i="1" s="1"/>
  <c r="B350" i="1"/>
  <c r="F349" i="1"/>
  <c r="H349" i="1" s="1"/>
  <c r="B349" i="1"/>
  <c r="F348" i="1"/>
  <c r="H348" i="1" s="1"/>
  <c r="B348" i="1"/>
  <c r="F347" i="1"/>
  <c r="H347" i="1" s="1"/>
  <c r="B347" i="1"/>
  <c r="F346" i="1"/>
  <c r="H346" i="1" s="1"/>
  <c r="B346" i="1"/>
  <c r="F345" i="1"/>
  <c r="H345" i="1" s="1"/>
  <c r="B345" i="1"/>
  <c r="F344" i="1"/>
  <c r="H344" i="1" s="1"/>
  <c r="B344" i="1"/>
  <c r="F343" i="1"/>
  <c r="H343" i="1" s="1"/>
  <c r="B343" i="1"/>
  <c r="F342" i="1"/>
  <c r="H342" i="1" s="1"/>
  <c r="B342" i="1"/>
  <c r="F341" i="1"/>
  <c r="H341" i="1" s="1"/>
  <c r="B341" i="1"/>
  <c r="F340" i="1"/>
  <c r="H340" i="1" s="1"/>
  <c r="B340" i="1"/>
  <c r="F339" i="1"/>
  <c r="H339" i="1" s="1"/>
  <c r="B339" i="1"/>
  <c r="F338" i="1"/>
  <c r="H338" i="1" s="1"/>
  <c r="B338" i="1"/>
  <c r="F337" i="1"/>
  <c r="H337" i="1" s="1"/>
  <c r="B337" i="1"/>
  <c r="F336" i="1"/>
  <c r="H336" i="1" s="1"/>
  <c r="B336" i="1"/>
  <c r="F335" i="1"/>
  <c r="H335" i="1" s="1"/>
  <c r="B335" i="1"/>
  <c r="F334" i="1"/>
  <c r="H334" i="1" s="1"/>
  <c r="B334" i="1"/>
  <c r="F333" i="1"/>
  <c r="H333" i="1" s="1"/>
  <c r="B333" i="1"/>
  <c r="F332" i="1"/>
  <c r="H332" i="1" s="1"/>
  <c r="B332" i="1"/>
  <c r="F331" i="1"/>
  <c r="H331" i="1" s="1"/>
  <c r="B331" i="1"/>
  <c r="F330" i="1"/>
  <c r="H330" i="1" s="1"/>
  <c r="B330" i="1"/>
  <c r="F329" i="1"/>
  <c r="H329" i="1" s="1"/>
  <c r="B329" i="1"/>
  <c r="F328" i="1"/>
  <c r="H328" i="1" s="1"/>
  <c r="B328" i="1"/>
  <c r="F327" i="1"/>
  <c r="H327" i="1" s="1"/>
  <c r="B327" i="1"/>
  <c r="F326" i="1"/>
  <c r="H326" i="1" s="1"/>
  <c r="B326" i="1"/>
  <c r="F325" i="1"/>
  <c r="H325" i="1" s="1"/>
  <c r="B325" i="1"/>
  <c r="F324" i="1"/>
  <c r="H324" i="1" s="1"/>
  <c r="B324" i="1"/>
  <c r="F323" i="1"/>
  <c r="H323" i="1" s="1"/>
  <c r="B323" i="1"/>
  <c r="F322" i="1"/>
  <c r="H322" i="1" s="1"/>
  <c r="B322" i="1"/>
  <c r="F321" i="1"/>
  <c r="H321" i="1" s="1"/>
  <c r="B321" i="1"/>
  <c r="F320" i="1"/>
  <c r="H320" i="1" s="1"/>
  <c r="B320" i="1"/>
  <c r="F319" i="1"/>
  <c r="H319" i="1" s="1"/>
  <c r="B319" i="1"/>
  <c r="F318" i="1"/>
  <c r="H318" i="1" s="1"/>
  <c r="B318" i="1"/>
  <c r="F317" i="1"/>
  <c r="H317" i="1" s="1"/>
  <c r="B317" i="1"/>
  <c r="F316" i="1"/>
  <c r="H316" i="1" s="1"/>
  <c r="B316" i="1"/>
  <c r="F315" i="1"/>
  <c r="H315" i="1" s="1"/>
  <c r="B315" i="1"/>
  <c r="F314" i="1"/>
  <c r="H314" i="1" s="1"/>
  <c r="B314" i="1"/>
  <c r="F313" i="1"/>
  <c r="H313" i="1" s="1"/>
  <c r="B313" i="1"/>
  <c r="F312" i="1"/>
  <c r="H312" i="1" s="1"/>
  <c r="B312" i="1"/>
  <c r="F311" i="1"/>
  <c r="H311" i="1" s="1"/>
  <c r="B311" i="1"/>
  <c r="F310" i="1"/>
  <c r="H310" i="1" s="1"/>
  <c r="B310" i="1"/>
  <c r="F309" i="1"/>
  <c r="H309" i="1" s="1"/>
  <c r="B309" i="1"/>
  <c r="F308" i="1"/>
  <c r="H308" i="1" s="1"/>
  <c r="B308" i="1"/>
  <c r="F307" i="1"/>
  <c r="H307" i="1" s="1"/>
  <c r="B307" i="1"/>
  <c r="F306" i="1"/>
  <c r="H306" i="1" s="1"/>
  <c r="B306" i="1"/>
  <c r="F305" i="1"/>
  <c r="H305" i="1" s="1"/>
  <c r="B305" i="1"/>
  <c r="F304" i="1"/>
  <c r="H304" i="1" s="1"/>
  <c r="B304" i="1"/>
  <c r="F303" i="1"/>
  <c r="H303" i="1" s="1"/>
  <c r="B303" i="1"/>
  <c r="F302" i="1"/>
  <c r="H302" i="1" s="1"/>
  <c r="B302" i="1"/>
  <c r="F301" i="1"/>
  <c r="H301" i="1" s="1"/>
  <c r="B301" i="1"/>
  <c r="F300" i="1"/>
  <c r="H300" i="1" s="1"/>
  <c r="B300" i="1"/>
  <c r="F299" i="1"/>
  <c r="H299" i="1" s="1"/>
  <c r="B299" i="1"/>
  <c r="F298" i="1"/>
  <c r="H298" i="1" s="1"/>
  <c r="B298" i="1"/>
  <c r="F297" i="1"/>
  <c r="H297" i="1" s="1"/>
  <c r="B297" i="1"/>
  <c r="F296" i="1"/>
  <c r="H296" i="1" s="1"/>
  <c r="B296" i="1"/>
  <c r="F295" i="1"/>
  <c r="H295" i="1" s="1"/>
  <c r="B295" i="1"/>
  <c r="F294" i="1"/>
  <c r="H294" i="1" s="1"/>
  <c r="B294" i="1"/>
  <c r="F293" i="1"/>
  <c r="H293" i="1" s="1"/>
  <c r="B293" i="1"/>
  <c r="F292" i="1"/>
  <c r="H292" i="1" s="1"/>
  <c r="B292" i="1"/>
  <c r="F291" i="1"/>
  <c r="H291" i="1" s="1"/>
  <c r="B291" i="1"/>
  <c r="F290" i="1"/>
  <c r="H290" i="1" s="1"/>
  <c r="B290" i="1"/>
  <c r="F289" i="1"/>
  <c r="H289" i="1" s="1"/>
  <c r="B289" i="1"/>
  <c r="F288" i="1"/>
  <c r="H288" i="1" s="1"/>
  <c r="B288" i="1"/>
  <c r="F287" i="1"/>
  <c r="H287" i="1" s="1"/>
  <c r="B287" i="1"/>
  <c r="F286" i="1"/>
  <c r="H286" i="1" s="1"/>
  <c r="B286" i="1"/>
  <c r="F285" i="1"/>
  <c r="H285" i="1" s="1"/>
  <c r="B285" i="1"/>
  <c r="F284" i="1"/>
  <c r="H284" i="1" s="1"/>
  <c r="B284" i="1"/>
  <c r="F283" i="1"/>
  <c r="H283" i="1" s="1"/>
  <c r="B283" i="1"/>
  <c r="F282" i="1"/>
  <c r="H282" i="1" s="1"/>
  <c r="B282" i="1"/>
  <c r="F281" i="1"/>
  <c r="H281" i="1" s="1"/>
  <c r="B281" i="1"/>
  <c r="F280" i="1"/>
  <c r="H280" i="1" s="1"/>
  <c r="B280" i="1"/>
  <c r="F279" i="1"/>
  <c r="H279" i="1" s="1"/>
  <c r="B279" i="1"/>
  <c r="F278" i="1"/>
  <c r="H278" i="1" s="1"/>
  <c r="B278" i="1"/>
  <c r="F277" i="1"/>
  <c r="H277" i="1" s="1"/>
  <c r="B277" i="1"/>
  <c r="F276" i="1"/>
  <c r="H276" i="1" s="1"/>
  <c r="B276" i="1"/>
  <c r="F275" i="1"/>
  <c r="H275" i="1" s="1"/>
  <c r="B275" i="1"/>
  <c r="F274" i="1"/>
  <c r="H274" i="1" s="1"/>
  <c r="B274" i="1"/>
  <c r="F273" i="1"/>
  <c r="H273" i="1" s="1"/>
  <c r="B273" i="1"/>
  <c r="F272" i="1"/>
  <c r="H272" i="1" s="1"/>
  <c r="B272" i="1"/>
  <c r="F271" i="1"/>
  <c r="H271" i="1" s="1"/>
  <c r="B271" i="1"/>
  <c r="F270" i="1"/>
  <c r="H270" i="1" s="1"/>
  <c r="B270" i="1"/>
  <c r="F269" i="1"/>
  <c r="H269" i="1" s="1"/>
  <c r="B269" i="1"/>
  <c r="F268" i="1"/>
  <c r="H268" i="1" s="1"/>
  <c r="B268" i="1"/>
  <c r="F267" i="1"/>
  <c r="H267" i="1" s="1"/>
  <c r="B267" i="1"/>
  <c r="F266" i="1"/>
  <c r="H266" i="1" s="1"/>
  <c r="B266" i="1"/>
  <c r="F265" i="1"/>
  <c r="H265" i="1" s="1"/>
  <c r="B265" i="1"/>
  <c r="F264" i="1"/>
  <c r="H264" i="1" s="1"/>
  <c r="B264" i="1"/>
  <c r="F263" i="1"/>
  <c r="H263" i="1" s="1"/>
  <c r="B263" i="1"/>
  <c r="F262" i="1"/>
  <c r="H262" i="1" s="1"/>
  <c r="B262" i="1"/>
  <c r="F261" i="1"/>
  <c r="H261" i="1" s="1"/>
  <c r="B261" i="1"/>
  <c r="F260" i="1"/>
  <c r="H260" i="1" s="1"/>
  <c r="B260" i="1"/>
  <c r="F259" i="1"/>
  <c r="H259" i="1" s="1"/>
  <c r="B259" i="1"/>
  <c r="F258" i="1"/>
  <c r="H258" i="1" s="1"/>
  <c r="B258" i="1"/>
  <c r="F257" i="1"/>
  <c r="H257" i="1" s="1"/>
  <c r="B257" i="1"/>
  <c r="F256" i="1"/>
  <c r="H256" i="1" s="1"/>
  <c r="B256" i="1"/>
  <c r="F255" i="1"/>
  <c r="H255" i="1" s="1"/>
  <c r="B255" i="1"/>
  <c r="F254" i="1"/>
  <c r="H254" i="1" s="1"/>
  <c r="B254" i="1"/>
  <c r="F253" i="1"/>
  <c r="H253" i="1" s="1"/>
  <c r="B253" i="1"/>
  <c r="F252" i="1"/>
  <c r="H252" i="1" s="1"/>
  <c r="B252" i="1"/>
  <c r="F251" i="1"/>
  <c r="H251" i="1" s="1"/>
  <c r="B251" i="1"/>
  <c r="F250" i="1"/>
  <c r="H250" i="1" s="1"/>
  <c r="B250" i="1"/>
  <c r="F249" i="1"/>
  <c r="H249" i="1" s="1"/>
  <c r="B249" i="1"/>
  <c r="F248" i="1"/>
  <c r="H248" i="1" s="1"/>
  <c r="B248" i="1"/>
  <c r="F247" i="1"/>
  <c r="H247" i="1" s="1"/>
  <c r="B247" i="1"/>
  <c r="F246" i="1"/>
  <c r="H246" i="1" s="1"/>
  <c r="B246" i="1"/>
  <c r="F245" i="1"/>
  <c r="H245" i="1" s="1"/>
  <c r="B245" i="1"/>
  <c r="F244" i="1"/>
  <c r="H244" i="1" s="1"/>
  <c r="B244" i="1"/>
  <c r="F243" i="1"/>
  <c r="H243" i="1" s="1"/>
  <c r="B243" i="1"/>
  <c r="F242" i="1"/>
  <c r="H242" i="1" s="1"/>
  <c r="B242" i="1"/>
  <c r="F241" i="1"/>
  <c r="H241" i="1" s="1"/>
  <c r="B241" i="1"/>
  <c r="F240" i="1"/>
  <c r="H240" i="1" s="1"/>
  <c r="B240" i="1"/>
  <c r="F239" i="1"/>
  <c r="H239" i="1" s="1"/>
  <c r="B239" i="1"/>
  <c r="F238" i="1"/>
  <c r="H238" i="1" s="1"/>
  <c r="B238" i="1"/>
  <c r="F237" i="1"/>
  <c r="H237" i="1" s="1"/>
  <c r="B237" i="1"/>
  <c r="F236" i="1"/>
  <c r="H236" i="1" s="1"/>
  <c r="B236" i="1"/>
  <c r="F235" i="1"/>
  <c r="H235" i="1" s="1"/>
  <c r="B235" i="1"/>
  <c r="F234" i="1"/>
  <c r="H234" i="1" s="1"/>
  <c r="B234" i="1"/>
  <c r="F233" i="1"/>
  <c r="H233" i="1" s="1"/>
  <c r="B233" i="1"/>
  <c r="F232" i="1"/>
  <c r="H232" i="1" s="1"/>
  <c r="B232" i="1"/>
  <c r="F231" i="1"/>
  <c r="H231" i="1" s="1"/>
  <c r="B231" i="1"/>
  <c r="F230" i="1"/>
  <c r="H230" i="1" s="1"/>
  <c r="B230" i="1"/>
  <c r="F229" i="1"/>
  <c r="H229" i="1" s="1"/>
  <c r="B229" i="1"/>
  <c r="F228" i="1"/>
  <c r="H228" i="1" s="1"/>
  <c r="B228" i="1"/>
  <c r="F227" i="1"/>
  <c r="H227" i="1" s="1"/>
  <c r="B227" i="1"/>
  <c r="F226" i="1"/>
  <c r="H226" i="1" s="1"/>
  <c r="B226" i="1"/>
  <c r="F225" i="1"/>
  <c r="H225" i="1" s="1"/>
  <c r="B225" i="1"/>
  <c r="F224" i="1"/>
  <c r="H224" i="1" s="1"/>
  <c r="B224" i="1"/>
  <c r="F223" i="1"/>
  <c r="H223" i="1" s="1"/>
  <c r="B223" i="1"/>
  <c r="F222" i="1"/>
  <c r="H222" i="1" s="1"/>
  <c r="B222" i="1"/>
  <c r="F221" i="1"/>
  <c r="H221" i="1" s="1"/>
  <c r="B221" i="1"/>
  <c r="F220" i="1"/>
  <c r="H220" i="1" s="1"/>
  <c r="B220" i="1"/>
  <c r="F219" i="1"/>
  <c r="H219" i="1" s="1"/>
  <c r="B219" i="1"/>
  <c r="F218" i="1"/>
  <c r="H218" i="1" s="1"/>
  <c r="B218" i="1"/>
  <c r="F217" i="1"/>
  <c r="H217" i="1" s="1"/>
  <c r="B217" i="1"/>
  <c r="F216" i="1"/>
  <c r="H216" i="1" s="1"/>
  <c r="B216" i="1"/>
  <c r="F215" i="1"/>
  <c r="H215" i="1" s="1"/>
  <c r="B215" i="1"/>
  <c r="F214" i="1"/>
  <c r="H214" i="1" s="1"/>
  <c r="B214" i="1"/>
  <c r="F213" i="1"/>
  <c r="H213" i="1" s="1"/>
  <c r="B213" i="1"/>
  <c r="F212" i="1"/>
  <c r="H212" i="1" s="1"/>
  <c r="B212" i="1"/>
  <c r="F211" i="1"/>
  <c r="H211" i="1" s="1"/>
  <c r="B211" i="1"/>
  <c r="F210" i="1"/>
  <c r="H210" i="1" s="1"/>
  <c r="B210" i="1"/>
  <c r="F209" i="1"/>
  <c r="H209" i="1" s="1"/>
  <c r="B209" i="1"/>
  <c r="F208" i="1"/>
  <c r="H208" i="1" s="1"/>
  <c r="B208" i="1"/>
  <c r="F207" i="1"/>
  <c r="H207" i="1" s="1"/>
  <c r="B207" i="1"/>
  <c r="F206" i="1"/>
  <c r="H206" i="1" s="1"/>
  <c r="B206" i="1"/>
  <c r="F205" i="1"/>
  <c r="H205" i="1" s="1"/>
  <c r="B205" i="1"/>
  <c r="F204" i="1"/>
  <c r="H204" i="1" s="1"/>
  <c r="B204" i="1"/>
  <c r="F203" i="1"/>
  <c r="H203" i="1" s="1"/>
  <c r="B203" i="1"/>
  <c r="F202" i="1"/>
  <c r="H202" i="1" s="1"/>
  <c r="B202" i="1"/>
  <c r="F201" i="1"/>
  <c r="H201" i="1" s="1"/>
  <c r="B201" i="1"/>
  <c r="F200" i="1"/>
  <c r="H200" i="1" s="1"/>
  <c r="B200" i="1"/>
  <c r="F199" i="1"/>
  <c r="H199" i="1" s="1"/>
  <c r="B199" i="1"/>
  <c r="F198" i="1"/>
  <c r="H198" i="1" s="1"/>
  <c r="B198" i="1"/>
  <c r="F197" i="1"/>
  <c r="H197" i="1" s="1"/>
  <c r="B197" i="1"/>
  <c r="F196" i="1"/>
  <c r="H196" i="1" s="1"/>
  <c r="B196" i="1"/>
  <c r="F195" i="1"/>
  <c r="H195" i="1" s="1"/>
  <c r="B195" i="1"/>
  <c r="F194" i="1"/>
  <c r="H194" i="1" s="1"/>
  <c r="B194" i="1"/>
  <c r="F193" i="1"/>
  <c r="H193" i="1" s="1"/>
  <c r="B193" i="1"/>
  <c r="F192" i="1"/>
  <c r="H192" i="1" s="1"/>
  <c r="B192" i="1"/>
  <c r="F191" i="1"/>
  <c r="H191" i="1" s="1"/>
  <c r="B191" i="1"/>
  <c r="F190" i="1"/>
  <c r="H190" i="1" s="1"/>
  <c r="B190" i="1"/>
  <c r="F189" i="1"/>
  <c r="H189" i="1" s="1"/>
  <c r="B189" i="1"/>
  <c r="F188" i="1"/>
  <c r="H188" i="1" s="1"/>
  <c r="B188" i="1"/>
  <c r="F187" i="1"/>
  <c r="H187" i="1" s="1"/>
  <c r="B187" i="1"/>
  <c r="F186" i="1"/>
  <c r="H186" i="1" s="1"/>
  <c r="B186" i="1"/>
  <c r="F185" i="1"/>
  <c r="H185" i="1" s="1"/>
  <c r="B185" i="1"/>
  <c r="F184" i="1"/>
  <c r="H184" i="1" s="1"/>
  <c r="B184" i="1"/>
  <c r="F183" i="1"/>
  <c r="H183" i="1" s="1"/>
  <c r="B183" i="1"/>
  <c r="F182" i="1"/>
  <c r="H182" i="1" s="1"/>
  <c r="B182" i="1"/>
  <c r="F181" i="1"/>
  <c r="H181" i="1" s="1"/>
  <c r="B181" i="1"/>
  <c r="F180" i="1"/>
  <c r="H180" i="1" s="1"/>
  <c r="B180" i="1"/>
  <c r="F179" i="1"/>
  <c r="H179" i="1" s="1"/>
  <c r="B179" i="1"/>
  <c r="F178" i="1"/>
  <c r="H178" i="1" s="1"/>
  <c r="B178" i="1"/>
  <c r="F177" i="1"/>
  <c r="H177" i="1" s="1"/>
  <c r="B177" i="1"/>
  <c r="F176" i="1"/>
  <c r="H176" i="1" s="1"/>
  <c r="B176" i="1"/>
  <c r="F175" i="1"/>
  <c r="H175" i="1" s="1"/>
  <c r="B175" i="1"/>
  <c r="F174" i="1"/>
  <c r="H174" i="1" s="1"/>
  <c r="B174" i="1"/>
  <c r="F173" i="1"/>
  <c r="H173" i="1" s="1"/>
  <c r="B173" i="1"/>
  <c r="F172" i="1"/>
  <c r="H172" i="1" s="1"/>
  <c r="B172" i="1"/>
  <c r="F171" i="1"/>
  <c r="H171" i="1" s="1"/>
  <c r="B171" i="1"/>
  <c r="F170" i="1"/>
  <c r="H170" i="1" s="1"/>
  <c r="B170" i="1"/>
  <c r="F169" i="1"/>
  <c r="H169" i="1" s="1"/>
  <c r="B169" i="1"/>
  <c r="F168" i="1"/>
  <c r="H168" i="1" s="1"/>
  <c r="B168" i="1"/>
  <c r="F167" i="1"/>
  <c r="H167" i="1" s="1"/>
  <c r="B167" i="1"/>
  <c r="F166" i="1"/>
  <c r="H166" i="1" s="1"/>
  <c r="B166" i="1"/>
  <c r="F165" i="1"/>
  <c r="H165" i="1" s="1"/>
  <c r="B165" i="1"/>
  <c r="F164" i="1"/>
  <c r="H164" i="1" s="1"/>
  <c r="B164" i="1"/>
  <c r="F163" i="1"/>
  <c r="H163" i="1" s="1"/>
  <c r="B163" i="1"/>
  <c r="F162" i="1"/>
  <c r="H162" i="1" s="1"/>
  <c r="B162" i="1"/>
  <c r="F161" i="1"/>
  <c r="H161" i="1" s="1"/>
  <c r="B161" i="1"/>
  <c r="F160" i="1"/>
  <c r="H160" i="1" s="1"/>
  <c r="B160" i="1"/>
  <c r="F159" i="1"/>
  <c r="H159" i="1" s="1"/>
  <c r="B159" i="1"/>
  <c r="F158" i="1"/>
  <c r="H158" i="1" s="1"/>
  <c r="B158" i="1"/>
  <c r="F157" i="1"/>
  <c r="H157" i="1" s="1"/>
  <c r="B157" i="1"/>
  <c r="F156" i="1"/>
  <c r="H156" i="1" s="1"/>
  <c r="B156" i="1"/>
  <c r="F155" i="1"/>
  <c r="H155" i="1" s="1"/>
  <c r="B155" i="1"/>
  <c r="F154" i="1"/>
  <c r="H154" i="1" s="1"/>
  <c r="B154" i="1"/>
  <c r="F153" i="1"/>
  <c r="H153" i="1" s="1"/>
  <c r="B153" i="1"/>
  <c r="F152" i="1"/>
  <c r="H152" i="1" s="1"/>
  <c r="B152" i="1"/>
  <c r="F151" i="1"/>
  <c r="H151" i="1" s="1"/>
  <c r="B151" i="1"/>
  <c r="F150" i="1"/>
  <c r="H150" i="1" s="1"/>
  <c r="B150" i="1"/>
  <c r="F149" i="1"/>
  <c r="H149" i="1" s="1"/>
  <c r="B149" i="1"/>
  <c r="F148" i="1"/>
  <c r="H148" i="1" s="1"/>
  <c r="B148" i="1"/>
  <c r="F147" i="1"/>
  <c r="H147" i="1" s="1"/>
  <c r="B147" i="1"/>
  <c r="F146" i="1"/>
  <c r="H146" i="1" s="1"/>
  <c r="B146" i="1"/>
  <c r="F145" i="1"/>
  <c r="H145" i="1" s="1"/>
  <c r="B145" i="1"/>
  <c r="F144" i="1"/>
  <c r="H144" i="1" s="1"/>
  <c r="B144" i="1"/>
  <c r="F143" i="1"/>
  <c r="H143" i="1" s="1"/>
  <c r="B143" i="1"/>
  <c r="F142" i="1"/>
  <c r="H142" i="1" s="1"/>
  <c r="B142" i="1"/>
  <c r="F141" i="1"/>
  <c r="H141" i="1" s="1"/>
  <c r="B141" i="1"/>
  <c r="F140" i="1"/>
  <c r="H140" i="1" s="1"/>
  <c r="B140" i="1"/>
  <c r="F139" i="1"/>
  <c r="H139" i="1" s="1"/>
  <c r="B139" i="1"/>
  <c r="F138" i="1"/>
  <c r="H138" i="1" s="1"/>
  <c r="B138" i="1"/>
  <c r="F137" i="1"/>
  <c r="H137" i="1" s="1"/>
  <c r="B137" i="1"/>
  <c r="F136" i="1"/>
  <c r="H136" i="1" s="1"/>
  <c r="B136" i="1"/>
  <c r="F135" i="1"/>
  <c r="H135" i="1" s="1"/>
  <c r="B135" i="1"/>
  <c r="F134" i="1"/>
  <c r="H134" i="1" s="1"/>
  <c r="B134" i="1"/>
  <c r="F133" i="1"/>
  <c r="H133" i="1" s="1"/>
  <c r="B133" i="1"/>
  <c r="F132" i="1"/>
  <c r="H132" i="1" s="1"/>
  <c r="B132" i="1"/>
  <c r="F131" i="1"/>
  <c r="H131" i="1" s="1"/>
  <c r="B131" i="1"/>
  <c r="F130" i="1"/>
  <c r="H130" i="1" s="1"/>
  <c r="B130" i="1"/>
  <c r="F129" i="1"/>
  <c r="H129" i="1" s="1"/>
  <c r="B129" i="1"/>
  <c r="F128" i="1"/>
  <c r="H128" i="1" s="1"/>
  <c r="B128" i="1"/>
  <c r="F127" i="1"/>
  <c r="H127" i="1" s="1"/>
  <c r="B127" i="1"/>
  <c r="F126" i="1"/>
  <c r="H126" i="1" s="1"/>
  <c r="B126" i="1"/>
  <c r="F125" i="1"/>
  <c r="H125" i="1" s="1"/>
  <c r="B125" i="1"/>
  <c r="F124" i="1"/>
  <c r="H124" i="1" s="1"/>
  <c r="B124" i="1"/>
  <c r="F123" i="1"/>
  <c r="H123" i="1" s="1"/>
  <c r="B123" i="1"/>
  <c r="F122" i="1"/>
  <c r="H122" i="1" s="1"/>
  <c r="B122" i="1"/>
  <c r="F121" i="1"/>
  <c r="H121" i="1" s="1"/>
  <c r="B121" i="1"/>
  <c r="F120" i="1"/>
  <c r="H120" i="1" s="1"/>
  <c r="B120" i="1"/>
  <c r="F119" i="1"/>
  <c r="H119" i="1" s="1"/>
  <c r="B119" i="1"/>
  <c r="F118" i="1"/>
  <c r="H118" i="1" s="1"/>
  <c r="B118" i="1"/>
  <c r="F117" i="1"/>
  <c r="H117" i="1" s="1"/>
  <c r="B117" i="1"/>
  <c r="F116" i="1"/>
  <c r="H116" i="1" s="1"/>
  <c r="B116" i="1"/>
  <c r="F115" i="1"/>
  <c r="H115" i="1" s="1"/>
  <c r="B115" i="1"/>
  <c r="F114" i="1"/>
  <c r="H114" i="1" s="1"/>
  <c r="B114" i="1"/>
  <c r="F113" i="1"/>
  <c r="H113" i="1" s="1"/>
  <c r="B113" i="1"/>
  <c r="F112" i="1"/>
  <c r="H112" i="1" s="1"/>
  <c r="B112" i="1"/>
  <c r="F111" i="1"/>
  <c r="H111" i="1" s="1"/>
  <c r="B111" i="1"/>
  <c r="F110" i="1"/>
  <c r="H110" i="1" s="1"/>
  <c r="B110" i="1"/>
  <c r="F109" i="1"/>
  <c r="H109" i="1" s="1"/>
  <c r="B109" i="1"/>
  <c r="F108" i="1"/>
  <c r="H108" i="1" s="1"/>
  <c r="B108" i="1"/>
  <c r="F107" i="1"/>
  <c r="H107" i="1" s="1"/>
  <c r="B107" i="1"/>
  <c r="F106" i="1"/>
  <c r="H106" i="1" s="1"/>
  <c r="B106" i="1"/>
  <c r="F105" i="1"/>
  <c r="H105" i="1" s="1"/>
  <c r="B105" i="1"/>
  <c r="F104" i="1"/>
  <c r="H104" i="1" s="1"/>
  <c r="B104" i="1"/>
  <c r="F103" i="1"/>
  <c r="H103" i="1" s="1"/>
  <c r="B103" i="1"/>
  <c r="F102" i="1"/>
  <c r="H102" i="1" s="1"/>
  <c r="B102" i="1"/>
  <c r="F101" i="1"/>
  <c r="H101" i="1" s="1"/>
  <c r="B101" i="1"/>
  <c r="F100" i="1"/>
  <c r="H100" i="1" s="1"/>
  <c r="B100" i="1"/>
  <c r="F99" i="1"/>
  <c r="H99" i="1" s="1"/>
  <c r="B99" i="1"/>
  <c r="F98" i="1"/>
  <c r="H98" i="1" s="1"/>
  <c r="B98" i="1"/>
  <c r="F97" i="1"/>
  <c r="H97" i="1" s="1"/>
  <c r="B97" i="1"/>
  <c r="F96" i="1"/>
  <c r="H96" i="1" s="1"/>
  <c r="B96" i="1"/>
  <c r="F95" i="1"/>
  <c r="H95" i="1" s="1"/>
  <c r="B95" i="1"/>
  <c r="F94" i="1"/>
  <c r="H94" i="1" s="1"/>
  <c r="B94" i="1"/>
  <c r="F93" i="1"/>
  <c r="H93" i="1" s="1"/>
  <c r="B93" i="1"/>
  <c r="F92" i="1"/>
  <c r="H92" i="1" s="1"/>
  <c r="B92" i="1"/>
  <c r="F91" i="1"/>
  <c r="H91" i="1" s="1"/>
  <c r="B91" i="1"/>
  <c r="F90" i="1"/>
  <c r="H90" i="1" s="1"/>
  <c r="B90" i="1"/>
  <c r="F89" i="1"/>
  <c r="H89" i="1" s="1"/>
  <c r="B89" i="1"/>
  <c r="F88" i="1"/>
  <c r="H88" i="1" s="1"/>
  <c r="B88" i="1"/>
  <c r="F87" i="1"/>
  <c r="H87" i="1" s="1"/>
  <c r="B87" i="1"/>
  <c r="F86" i="1"/>
  <c r="H86" i="1" s="1"/>
  <c r="B86" i="1"/>
  <c r="F85" i="1"/>
  <c r="H85" i="1" s="1"/>
  <c r="B85" i="1"/>
  <c r="F84" i="1"/>
  <c r="H84" i="1" s="1"/>
  <c r="B84" i="1"/>
  <c r="F83" i="1"/>
  <c r="H83" i="1" s="1"/>
  <c r="B83" i="1"/>
  <c r="F82" i="1"/>
  <c r="H82" i="1" s="1"/>
  <c r="B82" i="1"/>
  <c r="F81" i="1"/>
  <c r="H81" i="1" s="1"/>
  <c r="B81" i="1"/>
  <c r="F80" i="1"/>
  <c r="H80" i="1" s="1"/>
  <c r="B80" i="1"/>
  <c r="F79" i="1"/>
  <c r="H79" i="1" s="1"/>
  <c r="B79" i="1"/>
  <c r="F78" i="1"/>
  <c r="H78" i="1" s="1"/>
  <c r="B78" i="1"/>
  <c r="F77" i="1"/>
  <c r="H77" i="1" s="1"/>
  <c r="B77" i="1"/>
  <c r="F76" i="1"/>
  <c r="H76" i="1" s="1"/>
  <c r="B76" i="1"/>
  <c r="F75" i="1"/>
  <c r="H75" i="1" s="1"/>
  <c r="B75" i="1"/>
  <c r="F74" i="1"/>
  <c r="H74" i="1" s="1"/>
  <c r="B74" i="1"/>
  <c r="F73" i="1"/>
  <c r="H73" i="1" s="1"/>
  <c r="B73" i="1"/>
  <c r="F72" i="1"/>
  <c r="H72" i="1" s="1"/>
  <c r="B72" i="1"/>
  <c r="F71" i="1"/>
  <c r="H71" i="1" s="1"/>
  <c r="B71" i="1"/>
  <c r="F70" i="1"/>
  <c r="H70" i="1" s="1"/>
  <c r="B70" i="1"/>
  <c r="F69" i="1"/>
  <c r="H69" i="1" s="1"/>
  <c r="B69" i="1"/>
  <c r="F68" i="1"/>
  <c r="H68" i="1" s="1"/>
  <c r="B68" i="1"/>
  <c r="F67" i="1"/>
  <c r="H67" i="1" s="1"/>
  <c r="B67" i="1"/>
  <c r="F66" i="1"/>
  <c r="H66" i="1" s="1"/>
  <c r="B66" i="1"/>
  <c r="F65" i="1"/>
  <c r="H65" i="1" s="1"/>
  <c r="B65" i="1"/>
  <c r="F64" i="1"/>
  <c r="H64" i="1" s="1"/>
  <c r="B64" i="1"/>
  <c r="F63" i="1"/>
  <c r="H63" i="1" s="1"/>
  <c r="B63" i="1"/>
  <c r="F62" i="1"/>
  <c r="H62" i="1" s="1"/>
  <c r="B62" i="1"/>
  <c r="F61" i="1"/>
  <c r="H61" i="1" s="1"/>
  <c r="B61" i="1"/>
  <c r="F60" i="1"/>
  <c r="H60" i="1" s="1"/>
  <c r="B60" i="1"/>
  <c r="F59" i="1"/>
  <c r="H59" i="1" s="1"/>
  <c r="B59" i="1"/>
  <c r="F58" i="1"/>
  <c r="H58" i="1" s="1"/>
  <c r="B58" i="1"/>
  <c r="F57" i="1"/>
  <c r="H57" i="1" s="1"/>
  <c r="B57" i="1"/>
  <c r="F56" i="1"/>
  <c r="H56" i="1" s="1"/>
  <c r="B56" i="1"/>
  <c r="F55" i="1"/>
  <c r="H55" i="1" s="1"/>
  <c r="B55" i="1"/>
  <c r="F54" i="1"/>
  <c r="H54" i="1" s="1"/>
  <c r="B54" i="1"/>
  <c r="F53" i="1"/>
  <c r="H53" i="1" s="1"/>
  <c r="B53" i="1"/>
  <c r="F52" i="1"/>
  <c r="H52" i="1" s="1"/>
  <c r="B52" i="1"/>
  <c r="F51" i="1"/>
  <c r="H51" i="1" s="1"/>
  <c r="B51" i="1"/>
  <c r="F50" i="1"/>
  <c r="H50" i="1" s="1"/>
  <c r="B50" i="1"/>
  <c r="F49" i="1"/>
  <c r="H49" i="1" s="1"/>
  <c r="B49" i="1"/>
  <c r="F48" i="1"/>
  <c r="H48" i="1" s="1"/>
  <c r="B48" i="1"/>
  <c r="F47" i="1"/>
  <c r="H47" i="1" s="1"/>
  <c r="B47" i="1"/>
  <c r="F46" i="1"/>
  <c r="H46" i="1" s="1"/>
  <c r="B46" i="1"/>
  <c r="F45" i="1"/>
  <c r="H45" i="1" s="1"/>
  <c r="B45" i="1"/>
  <c r="F44" i="1"/>
  <c r="H44" i="1" s="1"/>
  <c r="B44" i="1"/>
  <c r="F43" i="1"/>
  <c r="H43" i="1" s="1"/>
  <c r="B43" i="1"/>
  <c r="F42" i="1"/>
  <c r="H42" i="1" s="1"/>
  <c r="B42" i="1"/>
  <c r="F41" i="1"/>
  <c r="H41" i="1" s="1"/>
  <c r="B41" i="1"/>
  <c r="F40" i="1"/>
  <c r="H40" i="1" s="1"/>
  <c r="B40" i="1"/>
  <c r="F39" i="1"/>
  <c r="H39" i="1" s="1"/>
  <c r="B39" i="1"/>
  <c r="F38" i="1"/>
  <c r="H38" i="1" s="1"/>
  <c r="B38" i="1"/>
  <c r="F37" i="1"/>
  <c r="H37" i="1" s="1"/>
  <c r="B37" i="1"/>
  <c r="F36" i="1"/>
  <c r="H36" i="1" s="1"/>
  <c r="B36" i="1"/>
  <c r="F35" i="1"/>
  <c r="H35" i="1" s="1"/>
  <c r="B35" i="1"/>
  <c r="F34" i="1"/>
  <c r="H34" i="1" s="1"/>
  <c r="B34" i="1"/>
  <c r="F33" i="1"/>
  <c r="H33" i="1" s="1"/>
  <c r="B33" i="1"/>
  <c r="F32" i="1"/>
  <c r="H32" i="1" s="1"/>
  <c r="B32" i="1"/>
  <c r="F31" i="1"/>
  <c r="H31" i="1" s="1"/>
  <c r="B31" i="1"/>
  <c r="F30" i="1"/>
  <c r="H30" i="1" s="1"/>
  <c r="B30" i="1"/>
  <c r="F29" i="1"/>
  <c r="H29" i="1" s="1"/>
  <c r="B29" i="1"/>
  <c r="F28" i="1"/>
  <c r="H28" i="1" s="1"/>
  <c r="B28" i="1"/>
  <c r="F27" i="1"/>
  <c r="H27" i="1" s="1"/>
  <c r="B27" i="1"/>
  <c r="F26" i="1"/>
  <c r="H26" i="1" s="1"/>
  <c r="B26" i="1"/>
  <c r="F25" i="1"/>
  <c r="H25" i="1" s="1"/>
  <c r="B25" i="1"/>
  <c r="F24" i="1"/>
  <c r="H24" i="1" s="1"/>
  <c r="B24" i="1"/>
  <c r="F23" i="1"/>
  <c r="H23" i="1" s="1"/>
  <c r="B23" i="1"/>
  <c r="F22" i="1"/>
  <c r="H22" i="1" s="1"/>
  <c r="B22" i="1"/>
  <c r="F21" i="1"/>
  <c r="H21" i="1" s="1"/>
  <c r="B21" i="1"/>
  <c r="F20" i="1"/>
  <c r="H20" i="1" s="1"/>
  <c r="B20" i="1"/>
  <c r="F19" i="1"/>
  <c r="H19" i="1" s="1"/>
  <c r="B19" i="1"/>
  <c r="N18" i="1"/>
  <c r="F18" i="1"/>
  <c r="H18" i="1" s="1"/>
  <c r="B18" i="1"/>
  <c r="F17" i="1"/>
  <c r="H17" i="1" s="1"/>
  <c r="B17" i="1"/>
  <c r="F16" i="1"/>
  <c r="H16" i="1" s="1"/>
  <c r="B16" i="1"/>
  <c r="F15" i="1"/>
  <c r="H15" i="1" s="1"/>
  <c r="B15" i="1"/>
  <c r="N14" i="1"/>
  <c r="N15" i="1" s="1"/>
  <c r="F14" i="1"/>
  <c r="H14" i="1" s="1"/>
  <c r="B14" i="1"/>
  <c r="F13" i="1"/>
  <c r="H13" i="1" s="1"/>
  <c r="B13" i="1"/>
  <c r="F12" i="1"/>
  <c r="H12" i="1" s="1"/>
  <c r="B12" i="1"/>
  <c r="F11" i="1"/>
  <c r="H11" i="1" s="1"/>
  <c r="B11" i="1"/>
  <c r="F10" i="1"/>
  <c r="H10" i="1" s="1"/>
  <c r="B10" i="1"/>
  <c r="F9" i="1"/>
  <c r="H9" i="1" s="1"/>
  <c r="B9" i="1"/>
  <c r="N8" i="1"/>
  <c r="F8" i="1"/>
  <c r="H8" i="1" s="1"/>
  <c r="B8" i="1"/>
  <c r="F7" i="1"/>
  <c r="H7" i="1" s="1"/>
  <c r="B7" i="1"/>
  <c r="F6" i="1"/>
  <c r="H6" i="1" s="1"/>
  <c r="B6" i="1"/>
  <c r="F5" i="1"/>
  <c r="H5" i="1" s="1"/>
  <c r="B5" i="1"/>
  <c r="F4" i="1"/>
  <c r="E4" i="1" s="1"/>
  <c r="E2" i="12" s="1"/>
  <c r="B4" i="1"/>
  <c r="F54" i="8" l="1"/>
  <c r="H61" i="8"/>
  <c r="F334" i="8"/>
  <c r="H64" i="8"/>
  <c r="J214" i="8"/>
  <c r="J218" i="8"/>
  <c r="J223" i="8"/>
  <c r="L305" i="8"/>
  <c r="F38" i="8"/>
  <c r="C38" i="8" s="1"/>
  <c r="J130" i="8"/>
  <c r="J225" i="8"/>
  <c r="H121" i="8"/>
  <c r="H50" i="8"/>
  <c r="J121" i="8"/>
  <c r="F123" i="8"/>
  <c r="H112" i="8"/>
  <c r="F206" i="8"/>
  <c r="H284" i="8"/>
  <c r="C93" i="1"/>
  <c r="F171" i="8"/>
  <c r="H285" i="8"/>
  <c r="L184" i="8"/>
  <c r="H207" i="8"/>
  <c r="H286" i="8"/>
  <c r="F65" i="8"/>
  <c r="F36" i="8"/>
  <c r="C36" i="8" s="1"/>
  <c r="N223" i="8"/>
  <c r="F333" i="8"/>
  <c r="C7" i="1"/>
  <c r="C155" i="1"/>
  <c r="H49" i="8"/>
  <c r="C79" i="1"/>
  <c r="C56" i="1"/>
  <c r="C254" i="1"/>
  <c r="C80" i="1"/>
  <c r="F97" i="8"/>
  <c r="F117" i="8"/>
  <c r="F317" i="8"/>
  <c r="C17" i="1"/>
  <c r="C157" i="1"/>
  <c r="F278" i="8"/>
  <c r="C342" i="1"/>
  <c r="C295" i="1"/>
  <c r="C60" i="1"/>
  <c r="F146" i="8"/>
  <c r="F225" i="8"/>
  <c r="H225" i="8"/>
  <c r="H339" i="8"/>
  <c r="C29" i="1"/>
  <c r="N312" i="8"/>
  <c r="N349" i="8"/>
  <c r="C211" i="1"/>
  <c r="J149" i="3"/>
  <c r="F25" i="8"/>
  <c r="C25" i="8" s="1"/>
  <c r="J178" i="8"/>
  <c r="J299" i="8"/>
  <c r="C145" i="1"/>
  <c r="C251" i="1"/>
  <c r="J329" i="3"/>
  <c r="J176" i="8"/>
  <c r="F148" i="8"/>
  <c r="C222" i="1"/>
  <c r="C290" i="1"/>
  <c r="J250" i="3"/>
  <c r="J346" i="3"/>
  <c r="H214" i="8"/>
  <c r="C187" i="1"/>
  <c r="C300" i="1"/>
  <c r="F303" i="8"/>
  <c r="N186" i="8"/>
  <c r="C238" i="1"/>
  <c r="C275" i="1"/>
  <c r="C313" i="1"/>
  <c r="H149" i="8"/>
  <c r="C241" i="1"/>
  <c r="C227" i="1"/>
  <c r="C235" i="1"/>
  <c r="C257" i="1"/>
  <c r="C318" i="1"/>
  <c r="C243" i="1"/>
  <c r="F154" i="8"/>
  <c r="C224" i="1"/>
  <c r="H184" i="8"/>
  <c r="C151" i="1"/>
  <c r="F27" i="8"/>
  <c r="C27" i="8" s="1"/>
  <c r="F72" i="8"/>
  <c r="L189" i="8"/>
  <c r="H164" i="8"/>
  <c r="C164" i="1"/>
  <c r="C158" i="1"/>
  <c r="C345" i="1"/>
  <c r="F74" i="8"/>
  <c r="H94" i="8"/>
  <c r="H295" i="8"/>
  <c r="H306" i="8"/>
  <c r="F351" i="8"/>
  <c r="C351" i="8" s="1"/>
  <c r="D352" i="1" s="1"/>
  <c r="J175" i="8"/>
  <c r="F304" i="8"/>
  <c r="C47" i="1"/>
  <c r="F58" i="8"/>
  <c r="F92" i="8"/>
  <c r="H171" i="8"/>
  <c r="C66" i="1"/>
  <c r="H299" i="8"/>
  <c r="F145" i="8"/>
  <c r="C197" i="1"/>
  <c r="C249" i="1"/>
  <c r="H53" i="8"/>
  <c r="F69" i="8"/>
  <c r="H97" i="8"/>
  <c r="J302" i="8"/>
  <c r="C11" i="1"/>
  <c r="C160" i="1"/>
  <c r="H71" i="8"/>
  <c r="F126" i="8"/>
  <c r="F266" i="8"/>
  <c r="H175" i="8"/>
  <c r="F173" i="8"/>
  <c r="C41" i="1"/>
  <c r="C100" i="1"/>
  <c r="C214" i="1"/>
  <c r="F378" i="3"/>
  <c r="H378" i="3" s="1"/>
  <c r="B28" i="5"/>
  <c r="H60" i="8"/>
  <c r="J71" i="8"/>
  <c r="F135" i="8"/>
  <c r="L80" i="8"/>
  <c r="C88" i="1"/>
  <c r="N310" i="8"/>
  <c r="C86" i="1"/>
  <c r="C148" i="1"/>
  <c r="C326" i="1"/>
  <c r="J77" i="8"/>
  <c r="H81" i="8"/>
  <c r="F109" i="8"/>
  <c r="C109" i="8" s="1"/>
  <c r="F178" i="8"/>
  <c r="F313" i="8"/>
  <c r="J342" i="8"/>
  <c r="C107" i="1"/>
  <c r="F307" i="8"/>
  <c r="C146" i="1"/>
  <c r="C250" i="1"/>
  <c r="J310" i="8"/>
  <c r="J344" i="8"/>
  <c r="C75" i="1"/>
  <c r="C230" i="1"/>
  <c r="C264" i="1"/>
  <c r="C321" i="1"/>
  <c r="H88" i="8"/>
  <c r="H114" i="8"/>
  <c r="J205" i="8"/>
  <c r="H297" i="8"/>
  <c r="J301" i="8"/>
  <c r="C6" i="1"/>
  <c r="F200" i="8"/>
  <c r="C8" i="1"/>
  <c r="C36" i="1"/>
  <c r="C70" i="1"/>
  <c r="C119" i="1"/>
  <c r="C205" i="1"/>
  <c r="C246" i="1"/>
  <c r="C266" i="1"/>
  <c r="L168" i="8"/>
  <c r="L176" i="8"/>
  <c r="C312" i="1"/>
  <c r="C284" i="1"/>
  <c r="C62" i="1"/>
  <c r="C110" i="1"/>
  <c r="C133" i="1"/>
  <c r="F207" i="8"/>
  <c r="C190" i="1"/>
  <c r="C294" i="1"/>
  <c r="C351" i="1"/>
  <c r="C168" i="1"/>
  <c r="C218" i="1"/>
  <c r="C330" i="1"/>
  <c r="H168" i="8"/>
  <c r="C57" i="1"/>
  <c r="C91" i="1"/>
  <c r="C281" i="1"/>
  <c r="C310" i="1"/>
  <c r="F78" i="8"/>
  <c r="J215" i="8"/>
  <c r="C208" i="1"/>
  <c r="C152" i="1"/>
  <c r="C44" i="1"/>
  <c r="C51" i="1"/>
  <c r="C64" i="1"/>
  <c r="C85" i="1"/>
  <c r="C135" i="1"/>
  <c r="C177" i="1"/>
  <c r="C331" i="1"/>
  <c r="X12" i="2"/>
  <c r="X13" i="2" s="1"/>
  <c r="C6" i="2" s="1"/>
  <c r="C5" i="2" s="1"/>
  <c r="J304" i="8"/>
  <c r="J307" i="8"/>
  <c r="H72" i="8"/>
  <c r="C104" i="1"/>
  <c r="H172" i="8"/>
  <c r="F209" i="8"/>
  <c r="J350" i="8"/>
  <c r="C30" i="1"/>
  <c r="C99" i="1"/>
  <c r="C192" i="1"/>
  <c r="C199" i="1"/>
  <c r="C213" i="1"/>
  <c r="C267" i="1"/>
  <c r="T12" i="2"/>
  <c r="T13" i="2" s="1"/>
  <c r="F268" i="8"/>
  <c r="H298" i="8"/>
  <c r="C263" i="1"/>
  <c r="C289" i="1"/>
  <c r="L83" i="8"/>
  <c r="J87" i="8"/>
  <c r="H176" i="8"/>
  <c r="H197" i="8"/>
  <c r="H202" i="8"/>
  <c r="L221" i="8"/>
  <c r="F282" i="8"/>
  <c r="C165" i="1"/>
  <c r="H69" i="8"/>
  <c r="H74" i="8"/>
  <c r="N94" i="8"/>
  <c r="H126" i="8"/>
  <c r="L130" i="8"/>
  <c r="F161" i="8"/>
  <c r="C38" i="1"/>
  <c r="C81" i="1"/>
  <c r="C141" i="1"/>
  <c r="C147" i="1"/>
  <c r="C307" i="1"/>
  <c r="C353" i="1"/>
  <c r="F4" i="8"/>
  <c r="C4" i="8" s="1"/>
  <c r="F100" i="8"/>
  <c r="C100" i="8" s="1"/>
  <c r="L126" i="8"/>
  <c r="N132" i="8"/>
  <c r="F134" i="8"/>
  <c r="H161" i="8"/>
  <c r="F315" i="8"/>
  <c r="F329" i="8"/>
  <c r="J168" i="8"/>
  <c r="C325" i="1"/>
  <c r="F306" i="8"/>
  <c r="C167" i="1"/>
  <c r="H78" i="8"/>
  <c r="F136" i="8"/>
  <c r="H173" i="8"/>
  <c r="J226" i="8"/>
  <c r="L302" i="8"/>
  <c r="J308" i="8"/>
  <c r="L350" i="8"/>
  <c r="C83" i="1"/>
  <c r="C102" i="1"/>
  <c r="C136" i="1"/>
  <c r="C279" i="1"/>
  <c r="C291" i="1"/>
  <c r="C302" i="1"/>
  <c r="C315" i="1"/>
  <c r="C349" i="1"/>
  <c r="J5" i="3"/>
  <c r="J123" i="3"/>
  <c r="F6" i="8"/>
  <c r="C6" i="8" s="1"/>
  <c r="H68" i="8"/>
  <c r="J73" i="8"/>
  <c r="J78" i="8"/>
  <c r="J80" i="8"/>
  <c r="F86" i="8"/>
  <c r="F99" i="8"/>
  <c r="C99" i="8" s="1"/>
  <c r="F118" i="8"/>
  <c r="F125" i="8"/>
  <c r="H136" i="8"/>
  <c r="H222" i="8"/>
  <c r="L304" i="8"/>
  <c r="L308" i="8"/>
  <c r="C216" i="1"/>
  <c r="H12" i="2"/>
  <c r="J96" i="8"/>
  <c r="J175" i="3"/>
  <c r="L92" i="8"/>
  <c r="C101" i="1"/>
  <c r="C301" i="1"/>
  <c r="F15" i="8"/>
  <c r="C15" i="8" s="1"/>
  <c r="J64" i="8"/>
  <c r="F158" i="8"/>
  <c r="C194" i="1"/>
  <c r="C219" i="1"/>
  <c r="C59" i="1"/>
  <c r="C65" i="1"/>
  <c r="C97" i="1"/>
  <c r="C144" i="1"/>
  <c r="C297" i="1"/>
  <c r="F131" i="8"/>
  <c r="H133" i="8"/>
  <c r="F210" i="8"/>
  <c r="H346" i="8"/>
  <c r="F357" i="8"/>
  <c r="C357" i="8" s="1"/>
  <c r="J184" i="8"/>
  <c r="C50" i="1"/>
  <c r="C67" i="1"/>
  <c r="J23" i="3"/>
  <c r="H87" i="8"/>
  <c r="F322" i="8"/>
  <c r="C69" i="1"/>
  <c r="C206" i="1"/>
  <c r="F153" i="8"/>
  <c r="J296" i="8"/>
  <c r="F337" i="8"/>
  <c r="J161" i="3"/>
  <c r="F29" i="8"/>
  <c r="C29" i="8" s="1"/>
  <c r="H73" i="8"/>
  <c r="C20" i="1"/>
  <c r="C130" i="1"/>
  <c r="C182" i="1"/>
  <c r="C286" i="1"/>
  <c r="J129" i="8"/>
  <c r="L175" i="8"/>
  <c r="P188" i="8"/>
  <c r="H4" i="1"/>
  <c r="C35" i="1"/>
  <c r="C71" i="1"/>
  <c r="C176" i="1"/>
  <c r="C234" i="1"/>
  <c r="C292" i="1"/>
  <c r="C323" i="1"/>
  <c r="C350" i="1"/>
  <c r="C356" i="1"/>
  <c r="J140" i="3"/>
  <c r="F63" i="8"/>
  <c r="H75" i="8"/>
  <c r="F107" i="8"/>
  <c r="C107" i="8" s="1"/>
  <c r="F115" i="8"/>
  <c r="F120" i="8"/>
  <c r="H131" i="8"/>
  <c r="J133" i="8"/>
  <c r="H177" i="8"/>
  <c r="J186" i="8"/>
  <c r="F198" i="8"/>
  <c r="C198" i="8" s="1"/>
  <c r="D197" i="12" s="1"/>
  <c r="H197" i="12" s="1"/>
  <c r="J210" i="8"/>
  <c r="F283" i="8"/>
  <c r="F344" i="8"/>
  <c r="J346" i="8"/>
  <c r="C293" i="1"/>
  <c r="J303" i="8"/>
  <c r="J52" i="3"/>
  <c r="F13" i="8"/>
  <c r="C13" i="8" s="1"/>
  <c r="F85" i="8"/>
  <c r="J85" i="3"/>
  <c r="C13" i="1"/>
  <c r="C314" i="1"/>
  <c r="J311" i="3"/>
  <c r="F12" i="8"/>
  <c r="C12" i="8" s="1"/>
  <c r="H59" i="8"/>
  <c r="F260" i="8"/>
  <c r="H296" i="8"/>
  <c r="L310" i="8"/>
  <c r="C19" i="1"/>
  <c r="L90" i="8"/>
  <c r="F105" i="8"/>
  <c r="C105" i="8" s="1"/>
  <c r="F226" i="8"/>
  <c r="H308" i="8"/>
  <c r="C200" i="1"/>
  <c r="C296" i="1"/>
  <c r="F68" i="8"/>
  <c r="J224" i="8"/>
  <c r="C9" i="1"/>
  <c r="C189" i="1"/>
  <c r="J82" i="8"/>
  <c r="H160" i="8"/>
  <c r="L181" i="8"/>
  <c r="F348" i="8"/>
  <c r="C10" i="1"/>
  <c r="C117" i="1"/>
  <c r="C163" i="1"/>
  <c r="C196" i="1"/>
  <c r="C202" i="1"/>
  <c r="C221" i="1"/>
  <c r="C274" i="1"/>
  <c r="C287" i="1"/>
  <c r="C337" i="1"/>
  <c r="J171" i="3"/>
  <c r="X371" i="3"/>
  <c r="X372" i="3" s="1"/>
  <c r="C365" i="3" s="1"/>
  <c r="C364" i="3" s="1"/>
  <c r="F77" i="8"/>
  <c r="L133" i="8"/>
  <c r="J179" i="8"/>
  <c r="F184" i="8"/>
  <c r="F193" i="8"/>
  <c r="F214" i="8"/>
  <c r="H218" i="8"/>
  <c r="F271" i="8"/>
  <c r="H344" i="8"/>
  <c r="J227" i="3"/>
  <c r="J347" i="3"/>
  <c r="C269" i="12"/>
  <c r="AJ269" i="12" s="1"/>
  <c r="AK269" i="12" s="1"/>
  <c r="C271" i="1"/>
  <c r="C296" i="12"/>
  <c r="BF296" i="12" s="1"/>
  <c r="C298" i="1"/>
  <c r="C171" i="12"/>
  <c r="BJ171" i="12" s="1"/>
  <c r="C173" i="1"/>
  <c r="C356" i="12"/>
  <c r="AM356" i="12" s="1"/>
  <c r="AN356" i="12" s="1"/>
  <c r="AO356" i="12" s="1"/>
  <c r="C358" i="1"/>
  <c r="J17" i="3"/>
  <c r="J47" i="3"/>
  <c r="J54" i="3"/>
  <c r="J334" i="3"/>
  <c r="F75" i="8"/>
  <c r="C90" i="12"/>
  <c r="AM90" i="12" s="1"/>
  <c r="AN90" i="12" s="1"/>
  <c r="AO90" i="12" s="1"/>
  <c r="C92" i="1"/>
  <c r="C126" i="12"/>
  <c r="BD126" i="12" s="1"/>
  <c r="C128" i="1"/>
  <c r="H146" i="8"/>
  <c r="H151" i="8"/>
  <c r="L178" i="8"/>
  <c r="N184" i="8"/>
  <c r="P186" i="8"/>
  <c r="F355" i="8"/>
  <c r="C355" i="8" s="1"/>
  <c r="H350" i="8"/>
  <c r="F342" i="8"/>
  <c r="F284" i="8"/>
  <c r="H224" i="8"/>
  <c r="H221" i="8"/>
  <c r="F218" i="8"/>
  <c r="F208" i="8"/>
  <c r="F205" i="8"/>
  <c r="F191" i="8"/>
  <c r="F133" i="8"/>
  <c r="H130" i="8"/>
  <c r="F127" i="8"/>
  <c r="F124" i="8"/>
  <c r="F121" i="8"/>
  <c r="F350" i="8"/>
  <c r="F224" i="8"/>
  <c r="F221" i="8"/>
  <c r="F130" i="8"/>
  <c r="H345" i="8"/>
  <c r="F331" i="8"/>
  <c r="F116" i="8"/>
  <c r="F98" i="8"/>
  <c r="C98" i="8" s="1"/>
  <c r="H79" i="8"/>
  <c r="F345" i="8"/>
  <c r="H338" i="8"/>
  <c r="H348" i="8"/>
  <c r="F338" i="8"/>
  <c r="F259" i="8"/>
  <c r="J222" i="8"/>
  <c r="F48" i="8"/>
  <c r="F346" i="8"/>
  <c r="F341" i="8"/>
  <c r="F217" i="8"/>
  <c r="H204" i="8"/>
  <c r="F160" i="8"/>
  <c r="F20" i="8"/>
  <c r="C20" i="8" s="1"/>
  <c r="J70" i="8"/>
  <c r="J174" i="8"/>
  <c r="L309" i="8"/>
  <c r="J298" i="8"/>
  <c r="L185" i="8"/>
  <c r="H187" i="8"/>
  <c r="F277" i="8"/>
  <c r="L96" i="8"/>
  <c r="H92" i="8"/>
  <c r="F356" i="8"/>
  <c r="C356" i="8" s="1"/>
  <c r="P185" i="8"/>
  <c r="J165" i="8"/>
  <c r="H156" i="8"/>
  <c r="N181" i="8"/>
  <c r="H157" i="8"/>
  <c r="C157" i="8" s="1"/>
  <c r="C25" i="1"/>
  <c r="C43" i="1"/>
  <c r="C49" i="1"/>
  <c r="C54" i="1"/>
  <c r="C280" i="1"/>
  <c r="C355" i="1"/>
  <c r="J40" i="3"/>
  <c r="J62" i="3"/>
  <c r="J91" i="3"/>
  <c r="J141" i="3"/>
  <c r="J162" i="3"/>
  <c r="J222" i="3"/>
  <c r="J357" i="3"/>
  <c r="C75" i="12"/>
  <c r="BD75" i="12" s="1"/>
  <c r="C77" i="1"/>
  <c r="C80" i="12"/>
  <c r="AZ80" i="12" s="1"/>
  <c r="C82" i="1"/>
  <c r="F96" i="8"/>
  <c r="F128" i="8"/>
  <c r="F143" i="8"/>
  <c r="J164" i="8"/>
  <c r="H191" i="8"/>
  <c r="F196" i="8"/>
  <c r="J209" i="8"/>
  <c r="F220" i="8"/>
  <c r="C240" i="12"/>
  <c r="AZ240" i="12" s="1"/>
  <c r="C242" i="1"/>
  <c r="H313" i="8"/>
  <c r="C350" i="12"/>
  <c r="AZ350" i="12" s="1"/>
  <c r="C352" i="1"/>
  <c r="F339" i="8"/>
  <c r="L79" i="8"/>
  <c r="F5" i="8"/>
  <c r="C5" i="8" s="1"/>
  <c r="J79" i="8"/>
  <c r="J345" i="8"/>
  <c r="N189" i="8"/>
  <c r="H113" i="8"/>
  <c r="F113" i="8"/>
  <c r="H48" i="8"/>
  <c r="J348" i="8"/>
  <c r="L222" i="8"/>
  <c r="L225" i="8"/>
  <c r="H219" i="8"/>
  <c r="H206" i="8"/>
  <c r="J131" i="8"/>
  <c r="J128" i="8"/>
  <c r="J125" i="8"/>
  <c r="H122" i="8"/>
  <c r="J349" i="8"/>
  <c r="L223" i="8"/>
  <c r="H220" i="8"/>
  <c r="J132" i="8"/>
  <c r="L129" i="8"/>
  <c r="F49" i="8"/>
  <c r="H174" i="8"/>
  <c r="H70" i="8"/>
  <c r="C106" i="1"/>
  <c r="C112" i="1"/>
  <c r="C183" i="1"/>
  <c r="C343" i="1"/>
  <c r="J18" i="3"/>
  <c r="J33" i="3"/>
  <c r="J69" i="3"/>
  <c r="J200" i="3"/>
  <c r="C88" i="12"/>
  <c r="BH88" i="12" s="1"/>
  <c r="C90" i="1"/>
  <c r="J92" i="8"/>
  <c r="H128" i="8"/>
  <c r="F138" i="8"/>
  <c r="F156" i="8"/>
  <c r="C168" i="12"/>
  <c r="AZ168" i="12" s="1"/>
  <c r="C170" i="1"/>
  <c r="H196" i="8"/>
  <c r="F204" i="8"/>
  <c r="L218" i="8"/>
  <c r="J220" i="8"/>
  <c r="F222" i="8"/>
  <c r="F164" i="8"/>
  <c r="L84" i="8"/>
  <c r="J76" i="8"/>
  <c r="F67" i="8"/>
  <c r="F340" i="8"/>
  <c r="H331" i="8"/>
  <c r="J338" i="8"/>
  <c r="L219" i="8"/>
  <c r="J89" i="8"/>
  <c r="L343" i="8"/>
  <c r="N225" i="8"/>
  <c r="J219" i="8"/>
  <c r="F216" i="8"/>
  <c r="F144" i="8"/>
  <c r="J122" i="8"/>
  <c r="J91" i="8"/>
  <c r="H51" i="8"/>
  <c r="J343" i="8"/>
  <c r="H162" i="8"/>
  <c r="L87" i="8"/>
  <c r="J339" i="8"/>
  <c r="J126" i="8"/>
  <c r="H52" i="8"/>
  <c r="N93" i="8"/>
  <c r="J180" i="8"/>
  <c r="J83" i="8"/>
  <c r="F293" i="8"/>
  <c r="F169" i="8"/>
  <c r="L307" i="8"/>
  <c r="F159" i="8"/>
  <c r="C159" i="8" s="1"/>
  <c r="F89" i="8"/>
  <c r="J170" i="8"/>
  <c r="C22" i="12"/>
  <c r="AS22" i="12" s="1"/>
  <c r="AT22" i="12" s="1"/>
  <c r="AU22" i="12" s="1"/>
  <c r="C24" i="1"/>
  <c r="J49" i="3"/>
  <c r="J88" i="8"/>
  <c r="H185" i="8"/>
  <c r="F262" i="8"/>
  <c r="H328" i="8"/>
  <c r="H343" i="8"/>
  <c r="F349" i="8"/>
  <c r="F270" i="8"/>
  <c r="F314" i="8"/>
  <c r="F95" i="8"/>
  <c r="H67" i="8"/>
  <c r="F11" i="8"/>
  <c r="C11" i="8" s="1"/>
  <c r="H76" i="8"/>
  <c r="J300" i="8"/>
  <c r="N96" i="8"/>
  <c r="J45" i="3"/>
  <c r="J263" i="3"/>
  <c r="J256" i="3"/>
  <c r="J307" i="3"/>
  <c r="C304" i="12"/>
  <c r="BF304" i="12" s="1"/>
  <c r="C306" i="1"/>
  <c r="J154" i="3"/>
  <c r="C320" i="12"/>
  <c r="BF320" i="12" s="1"/>
  <c r="C322" i="1"/>
  <c r="L314" i="8"/>
  <c r="N97" i="8"/>
  <c r="J10" i="3"/>
  <c r="J183" i="3"/>
  <c r="J272" i="3"/>
  <c r="F34" i="8"/>
  <c r="C34" i="8" s="1"/>
  <c r="F175" i="8"/>
  <c r="F35" i="8"/>
  <c r="C35" i="8" s="1"/>
  <c r="J187" i="8"/>
  <c r="F76" i="8"/>
  <c r="J311" i="8"/>
  <c r="H309" i="8"/>
  <c r="J70" i="3"/>
  <c r="C96" i="1"/>
  <c r="J303" i="3"/>
  <c r="C339" i="12"/>
  <c r="AM339" i="12" s="1"/>
  <c r="AN339" i="12" s="1"/>
  <c r="AO339" i="12" s="1"/>
  <c r="C341" i="1"/>
  <c r="C154" i="1"/>
  <c r="F112" i="8"/>
  <c r="H125" i="8"/>
  <c r="H341" i="8"/>
  <c r="H288" i="8"/>
  <c r="F302" i="8"/>
  <c r="H182" i="8"/>
  <c r="N91" i="8"/>
  <c r="F177" i="8"/>
  <c r="F73" i="8"/>
  <c r="F59" i="8"/>
  <c r="H167" i="8"/>
  <c r="H89" i="8"/>
  <c r="F189" i="8"/>
  <c r="F82" i="8"/>
  <c r="H54" i="8"/>
  <c r="F320" i="8"/>
  <c r="H190" i="8"/>
  <c r="F94" i="8"/>
  <c r="C21" i="1"/>
  <c r="C33" i="1"/>
  <c r="C61" i="1"/>
  <c r="C226" i="1"/>
  <c r="J79" i="3"/>
  <c r="F347" i="8"/>
  <c r="F26" i="8"/>
  <c r="C26" i="8" s="1"/>
  <c r="H289" i="8"/>
  <c r="L82" i="8"/>
  <c r="F180" i="8"/>
  <c r="C16" i="1"/>
  <c r="C270" i="1"/>
  <c r="J65" i="3"/>
  <c r="F9" i="8"/>
  <c r="C9" i="8" s="1"/>
  <c r="F50" i="8"/>
  <c r="C66" i="12"/>
  <c r="AS66" i="12" s="1"/>
  <c r="AT66" i="12" s="1"/>
  <c r="AU66" i="12" s="1"/>
  <c r="C68" i="1"/>
  <c r="J74" i="8"/>
  <c r="H163" i="8"/>
  <c r="F179" i="8"/>
  <c r="C193" i="12"/>
  <c r="AP193" i="12" s="1"/>
  <c r="AQ193" i="12" s="1"/>
  <c r="AR193" i="12" s="1"/>
  <c r="C195" i="1"/>
  <c r="F203" i="8"/>
  <c r="C203" i="8" s="1"/>
  <c r="F215" i="8"/>
  <c r="H347" i="8"/>
  <c r="C138" i="1"/>
  <c r="C149" i="1"/>
  <c r="C299" i="1"/>
  <c r="C311" i="1"/>
  <c r="C316" i="1"/>
  <c r="C334" i="1"/>
  <c r="J14" i="3"/>
  <c r="J36" i="3"/>
  <c r="J80" i="3"/>
  <c r="J151" i="3"/>
  <c r="H55" i="8"/>
  <c r="H95" i="8"/>
  <c r="C112" i="12"/>
  <c r="AV112" i="12" s="1"/>
  <c r="C114" i="1"/>
  <c r="C120" i="12"/>
  <c r="BF120" i="12" s="1"/>
  <c r="C122" i="1"/>
  <c r="H127" i="8"/>
  <c r="L132" i="8"/>
  <c r="F137" i="8"/>
  <c r="H155" i="8"/>
  <c r="F190" i="8"/>
  <c r="H215" i="8"/>
  <c r="H217" i="8"/>
  <c r="J314" i="8"/>
  <c r="J347" i="8"/>
  <c r="H349" i="8"/>
  <c r="L187" i="8"/>
  <c r="F141" i="8"/>
  <c r="F182" i="8"/>
  <c r="L91" i="8"/>
  <c r="L311" i="8"/>
  <c r="F265" i="8"/>
  <c r="F274" i="8"/>
  <c r="F150" i="8"/>
  <c r="J292" i="8"/>
  <c r="J81" i="3"/>
  <c r="J181" i="3"/>
  <c r="C344" i="12"/>
  <c r="BH344" i="12" s="1"/>
  <c r="C346" i="1"/>
  <c r="C334" i="12"/>
  <c r="AM334" i="12" s="1"/>
  <c r="AN334" i="12" s="1"/>
  <c r="AO334" i="12" s="1"/>
  <c r="C336" i="1"/>
  <c r="L174" i="8"/>
  <c r="J213" i="8"/>
  <c r="N180" i="8"/>
  <c r="H144" i="8"/>
  <c r="H200" i="8"/>
  <c r="H192" i="8"/>
  <c r="L172" i="8"/>
  <c r="H153" i="8"/>
  <c r="F354" i="8"/>
  <c r="C354" i="8" s="1"/>
  <c r="D353" i="12" s="1"/>
  <c r="H353" i="12" s="1"/>
  <c r="H193" i="8"/>
  <c r="J163" i="8"/>
  <c r="J39" i="3"/>
  <c r="J205" i="3"/>
  <c r="P189" i="8"/>
  <c r="N182" i="8"/>
  <c r="N219" i="8"/>
  <c r="L216" i="8"/>
  <c r="P225" i="8"/>
  <c r="J211" i="8"/>
  <c r="J207" i="8"/>
  <c r="H154" i="8"/>
  <c r="C46" i="12"/>
  <c r="AM46" i="12" s="1"/>
  <c r="AN46" i="12" s="1"/>
  <c r="AO46" i="12" s="1"/>
  <c r="C48" i="1"/>
  <c r="H90" i="8"/>
  <c r="C178" i="1"/>
  <c r="J178" i="3"/>
  <c r="L183" i="8"/>
  <c r="J164" i="3"/>
  <c r="F66" i="8"/>
  <c r="J13" i="3"/>
  <c r="J179" i="3"/>
  <c r="H58" i="8"/>
  <c r="H66" i="8"/>
  <c r="F132" i="8"/>
  <c r="J172" i="8"/>
  <c r="F328" i="8"/>
  <c r="F343" i="8"/>
  <c r="C125" i="1"/>
  <c r="C209" i="1"/>
  <c r="J172" i="3"/>
  <c r="J202" i="3"/>
  <c r="J217" i="3"/>
  <c r="C53" i="12"/>
  <c r="AV53" i="12" s="1"/>
  <c r="C55" i="1"/>
  <c r="J66" i="8"/>
  <c r="F81" i="8"/>
  <c r="H132" i="8"/>
  <c r="F142" i="8"/>
  <c r="H158" i="8"/>
  <c r="H314" i="8"/>
  <c r="C34" i="1"/>
  <c r="C40" i="1"/>
  <c r="C103" i="1"/>
  <c r="C186" i="1"/>
  <c r="C215" i="1"/>
  <c r="C233" i="1"/>
  <c r="C258" i="1"/>
  <c r="C283" i="1"/>
  <c r="C305" i="1"/>
  <c r="J58" i="3"/>
  <c r="J66" i="3"/>
  <c r="J101" i="3"/>
  <c r="J173" i="3"/>
  <c r="J255" i="3"/>
  <c r="F370" i="3"/>
  <c r="H370" i="3" s="1"/>
  <c r="F47" i="8"/>
  <c r="H63" i="8"/>
  <c r="J81" i="8"/>
  <c r="J95" i="8"/>
  <c r="F114" i="8"/>
  <c r="F122" i="8"/>
  <c r="J127" i="8"/>
  <c r="J190" i="8"/>
  <c r="C208" i="12"/>
  <c r="AZ208" i="12" s="1"/>
  <c r="C210" i="1"/>
  <c r="J221" i="8"/>
  <c r="F330" i="8"/>
  <c r="L347" i="8"/>
  <c r="L349" i="8"/>
  <c r="H19" i="2"/>
  <c r="C338" i="1"/>
  <c r="C37" i="12"/>
  <c r="AM37" i="12" s="1"/>
  <c r="AN37" i="12" s="1"/>
  <c r="AO37" i="12" s="1"/>
  <c r="C39" i="1"/>
  <c r="L86" i="8"/>
  <c r="J275" i="3"/>
  <c r="N183" i="8"/>
  <c r="C177" i="12"/>
  <c r="BH177" i="12" s="1"/>
  <c r="C179" i="1"/>
  <c r="C109" i="1"/>
  <c r="F60" i="8"/>
  <c r="J68" i="8"/>
  <c r="L81" i="8"/>
  <c r="F83" i="8"/>
  <c r="L95" i="8"/>
  <c r="F111" i="8"/>
  <c r="F129" i="8"/>
  <c r="H152" i="8"/>
  <c r="H165" i="8"/>
  <c r="L179" i="8"/>
  <c r="L190" i="8"/>
  <c r="F219" i="8"/>
  <c r="F223" i="8"/>
  <c r="C257" i="12"/>
  <c r="AX257" i="12" s="1"/>
  <c r="C259" i="1"/>
  <c r="C274" i="12"/>
  <c r="AM274" i="12" s="1"/>
  <c r="AN274" i="12" s="1"/>
  <c r="AO274" i="12" s="1"/>
  <c r="C276" i="1"/>
  <c r="F281" i="8"/>
  <c r="C286" i="12"/>
  <c r="BJ286" i="12" s="1"/>
  <c r="C288" i="1"/>
  <c r="H294" i="8"/>
  <c r="H330" i="8"/>
  <c r="J351" i="3"/>
  <c r="J215" i="3"/>
  <c r="J74" i="3"/>
  <c r="J117" i="3"/>
  <c r="H18" i="2"/>
  <c r="C160" i="12"/>
  <c r="AX160" i="12" s="1"/>
  <c r="C162" i="1"/>
  <c r="C306" i="12"/>
  <c r="BB306" i="12" s="1"/>
  <c r="C308" i="1"/>
  <c r="C342" i="12"/>
  <c r="BD342" i="12" s="1"/>
  <c r="C344" i="1"/>
  <c r="J16" i="3"/>
  <c r="J38" i="3"/>
  <c r="F327" i="8"/>
  <c r="F261" i="8"/>
  <c r="L348" i="8"/>
  <c r="H213" i="8"/>
  <c r="L131" i="8"/>
  <c r="F110" i="8"/>
  <c r="C110" i="8" s="1"/>
  <c r="F294" i="8"/>
  <c r="F170" i="8"/>
  <c r="L214" i="8"/>
  <c r="C320" i="1"/>
  <c r="J134" i="3"/>
  <c r="C118" i="1"/>
  <c r="J19" i="3"/>
  <c r="J121" i="3"/>
  <c r="J157" i="3"/>
  <c r="J315" i="3"/>
  <c r="J343" i="3"/>
  <c r="C72" i="1"/>
  <c r="C131" i="1"/>
  <c r="V12" i="2"/>
  <c r="V13" i="2" s="1"/>
  <c r="J246" i="3"/>
  <c r="J316" i="3"/>
  <c r="F61" i="8"/>
  <c r="H120" i="8"/>
  <c r="H145" i="8"/>
  <c r="L224" i="8"/>
  <c r="H226" i="8"/>
  <c r="F326" i="8"/>
  <c r="F202" i="8"/>
  <c r="F269" i="8"/>
  <c r="F300" i="8"/>
  <c r="H189" i="8"/>
  <c r="H287" i="8"/>
  <c r="C27" i="1"/>
  <c r="J56" i="3"/>
  <c r="F18" i="8"/>
  <c r="C18" i="8" s="1"/>
  <c r="L177" i="8"/>
  <c r="C260" i="12"/>
  <c r="AJ260" i="12" s="1"/>
  <c r="AK260" i="12" s="1"/>
  <c r="C262" i="1"/>
  <c r="F311" i="8"/>
  <c r="F152" i="8"/>
  <c r="F187" i="8"/>
  <c r="C339" i="1"/>
  <c r="C12" i="1"/>
  <c r="C22" i="1"/>
  <c r="C74" i="1"/>
  <c r="C115" i="1"/>
  <c r="C120" i="1"/>
  <c r="C329" i="1"/>
  <c r="J73" i="3"/>
  <c r="J102" i="3"/>
  <c r="J233" i="3"/>
  <c r="J325" i="3"/>
  <c r="H47" i="8"/>
  <c r="C52" i="1"/>
  <c r="C181" i="1"/>
  <c r="C278" i="1"/>
  <c r="C317" i="1"/>
  <c r="C335" i="1"/>
  <c r="U12" i="2"/>
  <c r="J88" i="3"/>
  <c r="H57" i="8"/>
  <c r="H85" i="8"/>
  <c r="C85" i="12"/>
  <c r="AS85" i="12" s="1"/>
  <c r="AT85" i="12" s="1"/>
  <c r="AU85" i="12" s="1"/>
  <c r="C87" i="1"/>
  <c r="L97" i="8"/>
  <c r="H111" i="8"/>
  <c r="H124" i="8"/>
  <c r="H129" i="8"/>
  <c r="P190" i="8"/>
  <c r="F192" i="8"/>
  <c r="H205" i="8"/>
  <c r="C210" i="12"/>
  <c r="AM210" i="12" s="1"/>
  <c r="AN210" i="12" s="1"/>
  <c r="AO210" i="12" s="1"/>
  <c r="C212" i="1"/>
  <c r="N221" i="8"/>
  <c r="H223" i="8"/>
  <c r="F276" i="8"/>
  <c r="F288" i="8"/>
  <c r="H292" i="8"/>
  <c r="J294" i="8"/>
  <c r="F332" i="8"/>
  <c r="J24" i="3"/>
  <c r="J72" i="3"/>
  <c r="J331" i="3"/>
  <c r="J123" i="8"/>
  <c r="F183" i="8"/>
  <c r="L226" i="8"/>
  <c r="H301" i="8"/>
  <c r="J82" i="3"/>
  <c r="J132" i="3"/>
  <c r="C84" i="1"/>
  <c r="C116" i="1"/>
  <c r="C139" i="1"/>
  <c r="R11" i="2"/>
  <c r="S11" i="2" s="1"/>
  <c r="J7" i="3"/>
  <c r="J125" i="3"/>
  <c r="J259" i="3"/>
  <c r="J294" i="3"/>
  <c r="L180" i="8"/>
  <c r="J216" i="8"/>
  <c r="H300" i="8"/>
  <c r="J153" i="3"/>
  <c r="J20" i="3"/>
  <c r="J112" i="3"/>
  <c r="J119" i="3"/>
  <c r="J133" i="3"/>
  <c r="J159" i="3"/>
  <c r="J281" i="3"/>
  <c r="C95" i="1"/>
  <c r="C184" i="1"/>
  <c r="J160" i="3"/>
  <c r="J187" i="3"/>
  <c r="J194" i="3"/>
  <c r="J238" i="3"/>
  <c r="C239" i="1"/>
  <c r="F14" i="2"/>
  <c r="C27" i="2" s="1"/>
  <c r="H293" i="8"/>
  <c r="J167" i="8"/>
  <c r="J291" i="8"/>
  <c r="H304" i="8"/>
  <c r="H180" i="8"/>
  <c r="F324" i="8"/>
  <c r="F273" i="8"/>
  <c r="F149" i="8"/>
  <c r="F17" i="8"/>
  <c r="C17" i="8" s="1"/>
  <c r="H82" i="8"/>
  <c r="J169" i="8"/>
  <c r="H169" i="8"/>
  <c r="J63" i="8"/>
  <c r="H303" i="8"/>
  <c r="H141" i="8"/>
  <c r="H138" i="8"/>
  <c r="J212" i="8"/>
  <c r="L171" i="8"/>
  <c r="F353" i="8"/>
  <c r="C353" i="8" s="1"/>
  <c r="L217" i="8"/>
  <c r="L169" i="8"/>
  <c r="H143" i="8"/>
  <c r="H140" i="8"/>
  <c r="N224" i="8"/>
  <c r="J166" i="8"/>
  <c r="C331" i="12"/>
  <c r="BD331" i="12" s="1"/>
  <c r="C333" i="1"/>
  <c r="N88" i="8"/>
  <c r="C178" i="12"/>
  <c r="C180" i="1"/>
  <c r="C303" i="1"/>
  <c r="L85" i="8"/>
  <c r="C169" i="12"/>
  <c r="AX169" i="12" s="1"/>
  <c r="C171" i="1"/>
  <c r="F174" i="8"/>
  <c r="C196" i="12"/>
  <c r="AX196" i="12" s="1"/>
  <c r="C198" i="1"/>
  <c r="F289" i="8"/>
  <c r="F298" i="8"/>
  <c r="J341" i="8"/>
  <c r="H77" i="8"/>
  <c r="F199" i="8"/>
  <c r="F106" i="8"/>
  <c r="C106" i="8" s="1"/>
  <c r="H84" i="8"/>
  <c r="F16" i="8"/>
  <c r="C16" i="8" s="1"/>
  <c r="H305" i="8"/>
  <c r="J69" i="8"/>
  <c r="J124" i="8"/>
  <c r="J217" i="8"/>
  <c r="L89" i="8"/>
  <c r="J182" i="8"/>
  <c r="F140" i="8"/>
  <c r="N178" i="8"/>
  <c r="C174" i="1"/>
  <c r="C225" i="1"/>
  <c r="C255" i="1"/>
  <c r="N90" i="8"/>
  <c r="C164" i="12"/>
  <c r="AV164" i="12" s="1"/>
  <c r="C166" i="1"/>
  <c r="F195" i="8"/>
  <c r="C195" i="8" s="1"/>
  <c r="F318" i="8"/>
  <c r="F323" i="8"/>
  <c r="N350" i="8"/>
  <c r="C123" i="1"/>
  <c r="C14" i="1"/>
  <c r="C18" i="1"/>
  <c r="C134" i="1"/>
  <c r="C265" i="1"/>
  <c r="C328" i="1"/>
  <c r="C347" i="1"/>
  <c r="C357" i="1"/>
  <c r="J116" i="3"/>
  <c r="J155" i="3"/>
  <c r="J197" i="3"/>
  <c r="F52" i="8"/>
  <c r="F55" i="8"/>
  <c r="J67" i="8"/>
  <c r="H142" i="8"/>
  <c r="F163" i="8"/>
  <c r="F166" i="8"/>
  <c r="J305" i="8"/>
  <c r="L88" i="8"/>
  <c r="J312" i="8"/>
  <c r="L167" i="8"/>
  <c r="H199" i="8"/>
  <c r="H135" i="8"/>
  <c r="H148" i="8"/>
  <c r="F352" i="8"/>
  <c r="C352" i="8" s="1"/>
  <c r="H194" i="8"/>
  <c r="J204" i="8"/>
  <c r="N179" i="8"/>
  <c r="H137" i="8"/>
  <c r="J85" i="8"/>
  <c r="C332" i="1"/>
  <c r="C105" i="1"/>
  <c r="C129" i="1"/>
  <c r="J21" i="3"/>
  <c r="J90" i="3"/>
  <c r="F24" i="8"/>
  <c r="C24" i="8" s="1"/>
  <c r="F139" i="8"/>
  <c r="F168" i="8"/>
  <c r="J171" i="8"/>
  <c r="C201" i="12"/>
  <c r="AV201" i="12" s="1"/>
  <c r="C203" i="1"/>
  <c r="J293" i="8"/>
  <c r="F287" i="8"/>
  <c r="H96" i="8"/>
  <c r="F70" i="8"/>
  <c r="F57" i="8"/>
  <c r="F80" i="8"/>
  <c r="N314" i="8"/>
  <c r="N190" i="8"/>
  <c r="F186" i="8"/>
  <c r="F90" i="8"/>
  <c r="J84" i="8"/>
  <c r="F309" i="8"/>
  <c r="F286" i="8"/>
  <c r="J97" i="8"/>
  <c r="L188" i="8"/>
  <c r="N185" i="8"/>
  <c r="F181" i="8"/>
  <c r="H178" i="8"/>
  <c r="F62" i="8"/>
  <c r="F305" i="8"/>
  <c r="F194" i="8"/>
  <c r="F162" i="8"/>
  <c r="F101" i="8"/>
  <c r="C101" i="8" s="1"/>
  <c r="F310" i="8"/>
  <c r="L182" i="8"/>
  <c r="F53" i="8"/>
  <c r="F185" i="8"/>
  <c r="C327" i="1"/>
  <c r="C231" i="1"/>
  <c r="C236" i="1"/>
  <c r="C260" i="1"/>
  <c r="C304" i="1"/>
  <c r="C309" i="1"/>
  <c r="J22" i="3"/>
  <c r="J28" i="3"/>
  <c r="J167" i="3"/>
  <c r="J282" i="3"/>
  <c r="J308" i="3"/>
  <c r="F84" i="8"/>
  <c r="C92" i="12"/>
  <c r="AZ92" i="12" s="1"/>
  <c r="C94" i="1"/>
  <c r="H139" i="8"/>
  <c r="J160" i="8"/>
  <c r="J189" i="8"/>
  <c r="H307" i="8"/>
  <c r="C150" i="1"/>
  <c r="F211" i="8"/>
  <c r="C45" i="1"/>
  <c r="C76" i="1"/>
  <c r="G28" i="5"/>
  <c r="H28" i="5"/>
  <c r="F28" i="5"/>
  <c r="D28" i="5"/>
  <c r="H86" i="8"/>
  <c r="H91" i="8"/>
  <c r="F102" i="8"/>
  <c r="C102" i="8" s="1"/>
  <c r="C130" i="12"/>
  <c r="AV130" i="12" s="1"/>
  <c r="C132" i="1"/>
  <c r="N133" i="8"/>
  <c r="L170" i="8"/>
  <c r="H211" i="8"/>
  <c r="C40" i="8"/>
  <c r="N220" i="8"/>
  <c r="H302" i="8"/>
  <c r="C247" i="1"/>
  <c r="C252" i="1"/>
  <c r="H83" i="8"/>
  <c r="H123" i="8"/>
  <c r="H181" i="8"/>
  <c r="H208" i="8"/>
  <c r="C317" i="12"/>
  <c r="BJ317" i="12" s="1"/>
  <c r="C319" i="1"/>
  <c r="C322" i="12"/>
  <c r="BJ322" i="12" s="1"/>
  <c r="C324" i="1"/>
  <c r="C40" i="12"/>
  <c r="AJ40" i="12" s="1"/>
  <c r="AK40" i="12" s="1"/>
  <c r="AL40" i="12" s="1"/>
  <c r="C42" i="1"/>
  <c r="H115" i="8"/>
  <c r="F275" i="8"/>
  <c r="H334" i="8"/>
  <c r="F151" i="8"/>
  <c r="H210" i="8"/>
  <c r="F325" i="8"/>
  <c r="F108" i="8"/>
  <c r="C108" i="8" s="1"/>
  <c r="F201" i="8"/>
  <c r="C21" i="12"/>
  <c r="AM21" i="12" s="1"/>
  <c r="AN21" i="12" s="1"/>
  <c r="AO21" i="12" s="1"/>
  <c r="C23" i="1"/>
  <c r="J94" i="8"/>
  <c r="J173" i="8"/>
  <c r="I12" i="2"/>
  <c r="F91" i="8"/>
  <c r="H147" i="8"/>
  <c r="C147" i="8" s="1"/>
  <c r="J297" i="8"/>
  <c r="C113" i="1"/>
  <c r="C126" i="1"/>
  <c r="J37" i="3"/>
  <c r="J100" i="3"/>
  <c r="J107" i="3"/>
  <c r="J170" i="3"/>
  <c r="I28" i="5"/>
  <c r="H65" i="8"/>
  <c r="H117" i="8"/>
  <c r="F155" i="8"/>
  <c r="J181" i="8"/>
  <c r="J208" i="8"/>
  <c r="H216" i="8"/>
  <c r="C76" i="12"/>
  <c r="AV76" i="12" s="1"/>
  <c r="C78" i="1"/>
  <c r="F335" i="8"/>
  <c r="J93" i="8"/>
  <c r="H80" i="8"/>
  <c r="H186" i="8"/>
  <c r="H93" i="8"/>
  <c r="J90" i="8"/>
  <c r="L344" i="8"/>
  <c r="J309" i="8"/>
  <c r="H183" i="8"/>
  <c r="F93" i="8"/>
  <c r="F64" i="8"/>
  <c r="N187" i="8"/>
  <c r="F167" i="8"/>
  <c r="F119" i="8"/>
  <c r="H116" i="8"/>
  <c r="F212" i="8"/>
  <c r="H209" i="8"/>
  <c r="L94" i="8"/>
  <c r="F87" i="8"/>
  <c r="L220" i="8"/>
  <c r="F165" i="8"/>
  <c r="N92" i="8"/>
  <c r="F88" i="8"/>
  <c r="H335" i="8"/>
  <c r="H310" i="8"/>
  <c r="J188" i="8"/>
  <c r="N89" i="8"/>
  <c r="H56" i="8"/>
  <c r="J295" i="8"/>
  <c r="H188" i="8"/>
  <c r="J185" i="8"/>
  <c r="F56" i="8"/>
  <c r="L313" i="8"/>
  <c r="H290" i="8"/>
  <c r="F188" i="8"/>
  <c r="F79" i="8"/>
  <c r="F8" i="8"/>
  <c r="C8" i="8" s="1"/>
  <c r="J313" i="8"/>
  <c r="N311" i="8"/>
  <c r="F290" i="8"/>
  <c r="H166" i="8"/>
  <c r="H118" i="8"/>
  <c r="J75" i="8"/>
  <c r="C89" i="1"/>
  <c r="C5" i="1"/>
  <c r="C58" i="1"/>
  <c r="C63" i="1"/>
  <c r="C73" i="1"/>
  <c r="F7" i="8"/>
  <c r="C7" i="8" s="1"/>
  <c r="C44" i="8"/>
  <c r="D45" i="1" s="1"/>
  <c r="H62" i="8"/>
  <c r="J65" i="8"/>
  <c r="C159" i="12"/>
  <c r="AM159" i="12" s="1"/>
  <c r="AN159" i="12" s="1"/>
  <c r="AO159" i="12" s="1"/>
  <c r="C161" i="1"/>
  <c r="C191" i="12"/>
  <c r="AM191" i="12" s="1"/>
  <c r="AN191" i="12" s="1"/>
  <c r="AO191" i="12" s="1"/>
  <c r="C193" i="1"/>
  <c r="C270" i="12"/>
  <c r="BB270" i="12" s="1"/>
  <c r="C272" i="1"/>
  <c r="J306" i="8"/>
  <c r="F321" i="8"/>
  <c r="F258" i="8"/>
  <c r="F213" i="8"/>
  <c r="F197" i="8"/>
  <c r="F104" i="8"/>
  <c r="C104" i="8" s="1"/>
  <c r="F14" i="8"/>
  <c r="C14" i="8" s="1"/>
  <c r="J340" i="8"/>
  <c r="L128" i="8"/>
  <c r="C226" i="12"/>
  <c r="AS226" i="12" s="1"/>
  <c r="AT226" i="12" s="1"/>
  <c r="AU226" i="12" s="1"/>
  <c r="C228" i="1"/>
  <c r="P226" i="8"/>
  <c r="C26" i="1"/>
  <c r="C31" i="1"/>
  <c r="C142" i="1"/>
  <c r="C244" i="1"/>
  <c r="C268" i="1"/>
  <c r="C273" i="1"/>
  <c r="I11" i="2"/>
  <c r="J26" i="3"/>
  <c r="J32" i="3"/>
  <c r="J108" i="3"/>
  <c r="J127" i="3"/>
  <c r="J201" i="3"/>
  <c r="J234" i="3"/>
  <c r="J247" i="3"/>
  <c r="J280" i="3"/>
  <c r="J62" i="8"/>
  <c r="L93" i="8"/>
  <c r="H312" i="8"/>
  <c r="H336" i="8"/>
  <c r="J183" i="8"/>
  <c r="H119" i="8"/>
  <c r="F51" i="8"/>
  <c r="F296" i="8"/>
  <c r="H212" i="8"/>
  <c r="F172" i="8"/>
  <c r="J86" i="8"/>
  <c r="L215" i="8"/>
  <c r="N222" i="8"/>
  <c r="P187" i="8"/>
  <c r="J206" i="8"/>
  <c r="H201" i="8"/>
  <c r="H150" i="8"/>
  <c r="H134" i="8"/>
  <c r="C28" i="8"/>
  <c r="BS357" i="12"/>
  <c r="F297" i="8"/>
  <c r="C45" i="8"/>
  <c r="J60" i="3"/>
  <c r="C32" i="1"/>
  <c r="C53" i="1"/>
  <c r="J169" i="3"/>
  <c r="F371" i="3"/>
  <c r="R370" i="3" s="1"/>
  <c r="S370" i="3" s="1"/>
  <c r="H291" i="8"/>
  <c r="C4" i="1"/>
  <c r="C46" i="1"/>
  <c r="J61" i="3"/>
  <c r="F301" i="8"/>
  <c r="C15" i="1"/>
  <c r="C28" i="1"/>
  <c r="J15" i="3"/>
  <c r="J55" i="3"/>
  <c r="J192" i="3"/>
  <c r="J218" i="3"/>
  <c r="J285" i="3"/>
  <c r="F377" i="3"/>
  <c r="H377" i="3" s="1"/>
  <c r="F280" i="8"/>
  <c r="J312" i="3"/>
  <c r="J176" i="3"/>
  <c r="J63" i="3"/>
  <c r="J92" i="3"/>
  <c r="J339" i="3"/>
  <c r="J96" i="3"/>
  <c r="C227" i="12"/>
  <c r="C229" i="1"/>
  <c r="C243" i="12"/>
  <c r="C245" i="1"/>
  <c r="C251" i="12"/>
  <c r="C253" i="1"/>
  <c r="C259" i="12"/>
  <c r="C261" i="1"/>
  <c r="J64" i="3"/>
  <c r="J135" i="3"/>
  <c r="J184" i="3"/>
  <c r="J243" i="3"/>
  <c r="J254" i="3"/>
  <c r="J291" i="3"/>
  <c r="J352" i="3"/>
  <c r="C235" i="12"/>
  <c r="C237" i="1"/>
  <c r="J124" i="3"/>
  <c r="J130" i="3"/>
  <c r="J168" i="3"/>
  <c r="J196" i="3"/>
  <c r="J214" i="3"/>
  <c r="J273" i="3"/>
  <c r="C109" i="12"/>
  <c r="C111" i="1"/>
  <c r="J11" i="3"/>
  <c r="J42" i="3"/>
  <c r="J147" i="3"/>
  <c r="J174" i="3"/>
  <c r="J191" i="3"/>
  <c r="J209" i="3"/>
  <c r="J226" i="3"/>
  <c r="J244" i="3"/>
  <c r="J337" i="3"/>
  <c r="J353" i="3"/>
  <c r="J30" i="3"/>
  <c r="C283" i="12"/>
  <c r="C285" i="1"/>
  <c r="C352" i="12"/>
  <c r="C354" i="1"/>
  <c r="J46" i="3"/>
  <c r="J189" i="3"/>
  <c r="J295" i="3"/>
  <c r="C106" i="12"/>
  <c r="C108" i="1"/>
  <c r="C119" i="12"/>
  <c r="C121" i="1"/>
  <c r="C183" i="12"/>
  <c r="C185" i="1"/>
  <c r="C199" i="12"/>
  <c r="C201" i="1"/>
  <c r="C238" i="12"/>
  <c r="C240" i="1"/>
  <c r="BJ355" i="12"/>
  <c r="BF355" i="12"/>
  <c r="AP355" i="12"/>
  <c r="AQ355" i="12" s="1"/>
  <c r="AR355" i="12" s="1"/>
  <c r="BD355" i="12"/>
  <c r="AM355" i="12"/>
  <c r="AN355" i="12" s="1"/>
  <c r="AO355" i="12" s="1"/>
  <c r="BH355" i="12"/>
  <c r="BB355" i="12"/>
  <c r="AX355" i="12"/>
  <c r="AV355" i="12"/>
  <c r="AJ355" i="12"/>
  <c r="AK355" i="12" s="1"/>
  <c r="AL355" i="12" s="1"/>
  <c r="AZ355" i="12"/>
  <c r="AS355" i="12"/>
  <c r="AT355" i="12" s="1"/>
  <c r="AU355" i="12" s="1"/>
  <c r="C122" i="12"/>
  <c r="C124" i="1"/>
  <c r="C218" i="12"/>
  <c r="C220" i="1"/>
  <c r="C280" i="12"/>
  <c r="C282" i="1"/>
  <c r="J231" i="3"/>
  <c r="C157" i="12"/>
  <c r="C159" i="1"/>
  <c r="C173" i="12"/>
  <c r="C175" i="1"/>
  <c r="C205" i="12"/>
  <c r="C207" i="1"/>
  <c r="J75" i="3"/>
  <c r="J114" i="3"/>
  <c r="J131" i="3"/>
  <c r="J148" i="3"/>
  <c r="J221" i="3"/>
  <c r="J262" i="3"/>
  <c r="V369" i="3"/>
  <c r="U371" i="3"/>
  <c r="J59" i="3"/>
  <c r="J163" i="3"/>
  <c r="J239" i="3"/>
  <c r="J286" i="3"/>
  <c r="J76" i="3"/>
  <c r="J115" i="3"/>
  <c r="J137" i="3"/>
  <c r="J180" i="3"/>
  <c r="J204" i="3"/>
  <c r="J304" i="3"/>
  <c r="J321" i="3"/>
  <c r="J8" i="3"/>
  <c r="J44" i="3"/>
  <c r="J71" i="3"/>
  <c r="J109" i="3"/>
  <c r="J142" i="3"/>
  <c r="J198" i="3"/>
  <c r="J268" i="3"/>
  <c r="J298" i="3"/>
  <c r="J118" i="3"/>
  <c r="C232" i="1"/>
  <c r="J126" i="3"/>
  <c r="J143" i="3"/>
  <c r="J210" i="3"/>
  <c r="J251" i="3"/>
  <c r="J269" i="3"/>
  <c r="J305" i="3"/>
  <c r="J211" i="3"/>
  <c r="J328" i="3"/>
  <c r="J34" i="3"/>
  <c r="J104" i="3"/>
  <c r="J144" i="3"/>
  <c r="J258" i="3"/>
  <c r="J299" i="3"/>
  <c r="J333" i="3"/>
  <c r="J25" i="3"/>
  <c r="J51" i="3"/>
  <c r="J166" i="3"/>
  <c r="J277" i="3"/>
  <c r="J317" i="3"/>
  <c r="M15" i="3"/>
  <c r="J146" i="3"/>
  <c r="J278" i="3"/>
  <c r="C151" i="12"/>
  <c r="C153" i="1"/>
  <c r="BB167" i="12"/>
  <c r="AJ167" i="12"/>
  <c r="AK167" i="12" s="1"/>
  <c r="AZ167" i="12"/>
  <c r="AX167" i="12"/>
  <c r="AV167" i="12"/>
  <c r="BJ167" i="12"/>
  <c r="AS167" i="12"/>
  <c r="AT167" i="12" s="1"/>
  <c r="AU167" i="12" s="1"/>
  <c r="BH167" i="12"/>
  <c r="BF167" i="12"/>
  <c r="BD167" i="12"/>
  <c r="AP167" i="12"/>
  <c r="AQ167" i="12" s="1"/>
  <c r="AR167" i="12" s="1"/>
  <c r="AM167" i="12"/>
  <c r="AN167" i="12" s="1"/>
  <c r="AO167" i="12" s="1"/>
  <c r="AX230" i="12"/>
  <c r="AP230" i="12"/>
  <c r="AQ230" i="12" s="1"/>
  <c r="AR230" i="12" s="1"/>
  <c r="BF230" i="12"/>
  <c r="BD230" i="12"/>
  <c r="AM230" i="12"/>
  <c r="AN230" i="12" s="1"/>
  <c r="AO230" i="12" s="1"/>
  <c r="BB230" i="12"/>
  <c r="AJ230" i="12"/>
  <c r="AK230" i="12" s="1"/>
  <c r="AL230" i="12" s="1"/>
  <c r="AZ230" i="12"/>
  <c r="AV230" i="12"/>
  <c r="BJ230" i="12"/>
  <c r="BH230" i="12"/>
  <c r="AS230" i="12"/>
  <c r="AT230" i="12" s="1"/>
  <c r="AU230" i="12" s="1"/>
  <c r="C246" i="12"/>
  <c r="C248" i="1"/>
  <c r="J260" i="3"/>
  <c r="BF35" i="12"/>
  <c r="AP35" i="12"/>
  <c r="AQ35" i="12" s="1"/>
  <c r="AR35" i="12" s="1"/>
  <c r="BH35" i="12"/>
  <c r="BD35" i="12"/>
  <c r="AM35" i="12"/>
  <c r="AN35" i="12" s="1"/>
  <c r="AO35" i="12" s="1"/>
  <c r="BB35" i="12"/>
  <c r="AJ35" i="12"/>
  <c r="AK35" i="12" s="1"/>
  <c r="AL35" i="12" s="1"/>
  <c r="AX35" i="12"/>
  <c r="AV35" i="12"/>
  <c r="BJ35" i="12"/>
  <c r="AZ35" i="12"/>
  <c r="AS35" i="12"/>
  <c r="AT35" i="12" s="1"/>
  <c r="AU35" i="12" s="1"/>
  <c r="C154" i="12"/>
  <c r="C156" i="1"/>
  <c r="C170" i="12"/>
  <c r="C172" i="1"/>
  <c r="C186" i="12"/>
  <c r="C188" i="1"/>
  <c r="C202" i="12"/>
  <c r="C204" i="1"/>
  <c r="J129" i="3"/>
  <c r="J242" i="3"/>
  <c r="J290" i="3"/>
  <c r="C96" i="12"/>
  <c r="C98" i="1"/>
  <c r="C141" i="12"/>
  <c r="C143" i="1"/>
  <c r="C223" i="1"/>
  <c r="C37" i="1"/>
  <c r="C169" i="1"/>
  <c r="J35" i="3"/>
  <c r="J50" i="3"/>
  <c r="J67" i="3"/>
  <c r="J78" i="3"/>
  <c r="J83" i="3"/>
  <c r="J89" i="3"/>
  <c r="J99" i="3"/>
  <c r="J105" i="3"/>
  <c r="J111" i="3"/>
  <c r="J138" i="3"/>
  <c r="J177" i="3"/>
  <c r="J264" i="3"/>
  <c r="J300" i="3"/>
  <c r="J188" i="3"/>
  <c r="C135" i="12"/>
  <c r="C137" i="1"/>
  <c r="C215" i="12"/>
  <c r="C217" i="1"/>
  <c r="C254" i="12"/>
  <c r="C256" i="1"/>
  <c r="C275" i="12"/>
  <c r="C277" i="1"/>
  <c r="C346" i="12"/>
  <c r="C348" i="1"/>
  <c r="J230" i="3"/>
  <c r="C138" i="12"/>
  <c r="C140" i="1"/>
  <c r="C267" i="12"/>
  <c r="C269" i="1"/>
  <c r="C338" i="12"/>
  <c r="C340" i="1"/>
  <c r="J41" i="3"/>
  <c r="J237" i="3"/>
  <c r="J248" i="3"/>
  <c r="J279" i="3"/>
  <c r="J296" i="3"/>
  <c r="C125" i="12"/>
  <c r="C127" i="1"/>
  <c r="C189" i="12"/>
  <c r="C191" i="1"/>
  <c r="BD221" i="12"/>
  <c r="AJ221" i="12"/>
  <c r="AK221" i="12" s="1"/>
  <c r="AZ221" i="12"/>
  <c r="AX221" i="12"/>
  <c r="AV221" i="12"/>
  <c r="BJ221" i="12"/>
  <c r="AS221" i="12"/>
  <c r="AT221" i="12" s="1"/>
  <c r="AU221" i="12" s="1"/>
  <c r="BH221" i="12"/>
  <c r="AM221" i="12"/>
  <c r="AN221" i="12" s="1"/>
  <c r="AO221" i="12" s="1"/>
  <c r="BF221" i="12"/>
  <c r="AP221" i="12"/>
  <c r="AQ221" i="12" s="1"/>
  <c r="AR221" i="12" s="1"/>
  <c r="BB221" i="12"/>
  <c r="J4" i="3"/>
  <c r="J84" i="3"/>
  <c r="J139" i="3"/>
  <c r="J206" i="3"/>
  <c r="J193" i="3"/>
  <c r="J274" i="3"/>
  <c r="J335" i="3"/>
  <c r="J340" i="3"/>
  <c r="H11" i="2"/>
  <c r="J93" i="3"/>
  <c r="J122" i="3"/>
  <c r="J156" i="3"/>
  <c r="J322" i="3"/>
  <c r="J344" i="3"/>
  <c r="E359" i="1"/>
  <c r="J287" i="3"/>
  <c r="J320" i="3"/>
  <c r="J213" i="3"/>
  <c r="J12" i="3"/>
  <c r="J27" i="3"/>
  <c r="J31" i="3"/>
  <c r="J223" i="3"/>
  <c r="J348" i="3"/>
  <c r="J68" i="3"/>
  <c r="J110" i="3"/>
  <c r="J145" i="3"/>
  <c r="J152" i="3"/>
  <c r="J199" i="3"/>
  <c r="J235" i="3"/>
  <c r="J283" i="3"/>
  <c r="J327" i="3"/>
  <c r="J336" i="3"/>
  <c r="J43" i="3"/>
  <c r="J106" i="3"/>
  <c r="J136" i="3"/>
  <c r="J185" i="3"/>
  <c r="J207" i="3"/>
  <c r="J313" i="3"/>
  <c r="J354" i="3"/>
  <c r="J9" i="3"/>
  <c r="J208" i="3"/>
  <c r="J232" i="3"/>
  <c r="J240" i="3"/>
  <c r="J252" i="3"/>
  <c r="J265" i="3"/>
  <c r="J270" i="3"/>
  <c r="J288" i="3"/>
  <c r="J292" i="3"/>
  <c r="J301" i="3"/>
  <c r="J323" i="3"/>
  <c r="J341" i="3"/>
  <c r="J349" i="3"/>
  <c r="J77" i="3"/>
  <c r="J86" i="3"/>
  <c r="J94" i="3"/>
  <c r="J98" i="3"/>
  <c r="J128" i="3"/>
  <c r="J165" i="3"/>
  <c r="J190" i="3"/>
  <c r="J203" i="3"/>
  <c r="J216" i="3"/>
  <c r="J220" i="3"/>
  <c r="J224" i="3"/>
  <c r="J228" i="3"/>
  <c r="J236" i="3"/>
  <c r="J318" i="3"/>
  <c r="J332" i="3"/>
  <c r="J345" i="3"/>
  <c r="J186" i="3"/>
  <c r="J245" i="3"/>
  <c r="J276" i="3"/>
  <c r="J284" i="3"/>
  <c r="J306" i="3"/>
  <c r="J310" i="3"/>
  <c r="J319" i="3"/>
  <c r="J6" i="3"/>
  <c r="J158" i="3"/>
  <c r="J195" i="3"/>
  <c r="J212" i="3"/>
  <c r="J241" i="3"/>
  <c r="J253" i="3"/>
  <c r="J289" i="3"/>
  <c r="J293" i="3"/>
  <c r="J297" i="3"/>
  <c r="J324" i="3"/>
  <c r="J342" i="3"/>
  <c r="R10" i="2"/>
  <c r="J48" i="3"/>
  <c r="J57" i="3"/>
  <c r="J120" i="3"/>
  <c r="J182" i="3"/>
  <c r="J225" i="3"/>
  <c r="J229" i="3"/>
  <c r="J266" i="3"/>
  <c r="J271" i="3"/>
  <c r="J302" i="3"/>
  <c r="J350" i="3"/>
  <c r="J355" i="3"/>
  <c r="E357" i="12"/>
  <c r="C35" i="7"/>
  <c r="J29" i="3"/>
  <c r="J53" i="3"/>
  <c r="J87" i="3"/>
  <c r="J95" i="3"/>
  <c r="J103" i="3"/>
  <c r="J150" i="3"/>
  <c r="J249" i="3"/>
  <c r="J267" i="3"/>
  <c r="J356" i="3"/>
  <c r="J113" i="3"/>
  <c r="BH25" i="12"/>
  <c r="AZ25" i="12"/>
  <c r="AX25" i="12"/>
  <c r="AV25" i="12"/>
  <c r="BJ25" i="12"/>
  <c r="AM25" i="12"/>
  <c r="AN25" i="12" s="1"/>
  <c r="AO25" i="12" s="1"/>
  <c r="BF25" i="12"/>
  <c r="AJ25" i="12"/>
  <c r="AK25" i="12" s="1"/>
  <c r="AL25" i="12" s="1"/>
  <c r="BD25" i="12"/>
  <c r="AS25" i="12"/>
  <c r="AT25" i="12" s="1"/>
  <c r="AU25" i="12" s="1"/>
  <c r="BB25" i="12"/>
  <c r="AP25" i="12"/>
  <c r="AQ25" i="12" s="1"/>
  <c r="AR25" i="12" s="1"/>
  <c r="AX5" i="12"/>
  <c r="AV5" i="12"/>
  <c r="BJ5" i="12"/>
  <c r="AS5" i="12"/>
  <c r="AT5" i="12" s="1"/>
  <c r="AU5" i="12" s="1"/>
  <c r="BH5" i="12"/>
  <c r="BF5" i="12"/>
  <c r="AP5" i="12"/>
  <c r="AQ5" i="12" s="1"/>
  <c r="AR5" i="12" s="1"/>
  <c r="BB5" i="12"/>
  <c r="AZ5" i="12"/>
  <c r="AM5" i="12"/>
  <c r="AN5" i="12" s="1"/>
  <c r="AO5" i="12" s="1"/>
  <c r="AJ5" i="12"/>
  <c r="AK5" i="12" s="1"/>
  <c r="AL5" i="12" s="1"/>
  <c r="BD5" i="12"/>
  <c r="BH15" i="12"/>
  <c r="AV15" i="12"/>
  <c r="BJ15" i="12"/>
  <c r="AS15" i="12"/>
  <c r="AT15" i="12" s="1"/>
  <c r="AU15" i="12" s="1"/>
  <c r="AP15" i="12"/>
  <c r="AQ15" i="12" s="1"/>
  <c r="AR15" i="12" s="1"/>
  <c r="BF15" i="12"/>
  <c r="BD15" i="12"/>
  <c r="AM15" i="12"/>
  <c r="AN15" i="12" s="1"/>
  <c r="AO15" i="12" s="1"/>
  <c r="BB15" i="12"/>
  <c r="AZ15" i="12"/>
  <c r="AX15" i="12"/>
  <c r="AJ15" i="12"/>
  <c r="AK15" i="12" s="1"/>
  <c r="AL15" i="12" s="1"/>
  <c r="BD8" i="12"/>
  <c r="AM8" i="12"/>
  <c r="AN8" i="12" s="1"/>
  <c r="AO8" i="12" s="1"/>
  <c r="BB8" i="12"/>
  <c r="AJ8" i="12"/>
  <c r="AK8" i="12" s="1"/>
  <c r="AL8" i="12" s="1"/>
  <c r="AZ8" i="12"/>
  <c r="AX8" i="12"/>
  <c r="BJ8" i="12"/>
  <c r="AS8" i="12"/>
  <c r="AT8" i="12" s="1"/>
  <c r="AU8" i="12" s="1"/>
  <c r="AP8" i="12"/>
  <c r="AQ8" i="12" s="1"/>
  <c r="AR8" i="12" s="1"/>
  <c r="BH8" i="12"/>
  <c r="BF8" i="12"/>
  <c r="AV8" i="12"/>
  <c r="AS18" i="12"/>
  <c r="AT18" i="12" s="1"/>
  <c r="AU18" i="12" s="1"/>
  <c r="BJ18" i="12"/>
  <c r="BH18" i="12"/>
  <c r="AP18" i="12"/>
  <c r="AQ18" i="12" s="1"/>
  <c r="AR18" i="12" s="1"/>
  <c r="BF18" i="12"/>
  <c r="BD18" i="12"/>
  <c r="AM18" i="12"/>
  <c r="AN18" i="12" s="1"/>
  <c r="AO18" i="12" s="1"/>
  <c r="BB18" i="12"/>
  <c r="AZ18" i="12"/>
  <c r="AX18" i="12"/>
  <c r="AV18" i="12"/>
  <c r="AJ18" i="12"/>
  <c r="AK18" i="12" s="1"/>
  <c r="AL18" i="12" s="1"/>
  <c r="D370" i="12"/>
  <c r="D369" i="12"/>
  <c r="D368" i="12"/>
  <c r="D367" i="12"/>
  <c r="AZ79" i="12"/>
  <c r="AJ79" i="12"/>
  <c r="AK79" i="12" s="1"/>
  <c r="AX79" i="12"/>
  <c r="BB79" i="12"/>
  <c r="AV79" i="12"/>
  <c r="AS79" i="12"/>
  <c r="AT79" i="12" s="1"/>
  <c r="AU79" i="12" s="1"/>
  <c r="BJ79" i="12"/>
  <c r="BH79" i="12"/>
  <c r="BD79" i="12"/>
  <c r="AP79" i="12"/>
  <c r="AQ79" i="12" s="1"/>
  <c r="AR79" i="12" s="1"/>
  <c r="AM79" i="12"/>
  <c r="AN79" i="12" s="1"/>
  <c r="AO79" i="12" s="1"/>
  <c r="BF79" i="12"/>
  <c r="C39" i="8"/>
  <c r="J219" i="3"/>
  <c r="J257" i="3"/>
  <c r="J314" i="3"/>
  <c r="J326" i="3"/>
  <c r="T369" i="3"/>
  <c r="T371" i="3" s="1"/>
  <c r="T372" i="3" s="1"/>
  <c r="J97" i="3"/>
  <c r="J261" i="3"/>
  <c r="J330" i="3"/>
  <c r="J338" i="3"/>
  <c r="BJ31" i="12"/>
  <c r="AS31" i="12"/>
  <c r="AT31" i="12" s="1"/>
  <c r="AU31" i="12" s="1"/>
  <c r="BH31" i="12"/>
  <c r="AP31" i="12"/>
  <c r="AQ31" i="12" s="1"/>
  <c r="AR31" i="12" s="1"/>
  <c r="BF31" i="12"/>
  <c r="BD31" i="12"/>
  <c r="AM31" i="12"/>
  <c r="AN31" i="12" s="1"/>
  <c r="AO31" i="12" s="1"/>
  <c r="AJ31" i="12"/>
  <c r="AK31" i="12" s="1"/>
  <c r="AL31" i="12" s="1"/>
  <c r="AZ31" i="12"/>
  <c r="AV31" i="12"/>
  <c r="AX31" i="12"/>
  <c r="BB31" i="12"/>
  <c r="BB99" i="12"/>
  <c r="AJ99" i="12"/>
  <c r="AK99" i="12" s="1"/>
  <c r="AL99" i="12" s="1"/>
  <c r="AZ99" i="12"/>
  <c r="AX99" i="12"/>
  <c r="AV99" i="12"/>
  <c r="BJ99" i="12"/>
  <c r="AS99" i="12"/>
  <c r="AT99" i="12" s="1"/>
  <c r="AU99" i="12" s="1"/>
  <c r="BH99" i="12"/>
  <c r="AP99" i="12"/>
  <c r="AQ99" i="12" s="1"/>
  <c r="AR99" i="12" s="1"/>
  <c r="AM99" i="12"/>
  <c r="AN99" i="12" s="1"/>
  <c r="AO99" i="12" s="1"/>
  <c r="BF99" i="12"/>
  <c r="BD99" i="12"/>
  <c r="AV333" i="12"/>
  <c r="AS333" i="12"/>
  <c r="AT333" i="12" s="1"/>
  <c r="AU333" i="12" s="1"/>
  <c r="BH333" i="12"/>
  <c r="BF333" i="12"/>
  <c r="BJ333" i="12"/>
  <c r="AJ333" i="12"/>
  <c r="AK333" i="12" s="1"/>
  <c r="BD333" i="12"/>
  <c r="BB333" i="12"/>
  <c r="AZ333" i="12"/>
  <c r="AX333" i="12"/>
  <c r="AP333" i="12"/>
  <c r="AQ333" i="12" s="1"/>
  <c r="AR333" i="12" s="1"/>
  <c r="AM333" i="12"/>
  <c r="AN333" i="12" s="1"/>
  <c r="AO333" i="12" s="1"/>
  <c r="C23" i="8"/>
  <c r="BD4" i="12"/>
  <c r="AM4" i="12"/>
  <c r="AN4" i="12" s="1"/>
  <c r="AO4" i="12" s="1"/>
  <c r="BB4" i="12"/>
  <c r="AZ4" i="12"/>
  <c r="AJ4" i="12"/>
  <c r="AK4" i="12" s="1"/>
  <c r="AL4" i="12" s="1"/>
  <c r="AX4" i="12"/>
  <c r="BJ4" i="12"/>
  <c r="AP4" i="12"/>
  <c r="AQ4" i="12" s="1"/>
  <c r="AR4" i="12" s="1"/>
  <c r="BH4" i="12"/>
  <c r="BF4" i="12"/>
  <c r="AV4" i="12"/>
  <c r="AS4" i="12"/>
  <c r="AT4" i="12" s="1"/>
  <c r="AU4" i="12" s="1"/>
  <c r="AX14" i="12"/>
  <c r="AV14" i="12"/>
  <c r="BJ14" i="12"/>
  <c r="AS14" i="12"/>
  <c r="AT14" i="12" s="1"/>
  <c r="AU14" i="12" s="1"/>
  <c r="BH14" i="12"/>
  <c r="AP14" i="12"/>
  <c r="AQ14" i="12" s="1"/>
  <c r="AR14" i="12" s="1"/>
  <c r="BD14" i="12"/>
  <c r="AM14" i="12"/>
  <c r="AN14" i="12" s="1"/>
  <c r="AO14" i="12" s="1"/>
  <c r="BB14" i="12"/>
  <c r="AZ14" i="12"/>
  <c r="AJ14" i="12"/>
  <c r="AK14" i="12" s="1"/>
  <c r="AL14" i="12" s="1"/>
  <c r="BF14" i="12"/>
  <c r="AJ24" i="12"/>
  <c r="AK24" i="12" s="1"/>
  <c r="AL24" i="12" s="1"/>
  <c r="AZ24" i="12"/>
  <c r="AV24" i="12"/>
  <c r="BH24" i="12"/>
  <c r="BF24" i="12"/>
  <c r="BD24" i="12"/>
  <c r="BB24" i="12"/>
  <c r="AX24" i="12"/>
  <c r="AS24" i="12"/>
  <c r="AT24" i="12" s="1"/>
  <c r="AU24" i="12" s="1"/>
  <c r="AP24" i="12"/>
  <c r="AQ24" i="12" s="1"/>
  <c r="AR24" i="12" s="1"/>
  <c r="AM24" i="12"/>
  <c r="AN24" i="12" s="1"/>
  <c r="AO24" i="12" s="1"/>
  <c r="BJ24" i="12"/>
  <c r="AZ63" i="12"/>
  <c r="AJ63" i="12"/>
  <c r="AK63" i="12" s="1"/>
  <c r="BF63" i="12"/>
  <c r="BD63" i="12"/>
  <c r="AM63" i="12"/>
  <c r="AN63" i="12" s="1"/>
  <c r="AO63" i="12" s="1"/>
  <c r="BB63" i="12"/>
  <c r="AX63" i="12"/>
  <c r="AV63" i="12"/>
  <c r="BJ63" i="12"/>
  <c r="BH63" i="12"/>
  <c r="AS63" i="12"/>
  <c r="AT63" i="12" s="1"/>
  <c r="AU63" i="12" s="1"/>
  <c r="AP63" i="12"/>
  <c r="AQ63" i="12" s="1"/>
  <c r="AR63" i="12" s="1"/>
  <c r="BJ89" i="12"/>
  <c r="AS89" i="12"/>
  <c r="AT89" i="12" s="1"/>
  <c r="AU89" i="12" s="1"/>
  <c r="BH89" i="12"/>
  <c r="AP89" i="12"/>
  <c r="AQ89" i="12" s="1"/>
  <c r="AR89" i="12" s="1"/>
  <c r="BF89" i="12"/>
  <c r="BB89" i="12"/>
  <c r="AJ89" i="12"/>
  <c r="AK89" i="12" s="1"/>
  <c r="AX89" i="12"/>
  <c r="AV89" i="12"/>
  <c r="AM89" i="12"/>
  <c r="AN89" i="12" s="1"/>
  <c r="AO89" i="12" s="1"/>
  <c r="BD89" i="12"/>
  <c r="AZ89" i="12"/>
  <c r="BB69" i="12"/>
  <c r="AZ69" i="12"/>
  <c r="AX69" i="12"/>
  <c r="AV69" i="12"/>
  <c r="BJ69" i="12"/>
  <c r="AS69" i="12"/>
  <c r="AT69" i="12" s="1"/>
  <c r="AU69" i="12" s="1"/>
  <c r="BH69" i="12"/>
  <c r="AP69" i="12"/>
  <c r="AQ69" i="12" s="1"/>
  <c r="AR69" i="12" s="1"/>
  <c r="BF69" i="12"/>
  <c r="AM69" i="12"/>
  <c r="AN69" i="12" s="1"/>
  <c r="AO69" i="12" s="1"/>
  <c r="AJ69" i="12"/>
  <c r="AK69" i="12" s="1"/>
  <c r="BD69" i="12"/>
  <c r="BB82" i="12"/>
  <c r="BD82" i="12"/>
  <c r="AM82" i="12"/>
  <c r="AN82" i="12" s="1"/>
  <c r="AO82" i="12" s="1"/>
  <c r="AJ82" i="12"/>
  <c r="AK82" i="12" s="1"/>
  <c r="AZ82" i="12"/>
  <c r="AX82" i="12"/>
  <c r="BJ82" i="12"/>
  <c r="AS82" i="12"/>
  <c r="AT82" i="12" s="1"/>
  <c r="AU82" i="12" s="1"/>
  <c r="BH82" i="12"/>
  <c r="BF82" i="12"/>
  <c r="AV82" i="12"/>
  <c r="AP82" i="12"/>
  <c r="AQ82" i="12" s="1"/>
  <c r="AR82" i="12" s="1"/>
  <c r="BB330" i="12"/>
  <c r="AJ330" i="12"/>
  <c r="AK330" i="12" s="1"/>
  <c r="AZ330" i="12"/>
  <c r="AV330" i="12"/>
  <c r="AS330" i="12"/>
  <c r="AT330" i="12" s="1"/>
  <c r="AU330" i="12" s="1"/>
  <c r="BJ330" i="12"/>
  <c r="BH330" i="12"/>
  <c r="BF330" i="12"/>
  <c r="BD330" i="12"/>
  <c r="AX330" i="12"/>
  <c r="AP330" i="12"/>
  <c r="AQ330" i="12" s="1"/>
  <c r="AR330" i="12" s="1"/>
  <c r="AM330" i="12"/>
  <c r="AN330" i="12" s="1"/>
  <c r="AO330" i="12" s="1"/>
  <c r="C5" i="7"/>
  <c r="C6" i="7" s="1"/>
  <c r="C9" i="7"/>
  <c r="BH20" i="12"/>
  <c r="AP20" i="12"/>
  <c r="AQ20" i="12" s="1"/>
  <c r="AR20" i="12" s="1"/>
  <c r="BF20" i="12"/>
  <c r="AM20" i="12"/>
  <c r="AN20" i="12" s="1"/>
  <c r="AO20" i="12" s="1"/>
  <c r="BD20" i="12"/>
  <c r="BB20" i="12"/>
  <c r="AJ20" i="12"/>
  <c r="AK20" i="12" s="1"/>
  <c r="AL20" i="12" s="1"/>
  <c r="AX20" i="12"/>
  <c r="AV20" i="12"/>
  <c r="BJ20" i="12"/>
  <c r="AZ20" i="12"/>
  <c r="AS20" i="12"/>
  <c r="AT20" i="12" s="1"/>
  <c r="AU20" i="12" s="1"/>
  <c r="BJ30" i="12"/>
  <c r="AS30" i="12"/>
  <c r="AT30" i="12" s="1"/>
  <c r="AU30" i="12" s="1"/>
  <c r="BH30" i="12"/>
  <c r="AP30" i="12"/>
  <c r="AQ30" i="12" s="1"/>
  <c r="AR30" i="12" s="1"/>
  <c r="BF30" i="12"/>
  <c r="BB30" i="12"/>
  <c r="AJ30" i="12"/>
  <c r="AK30" i="12" s="1"/>
  <c r="AL30" i="12" s="1"/>
  <c r="AZ30" i="12"/>
  <c r="BD30" i="12"/>
  <c r="AX30" i="12"/>
  <c r="AV30" i="12"/>
  <c r="AM30" i="12"/>
  <c r="AN30" i="12" s="1"/>
  <c r="AO30" i="12" s="1"/>
  <c r="BD43" i="12"/>
  <c r="AJ43" i="12"/>
  <c r="AK43" i="12" s="1"/>
  <c r="AL43" i="12" s="1"/>
  <c r="AZ43" i="12"/>
  <c r="AX43" i="12"/>
  <c r="AV43" i="12"/>
  <c r="BH43" i="12"/>
  <c r="AP43" i="12"/>
  <c r="AQ43" i="12" s="1"/>
  <c r="AR43" i="12" s="1"/>
  <c r="BB43" i="12"/>
  <c r="AS43" i="12"/>
  <c r="AT43" i="12" s="1"/>
  <c r="AU43" i="12" s="1"/>
  <c r="AM43" i="12"/>
  <c r="AN43" i="12" s="1"/>
  <c r="AO43" i="12" s="1"/>
  <c r="BJ43" i="12"/>
  <c r="BF43" i="12"/>
  <c r="BD59" i="12"/>
  <c r="BH59" i="12"/>
  <c r="AP59" i="12"/>
  <c r="AQ59" i="12" s="1"/>
  <c r="AR59" i="12" s="1"/>
  <c r="BF59" i="12"/>
  <c r="AM59" i="12"/>
  <c r="AN59" i="12" s="1"/>
  <c r="AO59" i="12" s="1"/>
  <c r="BB59" i="12"/>
  <c r="AJ59" i="12"/>
  <c r="AK59" i="12" s="1"/>
  <c r="AX59" i="12"/>
  <c r="BJ59" i="12"/>
  <c r="AV59" i="12"/>
  <c r="AZ59" i="12"/>
  <c r="AS59" i="12"/>
  <c r="AT59" i="12" s="1"/>
  <c r="AU59" i="12" s="1"/>
  <c r="C32" i="8"/>
  <c r="AP62" i="12"/>
  <c r="AQ62" i="12" s="1"/>
  <c r="AR62" i="12" s="1"/>
  <c r="BF62" i="12"/>
  <c r="BD62" i="12"/>
  <c r="AM62" i="12"/>
  <c r="AN62" i="12" s="1"/>
  <c r="AO62" i="12" s="1"/>
  <c r="BB62" i="12"/>
  <c r="AJ62" i="12"/>
  <c r="AK62" i="12" s="1"/>
  <c r="AZ62" i="12"/>
  <c r="AV62" i="12"/>
  <c r="BJ62" i="12"/>
  <c r="BH62" i="12"/>
  <c r="AX62" i="12"/>
  <c r="AS62" i="12"/>
  <c r="AT62" i="12" s="1"/>
  <c r="AU62" i="12" s="1"/>
  <c r="AM72" i="12"/>
  <c r="AN72" i="12" s="1"/>
  <c r="AO72" i="12" s="1"/>
  <c r="AV72" i="12"/>
  <c r="BJ72" i="12"/>
  <c r="AS72" i="12"/>
  <c r="AT72" i="12" s="1"/>
  <c r="AU72" i="12" s="1"/>
  <c r="BH72" i="12"/>
  <c r="AP72" i="12"/>
  <c r="AQ72" i="12" s="1"/>
  <c r="AR72" i="12" s="1"/>
  <c r="BF72" i="12"/>
  <c r="BD72" i="12"/>
  <c r="BB72" i="12"/>
  <c r="AZ72" i="12"/>
  <c r="AX72" i="12"/>
  <c r="AJ72" i="12"/>
  <c r="AK72" i="12" s="1"/>
  <c r="BH302" i="12"/>
  <c r="BJ302" i="12"/>
  <c r="AP302" i="12"/>
  <c r="AQ302" i="12" s="1"/>
  <c r="AR302" i="12" s="1"/>
  <c r="BF302" i="12"/>
  <c r="BD302" i="12"/>
  <c r="AJ302" i="12"/>
  <c r="AK302" i="12" s="1"/>
  <c r="BB302" i="12"/>
  <c r="AZ302" i="12"/>
  <c r="AX302" i="12"/>
  <c r="AV302" i="12"/>
  <c r="AS302" i="12"/>
  <c r="AT302" i="12" s="1"/>
  <c r="AU302" i="12" s="1"/>
  <c r="AM302" i="12"/>
  <c r="AN302" i="12" s="1"/>
  <c r="AO302" i="12" s="1"/>
  <c r="BH307" i="12"/>
  <c r="AV307" i="12"/>
  <c r="AS307" i="12"/>
  <c r="AT307" i="12" s="1"/>
  <c r="AU307" i="12" s="1"/>
  <c r="BJ307" i="12"/>
  <c r="AP307" i="12"/>
  <c r="AQ307" i="12" s="1"/>
  <c r="AR307" i="12" s="1"/>
  <c r="BF307" i="12"/>
  <c r="AM307" i="12"/>
  <c r="AN307" i="12" s="1"/>
  <c r="AO307" i="12" s="1"/>
  <c r="BD307" i="12"/>
  <c r="AJ307" i="12"/>
  <c r="AK307" i="12" s="1"/>
  <c r="BB307" i="12"/>
  <c r="AZ307" i="12"/>
  <c r="AX307" i="12"/>
  <c r="AS3" i="12"/>
  <c r="AT3" i="12" s="1"/>
  <c r="AU3" i="12" s="1"/>
  <c r="BH3" i="12"/>
  <c r="BF3" i="12"/>
  <c r="AP3" i="12"/>
  <c r="AQ3" i="12" s="1"/>
  <c r="AR3" i="12" s="1"/>
  <c r="BD3" i="12"/>
  <c r="AM3" i="12"/>
  <c r="AN3" i="12" s="1"/>
  <c r="AO3" i="12" s="1"/>
  <c r="BB3" i="12"/>
  <c r="AZ3" i="12"/>
  <c r="AJ3" i="12"/>
  <c r="AK3" i="12" s="1"/>
  <c r="AL3" i="12" s="1"/>
  <c r="BJ3" i="12"/>
  <c r="AX3" i="12"/>
  <c r="AV3" i="12"/>
  <c r="BB23" i="12"/>
  <c r="AJ23" i="12"/>
  <c r="AK23" i="12" s="1"/>
  <c r="AL23" i="12" s="1"/>
  <c r="AX23" i="12"/>
  <c r="BJ23" i="12"/>
  <c r="BH23" i="12"/>
  <c r="AM23" i="12"/>
  <c r="AN23" i="12" s="1"/>
  <c r="AO23" i="12" s="1"/>
  <c r="BF23" i="12"/>
  <c r="BD23" i="12"/>
  <c r="AZ23" i="12"/>
  <c r="AV23" i="12"/>
  <c r="AS23" i="12"/>
  <c r="AT23" i="12" s="1"/>
  <c r="AU23" i="12" s="1"/>
  <c r="AP23" i="12"/>
  <c r="AQ23" i="12" s="1"/>
  <c r="AR23" i="12" s="1"/>
  <c r="BF36" i="12"/>
  <c r="BD36" i="12"/>
  <c r="AM36" i="12"/>
  <c r="AN36" i="12" s="1"/>
  <c r="AO36" i="12" s="1"/>
  <c r="BB36" i="12"/>
  <c r="AJ36" i="12"/>
  <c r="AK36" i="12" s="1"/>
  <c r="AL36" i="12" s="1"/>
  <c r="AZ36" i="12"/>
  <c r="AV36" i="12"/>
  <c r="BJ36" i="12"/>
  <c r="BH36" i="12"/>
  <c r="AX36" i="12"/>
  <c r="AS36" i="12"/>
  <c r="AT36" i="12" s="1"/>
  <c r="AU36" i="12" s="1"/>
  <c r="AP36" i="12"/>
  <c r="AQ36" i="12" s="1"/>
  <c r="AR36" i="12" s="1"/>
  <c r="BF289" i="12"/>
  <c r="AP289" i="12"/>
  <c r="AQ289" i="12" s="1"/>
  <c r="AR289" i="12" s="1"/>
  <c r="AS289" i="12"/>
  <c r="AT289" i="12" s="1"/>
  <c r="AU289" i="12" s="1"/>
  <c r="BH289" i="12"/>
  <c r="AM289" i="12"/>
  <c r="AN289" i="12" s="1"/>
  <c r="AO289" i="12" s="1"/>
  <c r="BJ289" i="12"/>
  <c r="BB289" i="12"/>
  <c r="AZ289" i="12"/>
  <c r="AX289" i="12"/>
  <c r="AV289" i="12"/>
  <c r="BD289" i="12"/>
  <c r="AJ289" i="12"/>
  <c r="AK289" i="12" s="1"/>
  <c r="AZ294" i="12"/>
  <c r="AJ294" i="12"/>
  <c r="AK294" i="12" s="1"/>
  <c r="AP294" i="12"/>
  <c r="AQ294" i="12" s="1"/>
  <c r="AR294" i="12" s="1"/>
  <c r="BD294" i="12"/>
  <c r="BB294" i="12"/>
  <c r="AX294" i="12"/>
  <c r="AV294" i="12"/>
  <c r="AS294" i="12"/>
  <c r="AT294" i="12" s="1"/>
  <c r="AU294" i="12" s="1"/>
  <c r="AM294" i="12"/>
  <c r="AN294" i="12" s="1"/>
  <c r="AO294" i="12" s="1"/>
  <c r="BJ294" i="12"/>
  <c r="BH294" i="12"/>
  <c r="BF294" i="12"/>
  <c r="AV327" i="12"/>
  <c r="BB327" i="12"/>
  <c r="AS327" i="12"/>
  <c r="AT327" i="12" s="1"/>
  <c r="AU327" i="12" s="1"/>
  <c r="BJ327" i="12"/>
  <c r="BF327" i="12"/>
  <c r="AM327" i="12"/>
  <c r="AN327" i="12" s="1"/>
  <c r="AO327" i="12" s="1"/>
  <c r="BD327" i="12"/>
  <c r="AZ327" i="12"/>
  <c r="AP327" i="12"/>
  <c r="AQ327" i="12" s="1"/>
  <c r="AR327" i="12" s="1"/>
  <c r="AJ327" i="12"/>
  <c r="AK327" i="12" s="1"/>
  <c r="BH327" i="12"/>
  <c r="AX327" i="12"/>
  <c r="BJ6" i="12"/>
  <c r="AS6" i="12"/>
  <c r="AT6" i="12" s="1"/>
  <c r="AU6" i="12" s="1"/>
  <c r="BH6" i="12"/>
  <c r="BF6" i="12"/>
  <c r="AP6" i="12"/>
  <c r="AQ6" i="12" s="1"/>
  <c r="AR6" i="12" s="1"/>
  <c r="BD6" i="12"/>
  <c r="AM6" i="12"/>
  <c r="AN6" i="12" s="1"/>
  <c r="AO6" i="12" s="1"/>
  <c r="AZ6" i="12"/>
  <c r="AJ6" i="12"/>
  <c r="AK6" i="12" s="1"/>
  <c r="AL6" i="12" s="1"/>
  <c r="BB6" i="12"/>
  <c r="AX6" i="12"/>
  <c r="AV6" i="12"/>
  <c r="AM26" i="12"/>
  <c r="AN26" i="12" s="1"/>
  <c r="AO26" i="12" s="1"/>
  <c r="AX26" i="12"/>
  <c r="AV26" i="12"/>
  <c r="BJ26" i="12"/>
  <c r="AS26" i="12"/>
  <c r="AT26" i="12" s="1"/>
  <c r="AU26" i="12" s="1"/>
  <c r="AP26" i="12"/>
  <c r="AQ26" i="12" s="1"/>
  <c r="AR26" i="12" s="1"/>
  <c r="AJ26" i="12"/>
  <c r="AK26" i="12" s="1"/>
  <c r="AL26" i="12" s="1"/>
  <c r="BH26" i="12"/>
  <c r="BF26" i="12"/>
  <c r="BD26" i="12"/>
  <c r="BB26" i="12"/>
  <c r="AZ26" i="12"/>
  <c r="AZ52" i="12"/>
  <c r="AX52" i="12"/>
  <c r="AV52" i="12"/>
  <c r="BJ52" i="12"/>
  <c r="AS52" i="12"/>
  <c r="AT52" i="12" s="1"/>
  <c r="AU52" i="12" s="1"/>
  <c r="BH52" i="12"/>
  <c r="AP52" i="12"/>
  <c r="AQ52" i="12" s="1"/>
  <c r="AR52" i="12" s="1"/>
  <c r="BF52" i="12"/>
  <c r="BD52" i="12"/>
  <c r="BB52" i="12"/>
  <c r="AM52" i="12"/>
  <c r="AN52" i="12" s="1"/>
  <c r="AO52" i="12" s="1"/>
  <c r="AJ52" i="12"/>
  <c r="AK52" i="12" s="1"/>
  <c r="BJ299" i="12"/>
  <c r="AS299" i="12"/>
  <c r="AT299" i="12" s="1"/>
  <c r="AU299" i="12" s="1"/>
  <c r="BH299" i="12"/>
  <c r="AP299" i="12"/>
  <c r="AQ299" i="12" s="1"/>
  <c r="AR299" i="12" s="1"/>
  <c r="BF299" i="12"/>
  <c r="BD299" i="12"/>
  <c r="AM299" i="12"/>
  <c r="AN299" i="12" s="1"/>
  <c r="AO299" i="12" s="1"/>
  <c r="BB299" i="12"/>
  <c r="AJ299" i="12"/>
  <c r="AK299" i="12" s="1"/>
  <c r="AV299" i="12"/>
  <c r="AX299" i="12"/>
  <c r="AZ299" i="12"/>
  <c r="AV314" i="12"/>
  <c r="BJ314" i="12"/>
  <c r="AS314" i="12"/>
  <c r="AT314" i="12" s="1"/>
  <c r="AU314" i="12" s="1"/>
  <c r="BH314" i="12"/>
  <c r="AP314" i="12"/>
  <c r="AQ314" i="12" s="1"/>
  <c r="AR314" i="12" s="1"/>
  <c r="BF314" i="12"/>
  <c r="BD314" i="12"/>
  <c r="AM314" i="12"/>
  <c r="AN314" i="12" s="1"/>
  <c r="AO314" i="12" s="1"/>
  <c r="AZ314" i="12"/>
  <c r="AX314" i="12"/>
  <c r="AJ314" i="12"/>
  <c r="AK314" i="12" s="1"/>
  <c r="BB314" i="12"/>
  <c r="AV319" i="12"/>
  <c r="AX319" i="12"/>
  <c r="AS319" i="12"/>
  <c r="AT319" i="12" s="1"/>
  <c r="AU319" i="12" s="1"/>
  <c r="BJ319" i="12"/>
  <c r="BH319" i="12"/>
  <c r="AP319" i="12"/>
  <c r="AQ319" i="12" s="1"/>
  <c r="AR319" i="12" s="1"/>
  <c r="BF319" i="12"/>
  <c r="AM319" i="12"/>
  <c r="AN319" i="12" s="1"/>
  <c r="AO319" i="12" s="1"/>
  <c r="BD319" i="12"/>
  <c r="BB319" i="12"/>
  <c r="AZ319" i="12"/>
  <c r="AJ319" i="12"/>
  <c r="AK319" i="12" s="1"/>
  <c r="AM16" i="12"/>
  <c r="AN16" i="12" s="1"/>
  <c r="AO16" i="12" s="1"/>
  <c r="BJ16" i="12"/>
  <c r="AS16" i="12"/>
  <c r="AT16" i="12" s="1"/>
  <c r="AU16" i="12" s="1"/>
  <c r="BH16" i="12"/>
  <c r="AP16" i="12"/>
  <c r="AQ16" i="12" s="1"/>
  <c r="AR16" i="12" s="1"/>
  <c r="BF16" i="12"/>
  <c r="BB16" i="12"/>
  <c r="AJ16" i="12"/>
  <c r="AK16" i="12" s="1"/>
  <c r="AL16" i="12" s="1"/>
  <c r="AV16" i="12"/>
  <c r="BD16" i="12"/>
  <c r="AZ16" i="12"/>
  <c r="AX16" i="12"/>
  <c r="C41" i="8"/>
  <c r="AS42" i="12"/>
  <c r="AT42" i="12" s="1"/>
  <c r="AU42" i="12" s="1"/>
  <c r="BB42" i="12"/>
  <c r="AX42" i="12"/>
  <c r="AV42" i="12"/>
  <c r="BJ42" i="12"/>
  <c r="BF42" i="12"/>
  <c r="AM42" i="12"/>
  <c r="AN42" i="12" s="1"/>
  <c r="AO42" i="12" s="1"/>
  <c r="BD42" i="12"/>
  <c r="BH42" i="12"/>
  <c r="AZ42" i="12"/>
  <c r="AP42" i="12"/>
  <c r="AQ42" i="12" s="1"/>
  <c r="AR42" i="12" s="1"/>
  <c r="AJ42" i="12"/>
  <c r="AK42" i="12" s="1"/>
  <c r="AL42" i="12" s="1"/>
  <c r="BF9" i="12"/>
  <c r="AP9" i="12"/>
  <c r="AQ9" i="12" s="1"/>
  <c r="AR9" i="12" s="1"/>
  <c r="BB9" i="12"/>
  <c r="AJ9" i="12"/>
  <c r="AK9" i="12" s="1"/>
  <c r="AL9" i="12" s="1"/>
  <c r="AZ9" i="12"/>
  <c r="AX9" i="12"/>
  <c r="AV9" i="12"/>
  <c r="BJ9" i="12"/>
  <c r="AS9" i="12"/>
  <c r="AT9" i="12" s="1"/>
  <c r="AU9" i="12" s="1"/>
  <c r="BH9" i="12"/>
  <c r="BD9" i="12"/>
  <c r="AM9" i="12"/>
  <c r="AN9" i="12" s="1"/>
  <c r="AO9" i="12" s="1"/>
  <c r="J309" i="3"/>
  <c r="BJ32" i="12"/>
  <c r="AS32" i="12"/>
  <c r="AT32" i="12" s="1"/>
  <c r="AU32" i="12" s="1"/>
  <c r="BH32" i="12"/>
  <c r="AP32" i="12"/>
  <c r="AQ32" i="12" s="1"/>
  <c r="AR32" i="12" s="1"/>
  <c r="BF32" i="12"/>
  <c r="BD32" i="12"/>
  <c r="AM32" i="12"/>
  <c r="AN32" i="12" s="1"/>
  <c r="AO32" i="12" s="1"/>
  <c r="AZ32" i="12"/>
  <c r="AX32" i="12"/>
  <c r="BB32" i="12"/>
  <c r="AV32" i="12"/>
  <c r="AJ32" i="12"/>
  <c r="AK32" i="12" s="1"/>
  <c r="AL32" i="12" s="1"/>
  <c r="BJ45" i="12"/>
  <c r="AZ45" i="12"/>
  <c r="BF45" i="12"/>
  <c r="AM45" i="12"/>
  <c r="AN45" i="12" s="1"/>
  <c r="AO45" i="12" s="1"/>
  <c r="BD45" i="12"/>
  <c r="BB45" i="12"/>
  <c r="AJ45" i="12"/>
  <c r="AK45" i="12" s="1"/>
  <c r="AL45" i="12" s="1"/>
  <c r="AV45" i="12"/>
  <c r="AS45" i="12"/>
  <c r="AT45" i="12" s="1"/>
  <c r="AU45" i="12" s="1"/>
  <c r="AP45" i="12"/>
  <c r="AQ45" i="12" s="1"/>
  <c r="AR45" i="12" s="1"/>
  <c r="BH45" i="12"/>
  <c r="AX45" i="12"/>
  <c r="C10" i="8"/>
  <c r="AS28" i="12"/>
  <c r="AT28" i="12" s="1"/>
  <c r="AU28" i="12" s="1"/>
  <c r="AV28" i="12"/>
  <c r="BJ28" i="12"/>
  <c r="BH28" i="12"/>
  <c r="AP28" i="12"/>
  <c r="AQ28" i="12" s="1"/>
  <c r="AR28" i="12" s="1"/>
  <c r="BF28" i="12"/>
  <c r="BB28" i="12"/>
  <c r="AJ28" i="12"/>
  <c r="AK28" i="12" s="1"/>
  <c r="AL28" i="12" s="1"/>
  <c r="BD28" i="12"/>
  <c r="AZ28" i="12"/>
  <c r="AX28" i="12"/>
  <c r="AM28" i="12"/>
  <c r="AN28" i="12" s="1"/>
  <c r="AO28" i="12" s="1"/>
  <c r="C37" i="8"/>
  <c r="BD38" i="12"/>
  <c r="AM38" i="12"/>
  <c r="AN38" i="12" s="1"/>
  <c r="AO38" i="12" s="1"/>
  <c r="BB38" i="12"/>
  <c r="AJ38" i="12"/>
  <c r="AK38" i="12" s="1"/>
  <c r="AL38" i="12" s="1"/>
  <c r="AZ38" i="12"/>
  <c r="AX38" i="12"/>
  <c r="BJ38" i="12"/>
  <c r="AS38" i="12"/>
  <c r="AT38" i="12" s="1"/>
  <c r="AU38" i="12" s="1"/>
  <c r="AV38" i="12"/>
  <c r="AP38" i="12"/>
  <c r="AQ38" i="12" s="1"/>
  <c r="AR38" i="12" s="1"/>
  <c r="BH38" i="12"/>
  <c r="BF38" i="12"/>
  <c r="BH55" i="12"/>
  <c r="AV55" i="12"/>
  <c r="BJ55" i="12"/>
  <c r="AS55" i="12"/>
  <c r="AT55" i="12" s="1"/>
  <c r="AU55" i="12" s="1"/>
  <c r="AP55" i="12"/>
  <c r="AQ55" i="12" s="1"/>
  <c r="AR55" i="12" s="1"/>
  <c r="BF55" i="12"/>
  <c r="BD55" i="12"/>
  <c r="AM55" i="12"/>
  <c r="AN55" i="12" s="1"/>
  <c r="AO55" i="12" s="1"/>
  <c r="BB55" i="12"/>
  <c r="AZ55" i="12"/>
  <c r="AJ55" i="12"/>
  <c r="AK55" i="12" s="1"/>
  <c r="AX55" i="12"/>
  <c r="BF65" i="12"/>
  <c r="AP65" i="12"/>
  <c r="AQ65" i="12" s="1"/>
  <c r="AR65" i="12" s="1"/>
  <c r="BD65" i="12"/>
  <c r="AM65" i="12"/>
  <c r="AN65" i="12" s="1"/>
  <c r="AO65" i="12" s="1"/>
  <c r="BB65" i="12"/>
  <c r="AJ65" i="12"/>
  <c r="AK65" i="12" s="1"/>
  <c r="AZ65" i="12"/>
  <c r="AX65" i="12"/>
  <c r="AV65" i="12"/>
  <c r="AS65" i="12"/>
  <c r="AT65" i="12" s="1"/>
  <c r="AU65" i="12" s="1"/>
  <c r="BJ65" i="12"/>
  <c r="BH65" i="12"/>
  <c r="BD102" i="12"/>
  <c r="AZ102" i="12"/>
  <c r="AX102" i="12"/>
  <c r="AS102" i="12"/>
  <c r="AT102" i="12" s="1"/>
  <c r="AU102" i="12" s="1"/>
  <c r="AP102" i="12"/>
  <c r="AQ102" i="12" s="1"/>
  <c r="AR102" i="12" s="1"/>
  <c r="BJ102" i="12"/>
  <c r="BF102" i="12"/>
  <c r="AJ102" i="12"/>
  <c r="AK102" i="12" s="1"/>
  <c r="AL102" i="12" s="1"/>
  <c r="BB102" i="12"/>
  <c r="BH102" i="12"/>
  <c r="AV102" i="12"/>
  <c r="AM102" i="12"/>
  <c r="AN102" i="12" s="1"/>
  <c r="AO102" i="12" s="1"/>
  <c r="BD128" i="12"/>
  <c r="BJ128" i="12"/>
  <c r="AS128" i="12"/>
  <c r="AT128" i="12" s="1"/>
  <c r="AU128" i="12" s="1"/>
  <c r="BH128" i="12"/>
  <c r="AJ128" i="12"/>
  <c r="AK128" i="12" s="1"/>
  <c r="BF128" i="12"/>
  <c r="BB128" i="12"/>
  <c r="AZ128" i="12"/>
  <c r="AV128" i="12"/>
  <c r="AP128" i="12"/>
  <c r="AQ128" i="12" s="1"/>
  <c r="AR128" i="12" s="1"/>
  <c r="AX128" i="12"/>
  <c r="AM128" i="12"/>
  <c r="AN128" i="12" s="1"/>
  <c r="AO128" i="12" s="1"/>
  <c r="BD144" i="12"/>
  <c r="AX144" i="12"/>
  <c r="AV144" i="12"/>
  <c r="BJ144" i="12"/>
  <c r="AS144" i="12"/>
  <c r="AT144" i="12" s="1"/>
  <c r="AU144" i="12" s="1"/>
  <c r="BF144" i="12"/>
  <c r="AM144" i="12"/>
  <c r="AN144" i="12" s="1"/>
  <c r="AO144" i="12" s="1"/>
  <c r="AP144" i="12"/>
  <c r="AQ144" i="12" s="1"/>
  <c r="AR144" i="12" s="1"/>
  <c r="AJ144" i="12"/>
  <c r="AK144" i="12" s="1"/>
  <c r="BH144" i="12"/>
  <c r="BB144" i="12"/>
  <c r="AZ144" i="12"/>
  <c r="AX176" i="12"/>
  <c r="AV176" i="12"/>
  <c r="BJ176" i="12"/>
  <c r="BH176" i="12"/>
  <c r="BD176" i="12"/>
  <c r="AJ176" i="12"/>
  <c r="AK176" i="12" s="1"/>
  <c r="BF176" i="12"/>
  <c r="BB176" i="12"/>
  <c r="AZ176" i="12"/>
  <c r="AS176" i="12"/>
  <c r="AT176" i="12" s="1"/>
  <c r="AU176" i="12" s="1"/>
  <c r="AM176" i="12"/>
  <c r="AN176" i="12" s="1"/>
  <c r="AO176" i="12" s="1"/>
  <c r="AP176" i="12"/>
  <c r="AQ176" i="12" s="1"/>
  <c r="AR176" i="12" s="1"/>
  <c r="BF192" i="12"/>
  <c r="AP192" i="12"/>
  <c r="AQ192" i="12" s="1"/>
  <c r="AR192" i="12" s="1"/>
  <c r="BH192" i="12"/>
  <c r="AM192" i="12"/>
  <c r="AN192" i="12" s="1"/>
  <c r="AO192" i="12" s="1"/>
  <c r="BD192" i="12"/>
  <c r="BB192" i="12"/>
  <c r="AJ192" i="12"/>
  <c r="AK192" i="12" s="1"/>
  <c r="AZ192" i="12"/>
  <c r="AX192" i="12"/>
  <c r="BJ192" i="12"/>
  <c r="AV192" i="12"/>
  <c r="AS192" i="12"/>
  <c r="AT192" i="12" s="1"/>
  <c r="AU192" i="12" s="1"/>
  <c r="AV224" i="12"/>
  <c r="BH224" i="12"/>
  <c r="AX224" i="12"/>
  <c r="AS224" i="12"/>
  <c r="AT224" i="12" s="1"/>
  <c r="AU224" i="12" s="1"/>
  <c r="AP224" i="12"/>
  <c r="AQ224" i="12" s="1"/>
  <c r="AR224" i="12" s="1"/>
  <c r="BJ224" i="12"/>
  <c r="AM224" i="12"/>
  <c r="AN224" i="12" s="1"/>
  <c r="AO224" i="12" s="1"/>
  <c r="BF224" i="12"/>
  <c r="AJ224" i="12"/>
  <c r="AK224" i="12" s="1"/>
  <c r="BD224" i="12"/>
  <c r="AZ224" i="12"/>
  <c r="BB224" i="12"/>
  <c r="BD264" i="12"/>
  <c r="BB264" i="12"/>
  <c r="AJ264" i="12"/>
  <c r="AK264" i="12" s="1"/>
  <c r="AZ264" i="12"/>
  <c r="AX264" i="12"/>
  <c r="AS264" i="12"/>
  <c r="AT264" i="12" s="1"/>
  <c r="AU264" i="12" s="1"/>
  <c r="BJ264" i="12"/>
  <c r="BH264" i="12"/>
  <c r="BF264" i="12"/>
  <c r="AV264" i="12"/>
  <c r="AP264" i="12"/>
  <c r="AQ264" i="12" s="1"/>
  <c r="AR264" i="12" s="1"/>
  <c r="AM264" i="12"/>
  <c r="AN264" i="12" s="1"/>
  <c r="AO264" i="12" s="1"/>
  <c r="AV272" i="12"/>
  <c r="BJ272" i="12"/>
  <c r="AS272" i="12"/>
  <c r="AT272" i="12" s="1"/>
  <c r="AU272" i="12" s="1"/>
  <c r="BF272" i="12"/>
  <c r="AP272" i="12"/>
  <c r="AQ272" i="12" s="1"/>
  <c r="AR272" i="12" s="1"/>
  <c r="BD272" i="12"/>
  <c r="BB272" i="12"/>
  <c r="AZ272" i="12"/>
  <c r="AX272" i="12"/>
  <c r="AM272" i="12"/>
  <c r="AN272" i="12" s="1"/>
  <c r="AO272" i="12" s="1"/>
  <c r="AJ272" i="12"/>
  <c r="AK272" i="12" s="1"/>
  <c r="BH272" i="12"/>
  <c r="AZ291" i="12"/>
  <c r="BF291" i="12"/>
  <c r="AM291" i="12"/>
  <c r="AN291" i="12" s="1"/>
  <c r="AO291" i="12" s="1"/>
  <c r="BD291" i="12"/>
  <c r="BB291" i="12"/>
  <c r="AX291" i="12"/>
  <c r="AV291" i="12"/>
  <c r="BH291" i="12"/>
  <c r="AS291" i="12"/>
  <c r="AT291" i="12" s="1"/>
  <c r="AU291" i="12" s="1"/>
  <c r="AP291" i="12"/>
  <c r="AQ291" i="12" s="1"/>
  <c r="AR291" i="12" s="1"/>
  <c r="AJ291" i="12"/>
  <c r="AK291" i="12" s="1"/>
  <c r="BJ291" i="12"/>
  <c r="AX309" i="12"/>
  <c r="AZ309" i="12"/>
  <c r="AP309" i="12"/>
  <c r="AQ309" i="12" s="1"/>
  <c r="AR309" i="12" s="1"/>
  <c r="BJ309" i="12"/>
  <c r="BH309" i="12"/>
  <c r="BF309" i="12"/>
  <c r="BD309" i="12"/>
  <c r="AJ309" i="12"/>
  <c r="AK309" i="12" s="1"/>
  <c r="BB309" i="12"/>
  <c r="AV309" i="12"/>
  <c r="AS309" i="12"/>
  <c r="AT309" i="12" s="1"/>
  <c r="AU309" i="12" s="1"/>
  <c r="AM309" i="12"/>
  <c r="AN309" i="12" s="1"/>
  <c r="AO309" i="12" s="1"/>
  <c r="AZ343" i="12"/>
  <c r="AJ343" i="12"/>
  <c r="AK343" i="12" s="1"/>
  <c r="AS343" i="12"/>
  <c r="AT343" i="12" s="1"/>
  <c r="AU343" i="12" s="1"/>
  <c r="BJ343" i="12"/>
  <c r="BF343" i="12"/>
  <c r="BD343" i="12"/>
  <c r="BB343" i="12"/>
  <c r="AX343" i="12"/>
  <c r="AV343" i="12"/>
  <c r="BH343" i="12"/>
  <c r="AP343" i="12"/>
  <c r="AQ343" i="12" s="1"/>
  <c r="AR343" i="12" s="1"/>
  <c r="AM343" i="12"/>
  <c r="AN343" i="12" s="1"/>
  <c r="AO343" i="12" s="1"/>
  <c r="C3" i="8"/>
  <c r="AV11" i="12"/>
  <c r="AJ11" i="12"/>
  <c r="AK11" i="12" s="1"/>
  <c r="AL11" i="12" s="1"/>
  <c r="AZ11" i="12"/>
  <c r="AX11" i="12"/>
  <c r="BJ11" i="12"/>
  <c r="AS11" i="12"/>
  <c r="AT11" i="12" s="1"/>
  <c r="AU11" i="12" s="1"/>
  <c r="BH11" i="12"/>
  <c r="AP11" i="12"/>
  <c r="AQ11" i="12" s="1"/>
  <c r="AR11" i="12" s="1"/>
  <c r="AM11" i="12"/>
  <c r="AN11" i="12" s="1"/>
  <c r="AO11" i="12" s="1"/>
  <c r="BF11" i="12"/>
  <c r="BD11" i="12"/>
  <c r="BB11" i="12"/>
  <c r="C30" i="8"/>
  <c r="AX48" i="12"/>
  <c r="AS48" i="12"/>
  <c r="AT48" i="12" s="1"/>
  <c r="AU48" i="12" s="1"/>
  <c r="BJ48" i="12"/>
  <c r="AP48" i="12"/>
  <c r="AQ48" i="12" s="1"/>
  <c r="AR48" i="12" s="1"/>
  <c r="BH48" i="12"/>
  <c r="BF48" i="12"/>
  <c r="AM48" i="12"/>
  <c r="AN48" i="12" s="1"/>
  <c r="AO48" i="12" s="1"/>
  <c r="AJ48" i="12"/>
  <c r="AK48" i="12" s="1"/>
  <c r="BB48" i="12"/>
  <c r="BD48" i="12"/>
  <c r="AZ48" i="12"/>
  <c r="AV48" i="12"/>
  <c r="AS58" i="12"/>
  <c r="AT58" i="12" s="1"/>
  <c r="AU58" i="12" s="1"/>
  <c r="BJ58" i="12"/>
  <c r="BH58" i="12"/>
  <c r="AP58" i="12"/>
  <c r="AQ58" i="12" s="1"/>
  <c r="AR58" i="12" s="1"/>
  <c r="BF58" i="12"/>
  <c r="BD58" i="12"/>
  <c r="AM58" i="12"/>
  <c r="AN58" i="12" s="1"/>
  <c r="AO58" i="12" s="1"/>
  <c r="BB58" i="12"/>
  <c r="AZ58" i="12"/>
  <c r="AX58" i="12"/>
  <c r="AV58" i="12"/>
  <c r="AJ58" i="12"/>
  <c r="AK58" i="12" s="1"/>
  <c r="AM115" i="12"/>
  <c r="AN115" i="12" s="1"/>
  <c r="AO115" i="12" s="1"/>
  <c r="BB115" i="12"/>
  <c r="AZ115" i="12"/>
  <c r="AJ115" i="12"/>
  <c r="AK115" i="12" s="1"/>
  <c r="AX115" i="12"/>
  <c r="BJ115" i="12"/>
  <c r="AS115" i="12"/>
  <c r="AT115" i="12" s="1"/>
  <c r="AU115" i="12" s="1"/>
  <c r="BH115" i="12"/>
  <c r="BF115" i="12"/>
  <c r="BD115" i="12"/>
  <c r="AV115" i="12"/>
  <c r="AP115" i="12"/>
  <c r="AQ115" i="12" s="1"/>
  <c r="AR115" i="12" s="1"/>
  <c r="BJ131" i="12"/>
  <c r="AS131" i="12"/>
  <c r="AT131" i="12" s="1"/>
  <c r="AU131" i="12" s="1"/>
  <c r="BH131" i="12"/>
  <c r="BF131" i="12"/>
  <c r="BB131" i="12"/>
  <c r="AP131" i="12"/>
  <c r="AQ131" i="12" s="1"/>
  <c r="AR131" i="12" s="1"/>
  <c r="AM131" i="12"/>
  <c r="AN131" i="12" s="1"/>
  <c r="AO131" i="12" s="1"/>
  <c r="AJ131" i="12"/>
  <c r="AK131" i="12" s="1"/>
  <c r="AZ131" i="12"/>
  <c r="BD131" i="12"/>
  <c r="AX131" i="12"/>
  <c r="AV131" i="12"/>
  <c r="BD147" i="12"/>
  <c r="AV147" i="12"/>
  <c r="AS147" i="12"/>
  <c r="AT147" i="12" s="1"/>
  <c r="AU147" i="12" s="1"/>
  <c r="BJ147" i="12"/>
  <c r="BH147" i="12"/>
  <c r="AP147" i="12"/>
  <c r="AQ147" i="12" s="1"/>
  <c r="AR147" i="12" s="1"/>
  <c r="BB147" i="12"/>
  <c r="AJ147" i="12"/>
  <c r="AK147" i="12" s="1"/>
  <c r="AZ147" i="12"/>
  <c r="AX147" i="12"/>
  <c r="AM147" i="12"/>
  <c r="AN147" i="12" s="1"/>
  <c r="AO147" i="12" s="1"/>
  <c r="BF147" i="12"/>
  <c r="AS163" i="12"/>
  <c r="AT163" i="12" s="1"/>
  <c r="AU163" i="12" s="1"/>
  <c r="BF163" i="12"/>
  <c r="BD163" i="12"/>
  <c r="AM163" i="12"/>
  <c r="AN163" i="12" s="1"/>
  <c r="AO163" i="12" s="1"/>
  <c r="BB163" i="12"/>
  <c r="AJ163" i="12"/>
  <c r="AK163" i="12" s="1"/>
  <c r="AZ163" i="12"/>
  <c r="AV163" i="12"/>
  <c r="AX163" i="12"/>
  <c r="AP163" i="12"/>
  <c r="AQ163" i="12" s="1"/>
  <c r="AR163" i="12" s="1"/>
  <c r="BJ163" i="12"/>
  <c r="BH163" i="12"/>
  <c r="AX179" i="12"/>
  <c r="AV179" i="12"/>
  <c r="BJ179" i="12"/>
  <c r="AS179" i="12"/>
  <c r="AT179" i="12" s="1"/>
  <c r="AU179" i="12" s="1"/>
  <c r="BH179" i="12"/>
  <c r="BF179" i="12"/>
  <c r="BD179" i="12"/>
  <c r="BB179" i="12"/>
  <c r="AZ179" i="12"/>
  <c r="AP179" i="12"/>
  <c r="AQ179" i="12" s="1"/>
  <c r="AR179" i="12" s="1"/>
  <c r="AM179" i="12"/>
  <c r="AN179" i="12" s="1"/>
  <c r="AO179" i="12" s="1"/>
  <c r="AJ179" i="12"/>
  <c r="AK179" i="12" s="1"/>
  <c r="BH195" i="12"/>
  <c r="AZ195" i="12"/>
  <c r="AX195" i="12"/>
  <c r="AV195" i="12"/>
  <c r="AS195" i="12"/>
  <c r="AT195" i="12" s="1"/>
  <c r="AU195" i="12" s="1"/>
  <c r="BF195" i="12"/>
  <c r="AP195" i="12"/>
  <c r="AQ195" i="12" s="1"/>
  <c r="AR195" i="12" s="1"/>
  <c r="AM195" i="12"/>
  <c r="AN195" i="12" s="1"/>
  <c r="AO195" i="12" s="1"/>
  <c r="AJ195" i="12"/>
  <c r="AK195" i="12" s="1"/>
  <c r="BJ195" i="12"/>
  <c r="BB195" i="12"/>
  <c r="BD195" i="12"/>
  <c r="BF211" i="12"/>
  <c r="AP211" i="12"/>
  <c r="AQ211" i="12" s="1"/>
  <c r="AR211" i="12" s="1"/>
  <c r="BJ211" i="12"/>
  <c r="AS211" i="12"/>
  <c r="AT211" i="12" s="1"/>
  <c r="AU211" i="12" s="1"/>
  <c r="BH211" i="12"/>
  <c r="BD211" i="12"/>
  <c r="AM211" i="12"/>
  <c r="AN211" i="12" s="1"/>
  <c r="AO211" i="12" s="1"/>
  <c r="AJ211" i="12"/>
  <c r="AK211" i="12" s="1"/>
  <c r="AZ211" i="12"/>
  <c r="BB211" i="12"/>
  <c r="AX211" i="12"/>
  <c r="AV211" i="12"/>
  <c r="BD232" i="12"/>
  <c r="BF232" i="12"/>
  <c r="AM232" i="12"/>
  <c r="AN232" i="12" s="1"/>
  <c r="AO232" i="12" s="1"/>
  <c r="BB232" i="12"/>
  <c r="AJ232" i="12"/>
  <c r="AK232" i="12" s="1"/>
  <c r="AL232" i="12" s="1"/>
  <c r="AZ232" i="12"/>
  <c r="AX232" i="12"/>
  <c r="AV232" i="12"/>
  <c r="BH232" i="12"/>
  <c r="AS232" i="12"/>
  <c r="AT232" i="12" s="1"/>
  <c r="AU232" i="12" s="1"/>
  <c r="AP232" i="12"/>
  <c r="AQ232" i="12" s="1"/>
  <c r="AR232" i="12" s="1"/>
  <c r="BJ232" i="12"/>
  <c r="BH248" i="12"/>
  <c r="AZ248" i="12"/>
  <c r="AX248" i="12"/>
  <c r="AV248" i="12"/>
  <c r="BJ248" i="12"/>
  <c r="AS248" i="12"/>
  <c r="AT248" i="12" s="1"/>
  <c r="AU248" i="12" s="1"/>
  <c r="AP248" i="12"/>
  <c r="AQ248" i="12" s="1"/>
  <c r="AR248" i="12" s="1"/>
  <c r="BF248" i="12"/>
  <c r="BD248" i="12"/>
  <c r="BB248" i="12"/>
  <c r="AM248" i="12"/>
  <c r="AN248" i="12" s="1"/>
  <c r="AO248" i="12" s="1"/>
  <c r="AJ248" i="12"/>
  <c r="AK248" i="12" s="1"/>
  <c r="AL248" i="12" s="1"/>
  <c r="AV256" i="12"/>
  <c r="BD256" i="12"/>
  <c r="AM256" i="12"/>
  <c r="AN256" i="12" s="1"/>
  <c r="AO256" i="12" s="1"/>
  <c r="BB256" i="12"/>
  <c r="AJ256" i="12"/>
  <c r="AK256" i="12" s="1"/>
  <c r="AL256" i="12" s="1"/>
  <c r="AZ256" i="12"/>
  <c r="BH256" i="12"/>
  <c r="BF256" i="12"/>
  <c r="AX256" i="12"/>
  <c r="AS256" i="12"/>
  <c r="AT256" i="12" s="1"/>
  <c r="AU256" i="12" s="1"/>
  <c r="AP256" i="12"/>
  <c r="AQ256" i="12" s="1"/>
  <c r="AR256" i="12" s="1"/>
  <c r="BJ256" i="12"/>
  <c r="BB277" i="12"/>
  <c r="AP277" i="12"/>
  <c r="AQ277" i="12" s="1"/>
  <c r="AR277" i="12" s="1"/>
  <c r="AS277" i="12"/>
  <c r="AT277" i="12" s="1"/>
  <c r="AU277" i="12" s="1"/>
  <c r="BJ277" i="12"/>
  <c r="BF277" i="12"/>
  <c r="AM277" i="12"/>
  <c r="AN277" i="12" s="1"/>
  <c r="AO277" i="12" s="1"/>
  <c r="BD277" i="12"/>
  <c r="AJ277" i="12"/>
  <c r="AK277" i="12" s="1"/>
  <c r="AZ277" i="12"/>
  <c r="BH277" i="12"/>
  <c r="AV277" i="12"/>
  <c r="AX277" i="12"/>
  <c r="BJ324" i="12"/>
  <c r="AP324" i="12"/>
  <c r="AQ324" i="12" s="1"/>
  <c r="AR324" i="12" s="1"/>
  <c r="BF324" i="12"/>
  <c r="BD324" i="12"/>
  <c r="AM324" i="12"/>
  <c r="AN324" i="12" s="1"/>
  <c r="AO324" i="12" s="1"/>
  <c r="AJ324" i="12"/>
  <c r="AK324" i="12" s="1"/>
  <c r="AZ324" i="12"/>
  <c r="BH324" i="12"/>
  <c r="BB324" i="12"/>
  <c r="AX324" i="12"/>
  <c r="AV324" i="12"/>
  <c r="AS324" i="12"/>
  <c r="AT324" i="12" s="1"/>
  <c r="AU324" i="12" s="1"/>
  <c r="AX41" i="12"/>
  <c r="AS41" i="12"/>
  <c r="AT41" i="12" s="1"/>
  <c r="AU41" i="12" s="1"/>
  <c r="BJ41" i="12"/>
  <c r="BH41" i="12"/>
  <c r="AP41" i="12"/>
  <c r="AQ41" i="12" s="1"/>
  <c r="AR41" i="12" s="1"/>
  <c r="BF41" i="12"/>
  <c r="BB41" i="12"/>
  <c r="AJ41" i="12"/>
  <c r="AK41" i="12" s="1"/>
  <c r="AL41" i="12" s="1"/>
  <c r="AZ41" i="12"/>
  <c r="BD41" i="12"/>
  <c r="AV41" i="12"/>
  <c r="AM41" i="12"/>
  <c r="AN41" i="12" s="1"/>
  <c r="AO41" i="12" s="1"/>
  <c r="AJ68" i="12"/>
  <c r="AK68" i="12" s="1"/>
  <c r="AZ68" i="12"/>
  <c r="AX68" i="12"/>
  <c r="AV68" i="12"/>
  <c r="BH68" i="12"/>
  <c r="AP68" i="12"/>
  <c r="AQ68" i="12" s="1"/>
  <c r="AR68" i="12" s="1"/>
  <c r="BD68" i="12"/>
  <c r="BB68" i="12"/>
  <c r="AS68" i="12"/>
  <c r="AT68" i="12" s="1"/>
  <c r="AU68" i="12" s="1"/>
  <c r="AM68" i="12"/>
  <c r="AN68" i="12" s="1"/>
  <c r="AO68" i="12" s="1"/>
  <c r="BJ68" i="12"/>
  <c r="BF68" i="12"/>
  <c r="BD78" i="12"/>
  <c r="AM78" i="12"/>
  <c r="AN78" i="12" s="1"/>
  <c r="AO78" i="12" s="1"/>
  <c r="BB78" i="12"/>
  <c r="AZ78" i="12"/>
  <c r="AJ78" i="12"/>
  <c r="AK78" i="12" s="1"/>
  <c r="BF78" i="12"/>
  <c r="AX78" i="12"/>
  <c r="AV78" i="12"/>
  <c r="AS78" i="12"/>
  <c r="AT78" i="12" s="1"/>
  <c r="AU78" i="12" s="1"/>
  <c r="AP78" i="12"/>
  <c r="AQ78" i="12" s="1"/>
  <c r="AR78" i="12" s="1"/>
  <c r="BJ78" i="12"/>
  <c r="BH78" i="12"/>
  <c r="AP95" i="12"/>
  <c r="AQ95" i="12" s="1"/>
  <c r="AR95" i="12" s="1"/>
  <c r="BF95" i="12"/>
  <c r="BD95" i="12"/>
  <c r="AM95" i="12"/>
  <c r="AN95" i="12" s="1"/>
  <c r="AO95" i="12" s="1"/>
  <c r="BB95" i="12"/>
  <c r="AJ95" i="12"/>
  <c r="AK95" i="12" s="1"/>
  <c r="AZ95" i="12"/>
  <c r="AV95" i="12"/>
  <c r="BH95" i="12"/>
  <c r="AS95" i="12"/>
  <c r="AT95" i="12" s="1"/>
  <c r="AU95" i="12" s="1"/>
  <c r="AX95" i="12"/>
  <c r="BJ95" i="12"/>
  <c r="BD105" i="12"/>
  <c r="AM105" i="12"/>
  <c r="AN105" i="12" s="1"/>
  <c r="AO105" i="12" s="1"/>
  <c r="BB105" i="12"/>
  <c r="AZ105" i="12"/>
  <c r="AJ105" i="12"/>
  <c r="AK105" i="12" s="1"/>
  <c r="AL105" i="12" s="1"/>
  <c r="AV105" i="12"/>
  <c r="BH105" i="12"/>
  <c r="BF105" i="12"/>
  <c r="AX105" i="12"/>
  <c r="AP105" i="12"/>
  <c r="AQ105" i="12" s="1"/>
  <c r="AR105" i="12" s="1"/>
  <c r="BJ105" i="12"/>
  <c r="AS105" i="12"/>
  <c r="AT105" i="12" s="1"/>
  <c r="AU105" i="12" s="1"/>
  <c r="BF118" i="12"/>
  <c r="AP118" i="12"/>
  <c r="AQ118" i="12" s="1"/>
  <c r="AR118" i="12" s="1"/>
  <c r="BH118" i="12"/>
  <c r="AX118" i="12"/>
  <c r="AV118" i="12"/>
  <c r="AS118" i="12"/>
  <c r="AT118" i="12" s="1"/>
  <c r="AU118" i="12" s="1"/>
  <c r="BD118" i="12"/>
  <c r="AJ118" i="12"/>
  <c r="AK118" i="12" s="1"/>
  <c r="BB118" i="12"/>
  <c r="AZ118" i="12"/>
  <c r="BJ118" i="12"/>
  <c r="AM118" i="12"/>
  <c r="AN118" i="12" s="1"/>
  <c r="AO118" i="12" s="1"/>
  <c r="BF134" i="12"/>
  <c r="AP134" i="12"/>
  <c r="AQ134" i="12" s="1"/>
  <c r="AR134" i="12" s="1"/>
  <c r="BJ134" i="12"/>
  <c r="AS134" i="12"/>
  <c r="AT134" i="12" s="1"/>
  <c r="AU134" i="12" s="1"/>
  <c r="BH134" i="12"/>
  <c r="BD134" i="12"/>
  <c r="AM134" i="12"/>
  <c r="AN134" i="12" s="1"/>
  <c r="AO134" i="12" s="1"/>
  <c r="AZ134" i="12"/>
  <c r="AJ134" i="12"/>
  <c r="AK134" i="12" s="1"/>
  <c r="AX134" i="12"/>
  <c r="BB134" i="12"/>
  <c r="AV134" i="12"/>
  <c r="BJ150" i="12"/>
  <c r="BB150" i="12"/>
  <c r="AJ150" i="12"/>
  <c r="AK150" i="12" s="1"/>
  <c r="AZ150" i="12"/>
  <c r="AX150" i="12"/>
  <c r="AV150" i="12"/>
  <c r="AP150" i="12"/>
  <c r="AQ150" i="12" s="1"/>
  <c r="AR150" i="12" s="1"/>
  <c r="AM150" i="12"/>
  <c r="AN150" i="12" s="1"/>
  <c r="AO150" i="12" s="1"/>
  <c r="BF150" i="12"/>
  <c r="BH150" i="12"/>
  <c r="BD150" i="12"/>
  <c r="AS150" i="12"/>
  <c r="AT150" i="12" s="1"/>
  <c r="AU150" i="12" s="1"/>
  <c r="BJ166" i="12"/>
  <c r="BD166" i="12"/>
  <c r="AM166" i="12"/>
  <c r="AN166" i="12" s="1"/>
  <c r="AO166" i="12" s="1"/>
  <c r="BB166" i="12"/>
  <c r="AJ166" i="12"/>
  <c r="AK166" i="12" s="1"/>
  <c r="AZ166" i="12"/>
  <c r="AX166" i="12"/>
  <c r="AS166" i="12"/>
  <c r="AT166" i="12" s="1"/>
  <c r="AU166" i="12" s="1"/>
  <c r="AV166" i="12"/>
  <c r="AP166" i="12"/>
  <c r="AQ166" i="12" s="1"/>
  <c r="AR166" i="12" s="1"/>
  <c r="BF166" i="12"/>
  <c r="BH166" i="12"/>
  <c r="AZ182" i="12"/>
  <c r="AJ182" i="12"/>
  <c r="AK182" i="12" s="1"/>
  <c r="AX182" i="12"/>
  <c r="AV182" i="12"/>
  <c r="BJ182" i="12"/>
  <c r="AS182" i="12"/>
  <c r="AT182" i="12" s="1"/>
  <c r="AU182" i="12" s="1"/>
  <c r="BF182" i="12"/>
  <c r="AP182" i="12"/>
  <c r="AQ182" i="12" s="1"/>
  <c r="AR182" i="12" s="1"/>
  <c r="BH182" i="12"/>
  <c r="BD182" i="12"/>
  <c r="BB182" i="12"/>
  <c r="AM182" i="12"/>
  <c r="AN182" i="12" s="1"/>
  <c r="AO182" i="12" s="1"/>
  <c r="AS198" i="12"/>
  <c r="AT198" i="12" s="1"/>
  <c r="AU198" i="12" s="1"/>
  <c r="BH198" i="12"/>
  <c r="BJ198" i="12"/>
  <c r="AP198" i="12"/>
  <c r="AQ198" i="12" s="1"/>
  <c r="AR198" i="12" s="1"/>
  <c r="BF198" i="12"/>
  <c r="AM198" i="12"/>
  <c r="AN198" i="12" s="1"/>
  <c r="AO198" i="12" s="1"/>
  <c r="BD198" i="12"/>
  <c r="BB198" i="12"/>
  <c r="AJ198" i="12"/>
  <c r="AK198" i="12" s="1"/>
  <c r="AZ198" i="12"/>
  <c r="AX198" i="12"/>
  <c r="AV198" i="12"/>
  <c r="BH214" i="12"/>
  <c r="AP214" i="12"/>
  <c r="AQ214" i="12" s="1"/>
  <c r="AR214" i="12" s="1"/>
  <c r="BF214" i="12"/>
  <c r="BD214" i="12"/>
  <c r="AM214" i="12"/>
  <c r="AN214" i="12" s="1"/>
  <c r="AO214" i="12" s="1"/>
  <c r="BB214" i="12"/>
  <c r="AJ214" i="12"/>
  <c r="AK214" i="12" s="1"/>
  <c r="AZ214" i="12"/>
  <c r="AX214" i="12"/>
  <c r="AS214" i="12"/>
  <c r="AT214" i="12" s="1"/>
  <c r="AU214" i="12" s="1"/>
  <c r="BJ214" i="12"/>
  <c r="AV214" i="12"/>
  <c r="AS282" i="12"/>
  <c r="AT282" i="12" s="1"/>
  <c r="AU282" i="12" s="1"/>
  <c r="BB282" i="12"/>
  <c r="BF282" i="12"/>
  <c r="AM282" i="12"/>
  <c r="AN282" i="12" s="1"/>
  <c r="AO282" i="12" s="1"/>
  <c r="BD282" i="12"/>
  <c r="AZ282" i="12"/>
  <c r="AJ282" i="12"/>
  <c r="AK282" i="12" s="1"/>
  <c r="BJ282" i="12"/>
  <c r="AX282" i="12"/>
  <c r="AV282" i="12"/>
  <c r="BH282" i="12"/>
  <c r="AP282" i="12"/>
  <c r="AQ282" i="12" s="1"/>
  <c r="AR282" i="12" s="1"/>
  <c r="BD311" i="12"/>
  <c r="AX311" i="12"/>
  <c r="AV311" i="12"/>
  <c r="BJ311" i="12"/>
  <c r="AS311" i="12"/>
  <c r="AT311" i="12" s="1"/>
  <c r="AU311" i="12" s="1"/>
  <c r="BH311" i="12"/>
  <c r="AJ311" i="12"/>
  <c r="AK311" i="12" s="1"/>
  <c r="BF311" i="12"/>
  <c r="BB311" i="12"/>
  <c r="AZ311" i="12"/>
  <c r="AP311" i="12"/>
  <c r="AQ311" i="12" s="1"/>
  <c r="AR311" i="12" s="1"/>
  <c r="AM311" i="12"/>
  <c r="AN311" i="12" s="1"/>
  <c r="AO311" i="12" s="1"/>
  <c r="BJ316" i="12"/>
  <c r="AS316" i="12"/>
  <c r="AT316" i="12" s="1"/>
  <c r="AU316" i="12" s="1"/>
  <c r="BH316" i="12"/>
  <c r="BF316" i="12"/>
  <c r="BD316" i="12"/>
  <c r="AM316" i="12"/>
  <c r="AN316" i="12" s="1"/>
  <c r="AO316" i="12" s="1"/>
  <c r="AJ316" i="12"/>
  <c r="AK316" i="12" s="1"/>
  <c r="AX316" i="12"/>
  <c r="AV316" i="12"/>
  <c r="AP316" i="12"/>
  <c r="AQ316" i="12" s="1"/>
  <c r="AR316" i="12" s="1"/>
  <c r="BB316" i="12"/>
  <c r="AZ316" i="12"/>
  <c r="AM335" i="12"/>
  <c r="AN335" i="12" s="1"/>
  <c r="AO335" i="12" s="1"/>
  <c r="BB335" i="12"/>
  <c r="BF335" i="12"/>
  <c r="AJ335" i="12"/>
  <c r="AK335" i="12" s="1"/>
  <c r="BH335" i="12"/>
  <c r="BD335" i="12"/>
  <c r="AP335" i="12"/>
  <c r="AQ335" i="12" s="1"/>
  <c r="AR335" i="12" s="1"/>
  <c r="BJ335" i="12"/>
  <c r="AZ335" i="12"/>
  <c r="AX335" i="12"/>
  <c r="AV335" i="12"/>
  <c r="AS335" i="12"/>
  <c r="AT335" i="12" s="1"/>
  <c r="AU335" i="12" s="1"/>
  <c r="AX340" i="12"/>
  <c r="BB340" i="12"/>
  <c r="AJ340" i="12"/>
  <c r="AK340" i="12" s="1"/>
  <c r="AZ340" i="12"/>
  <c r="AV340" i="12"/>
  <c r="AS340" i="12"/>
  <c r="AT340" i="12" s="1"/>
  <c r="AU340" i="12" s="1"/>
  <c r="AP340" i="12"/>
  <c r="AQ340" i="12" s="1"/>
  <c r="AR340" i="12" s="1"/>
  <c r="BJ340" i="12"/>
  <c r="BF340" i="12"/>
  <c r="BD340" i="12"/>
  <c r="BH340" i="12"/>
  <c r="AM340" i="12"/>
  <c r="AN340" i="12" s="1"/>
  <c r="AO340" i="12" s="1"/>
  <c r="BD348" i="12"/>
  <c r="BJ348" i="12"/>
  <c r="BF348" i="12"/>
  <c r="AP348" i="12"/>
  <c r="AQ348" i="12" s="1"/>
  <c r="AR348" i="12" s="1"/>
  <c r="AZ348" i="12"/>
  <c r="AV348" i="12"/>
  <c r="AS348" i="12"/>
  <c r="AT348" i="12" s="1"/>
  <c r="AU348" i="12" s="1"/>
  <c r="AM348" i="12"/>
  <c r="AN348" i="12" s="1"/>
  <c r="AO348" i="12" s="1"/>
  <c r="AJ348" i="12"/>
  <c r="AK348" i="12" s="1"/>
  <c r="BH348" i="12"/>
  <c r="BB348" i="12"/>
  <c r="AX348" i="12"/>
  <c r="AX351" i="12"/>
  <c r="BJ351" i="12"/>
  <c r="AS351" i="12"/>
  <c r="AT351" i="12" s="1"/>
  <c r="AU351" i="12" s="1"/>
  <c r="BH351" i="12"/>
  <c r="BB351" i="12"/>
  <c r="AZ351" i="12"/>
  <c r="AV351" i="12"/>
  <c r="BF351" i="12"/>
  <c r="BD351" i="12"/>
  <c r="AP351" i="12"/>
  <c r="AQ351" i="12" s="1"/>
  <c r="AR351" i="12" s="1"/>
  <c r="AM351" i="12"/>
  <c r="AN351" i="12" s="1"/>
  <c r="AO351" i="12" s="1"/>
  <c r="AJ351" i="12"/>
  <c r="AK351" i="12" s="1"/>
  <c r="AL351" i="12" s="1"/>
  <c r="C33" i="8"/>
  <c r="BH34" i="12"/>
  <c r="AP34" i="12"/>
  <c r="AQ34" i="12" s="1"/>
  <c r="AR34" i="12" s="1"/>
  <c r="BF34" i="12"/>
  <c r="BD34" i="12"/>
  <c r="AM34" i="12"/>
  <c r="AN34" i="12" s="1"/>
  <c r="AO34" i="12" s="1"/>
  <c r="BB34" i="12"/>
  <c r="AX34" i="12"/>
  <c r="AV34" i="12"/>
  <c r="AS34" i="12"/>
  <c r="AT34" i="12" s="1"/>
  <c r="AU34" i="12" s="1"/>
  <c r="AJ34" i="12"/>
  <c r="AK34" i="12" s="1"/>
  <c r="AL34" i="12" s="1"/>
  <c r="BJ34" i="12"/>
  <c r="AZ34" i="12"/>
  <c r="C43" i="8"/>
  <c r="AV51" i="12"/>
  <c r="AJ51" i="12"/>
  <c r="AK51" i="12" s="1"/>
  <c r="AZ51" i="12"/>
  <c r="AX51" i="12"/>
  <c r="BJ51" i="12"/>
  <c r="AS51" i="12"/>
  <c r="AT51" i="12" s="1"/>
  <c r="AU51" i="12" s="1"/>
  <c r="AP51" i="12"/>
  <c r="AQ51" i="12" s="1"/>
  <c r="AR51" i="12" s="1"/>
  <c r="AM51" i="12"/>
  <c r="AN51" i="12" s="1"/>
  <c r="AO51" i="12" s="1"/>
  <c r="BH51" i="12"/>
  <c r="BF51" i="12"/>
  <c r="BB51" i="12"/>
  <c r="BD51" i="12"/>
  <c r="BJ61" i="12"/>
  <c r="AP61" i="12"/>
  <c r="AQ61" i="12" s="1"/>
  <c r="AR61" i="12" s="1"/>
  <c r="BF61" i="12"/>
  <c r="BD61" i="12"/>
  <c r="AM61" i="12"/>
  <c r="AN61" i="12" s="1"/>
  <c r="AO61" i="12" s="1"/>
  <c r="BB61" i="12"/>
  <c r="AJ61" i="12"/>
  <c r="AK61" i="12" s="1"/>
  <c r="AZ61" i="12"/>
  <c r="AX61" i="12"/>
  <c r="AV61" i="12"/>
  <c r="AS61" i="12"/>
  <c r="AT61" i="12" s="1"/>
  <c r="AU61" i="12" s="1"/>
  <c r="BH61" i="12"/>
  <c r="BB98" i="12"/>
  <c r="BD98" i="12"/>
  <c r="AM98" i="12"/>
  <c r="AN98" i="12" s="1"/>
  <c r="AO98" i="12" s="1"/>
  <c r="AJ98" i="12"/>
  <c r="AK98" i="12" s="1"/>
  <c r="AL98" i="12" s="1"/>
  <c r="AZ98" i="12"/>
  <c r="AX98" i="12"/>
  <c r="BJ98" i="12"/>
  <c r="AS98" i="12"/>
  <c r="AT98" i="12" s="1"/>
  <c r="AU98" i="12" s="1"/>
  <c r="BH98" i="12"/>
  <c r="AV98" i="12"/>
  <c r="AP98" i="12"/>
  <c r="AQ98" i="12" s="1"/>
  <c r="AR98" i="12" s="1"/>
  <c r="BF98" i="12"/>
  <c r="BD121" i="12"/>
  <c r="AM121" i="12"/>
  <c r="AN121" i="12" s="1"/>
  <c r="AO121" i="12" s="1"/>
  <c r="BB121" i="12"/>
  <c r="AJ121" i="12"/>
  <c r="AK121" i="12" s="1"/>
  <c r="AX121" i="12"/>
  <c r="AV121" i="12"/>
  <c r="AS121" i="12"/>
  <c r="AT121" i="12" s="1"/>
  <c r="AU121" i="12" s="1"/>
  <c r="AP121" i="12"/>
  <c r="AQ121" i="12" s="1"/>
  <c r="AR121" i="12" s="1"/>
  <c r="BH121" i="12"/>
  <c r="BF121" i="12"/>
  <c r="BJ121" i="12"/>
  <c r="AZ121" i="12"/>
  <c r="BF137" i="12"/>
  <c r="BD137" i="12"/>
  <c r="AM137" i="12"/>
  <c r="AN137" i="12" s="1"/>
  <c r="AO137" i="12" s="1"/>
  <c r="BB137" i="12"/>
  <c r="AJ137" i="12"/>
  <c r="AK137" i="12" s="1"/>
  <c r="AZ137" i="12"/>
  <c r="AV137" i="12"/>
  <c r="AP137" i="12"/>
  <c r="AQ137" i="12" s="1"/>
  <c r="AR137" i="12" s="1"/>
  <c r="BH137" i="12"/>
  <c r="BJ137" i="12"/>
  <c r="AS137" i="12"/>
  <c r="AT137" i="12" s="1"/>
  <c r="AU137" i="12" s="1"/>
  <c r="AX137" i="12"/>
  <c r="AJ153" i="12"/>
  <c r="AK153" i="12" s="1"/>
  <c r="AZ153" i="12"/>
  <c r="AX153" i="12"/>
  <c r="AV153" i="12"/>
  <c r="BJ153" i="12"/>
  <c r="AS153" i="12"/>
  <c r="AT153" i="12" s="1"/>
  <c r="AU153" i="12" s="1"/>
  <c r="AP153" i="12"/>
  <c r="AQ153" i="12" s="1"/>
  <c r="AR153" i="12" s="1"/>
  <c r="BD153" i="12"/>
  <c r="BB153" i="12"/>
  <c r="BH153" i="12"/>
  <c r="AM153" i="12"/>
  <c r="AN153" i="12" s="1"/>
  <c r="AO153" i="12" s="1"/>
  <c r="BF153" i="12"/>
  <c r="AZ185" i="12"/>
  <c r="AJ185" i="12"/>
  <c r="AK185" i="12" s="1"/>
  <c r="AX185" i="12"/>
  <c r="AV185" i="12"/>
  <c r="BJ185" i="12"/>
  <c r="BH185" i="12"/>
  <c r="BB185" i="12"/>
  <c r="AS185" i="12"/>
  <c r="AT185" i="12" s="1"/>
  <c r="AU185" i="12" s="1"/>
  <c r="AP185" i="12"/>
  <c r="AQ185" i="12" s="1"/>
  <c r="AR185" i="12" s="1"/>
  <c r="AM185" i="12"/>
  <c r="AN185" i="12" s="1"/>
  <c r="AO185" i="12" s="1"/>
  <c r="BF185" i="12"/>
  <c r="BD185" i="12"/>
  <c r="BH217" i="12"/>
  <c r="BD217" i="12"/>
  <c r="AM217" i="12"/>
  <c r="AN217" i="12" s="1"/>
  <c r="AO217" i="12" s="1"/>
  <c r="BB217" i="12"/>
  <c r="AJ217" i="12"/>
  <c r="AK217" i="12" s="1"/>
  <c r="AZ217" i="12"/>
  <c r="AX217" i="12"/>
  <c r="AV217" i="12"/>
  <c r="BJ217" i="12"/>
  <c r="BF217" i="12"/>
  <c r="AS217" i="12"/>
  <c r="AT217" i="12" s="1"/>
  <c r="AU217" i="12" s="1"/>
  <c r="AP217" i="12"/>
  <c r="AQ217" i="12" s="1"/>
  <c r="AR217" i="12" s="1"/>
  <c r="AM229" i="12"/>
  <c r="AN229" i="12" s="1"/>
  <c r="AO229" i="12" s="1"/>
  <c r="BH229" i="12"/>
  <c r="AP229" i="12"/>
  <c r="AQ229" i="12" s="1"/>
  <c r="AR229" i="12" s="1"/>
  <c r="BF229" i="12"/>
  <c r="BD229" i="12"/>
  <c r="BB229" i="12"/>
  <c r="AJ229" i="12"/>
  <c r="AK229" i="12" s="1"/>
  <c r="AL229" i="12" s="1"/>
  <c r="AX229" i="12"/>
  <c r="BJ229" i="12"/>
  <c r="AZ229" i="12"/>
  <c r="AV229" i="12"/>
  <c r="AS229" i="12"/>
  <c r="AT229" i="12" s="1"/>
  <c r="AU229" i="12" s="1"/>
  <c r="BB237" i="12"/>
  <c r="AJ237" i="12"/>
  <c r="AK237" i="12" s="1"/>
  <c r="AL237" i="12" s="1"/>
  <c r="AZ237" i="12"/>
  <c r="AX237" i="12"/>
  <c r="AV237" i="12"/>
  <c r="BH237" i="12"/>
  <c r="AM237" i="12"/>
  <c r="AN237" i="12" s="1"/>
  <c r="AO237" i="12" s="1"/>
  <c r="BJ237" i="12"/>
  <c r="BF237" i="12"/>
  <c r="BD237" i="12"/>
  <c r="AS237" i="12"/>
  <c r="AT237" i="12" s="1"/>
  <c r="AU237" i="12" s="1"/>
  <c r="AP237" i="12"/>
  <c r="AQ237" i="12" s="1"/>
  <c r="AR237" i="12" s="1"/>
  <c r="BB245" i="12"/>
  <c r="AJ245" i="12"/>
  <c r="AK245" i="12" s="1"/>
  <c r="AL245" i="12" s="1"/>
  <c r="AZ245" i="12"/>
  <c r="AX245" i="12"/>
  <c r="BJ245" i="12"/>
  <c r="AS245" i="12"/>
  <c r="AT245" i="12" s="1"/>
  <c r="AU245" i="12" s="1"/>
  <c r="BD245" i="12"/>
  <c r="AV245" i="12"/>
  <c r="AP245" i="12"/>
  <c r="AQ245" i="12" s="1"/>
  <c r="AR245" i="12" s="1"/>
  <c r="AM245" i="12"/>
  <c r="AN245" i="12" s="1"/>
  <c r="AO245" i="12" s="1"/>
  <c r="BH245" i="12"/>
  <c r="BF245" i="12"/>
  <c r="AS253" i="12"/>
  <c r="AT253" i="12" s="1"/>
  <c r="AU253" i="12" s="1"/>
  <c r="BJ253" i="12"/>
  <c r="BH253" i="12"/>
  <c r="AP253" i="12"/>
  <c r="AQ253" i="12" s="1"/>
  <c r="AR253" i="12" s="1"/>
  <c r="BF253" i="12"/>
  <c r="BD253" i="12"/>
  <c r="AV253" i="12"/>
  <c r="AM253" i="12"/>
  <c r="AN253" i="12" s="1"/>
  <c r="AO253" i="12" s="1"/>
  <c r="AJ253" i="12"/>
  <c r="AK253" i="12" s="1"/>
  <c r="AL253" i="12" s="1"/>
  <c r="BB253" i="12"/>
  <c r="AZ253" i="12"/>
  <c r="AX253" i="12"/>
  <c r="AM261" i="12"/>
  <c r="AN261" i="12" s="1"/>
  <c r="AO261" i="12" s="1"/>
  <c r="AV261" i="12"/>
  <c r="AS261" i="12"/>
  <c r="AT261" i="12" s="1"/>
  <c r="AU261" i="12" s="1"/>
  <c r="BJ261" i="12"/>
  <c r="BH261" i="12"/>
  <c r="AP261" i="12"/>
  <c r="AQ261" i="12" s="1"/>
  <c r="AR261" i="12" s="1"/>
  <c r="BF261" i="12"/>
  <c r="BD261" i="12"/>
  <c r="BB261" i="12"/>
  <c r="AZ261" i="12"/>
  <c r="AX261" i="12"/>
  <c r="AJ261" i="12"/>
  <c r="AK261" i="12" s="1"/>
  <c r="BJ285" i="12"/>
  <c r="AM285" i="12"/>
  <c r="AN285" i="12" s="1"/>
  <c r="AO285" i="12" s="1"/>
  <c r="AX285" i="12"/>
  <c r="AV285" i="12"/>
  <c r="AS285" i="12"/>
  <c r="AT285" i="12" s="1"/>
  <c r="AU285" i="12" s="1"/>
  <c r="BH285" i="12"/>
  <c r="AP285" i="12"/>
  <c r="AQ285" i="12" s="1"/>
  <c r="AR285" i="12" s="1"/>
  <c r="BF285" i="12"/>
  <c r="BD285" i="12"/>
  <c r="BB285" i="12"/>
  <c r="AZ285" i="12"/>
  <c r="AJ285" i="12"/>
  <c r="AK285" i="12" s="1"/>
  <c r="BD288" i="12"/>
  <c r="BH288" i="12"/>
  <c r="AP288" i="12"/>
  <c r="AQ288" i="12" s="1"/>
  <c r="AR288" i="12" s="1"/>
  <c r="BB288" i="12"/>
  <c r="AJ288" i="12"/>
  <c r="AK288" i="12" s="1"/>
  <c r="BF288" i="12"/>
  <c r="AZ288" i="12"/>
  <c r="AX288" i="12"/>
  <c r="AV288" i="12"/>
  <c r="AM288" i="12"/>
  <c r="AN288" i="12" s="1"/>
  <c r="AO288" i="12" s="1"/>
  <c r="AS288" i="12"/>
  <c r="AT288" i="12" s="1"/>
  <c r="AU288" i="12" s="1"/>
  <c r="BJ288" i="12"/>
  <c r="AP301" i="12"/>
  <c r="AQ301" i="12" s="1"/>
  <c r="AR301" i="12" s="1"/>
  <c r="BF301" i="12"/>
  <c r="BD301" i="12"/>
  <c r="AM301" i="12"/>
  <c r="AN301" i="12" s="1"/>
  <c r="AO301" i="12" s="1"/>
  <c r="BB301" i="12"/>
  <c r="AJ301" i="12"/>
  <c r="AK301" i="12" s="1"/>
  <c r="AZ301" i="12"/>
  <c r="AX301" i="12"/>
  <c r="AV301" i="12"/>
  <c r="BH301" i="12"/>
  <c r="BJ301" i="12"/>
  <c r="AS301" i="12"/>
  <c r="AT301" i="12" s="1"/>
  <c r="AU301" i="12" s="1"/>
  <c r="BB321" i="12"/>
  <c r="BF321" i="12"/>
  <c r="AM321" i="12"/>
  <c r="AN321" i="12" s="1"/>
  <c r="AO321" i="12" s="1"/>
  <c r="BD321" i="12"/>
  <c r="AZ321" i="12"/>
  <c r="AX321" i="12"/>
  <c r="AV321" i="12"/>
  <c r="BJ321" i="12"/>
  <c r="BH321" i="12"/>
  <c r="AS321" i="12"/>
  <c r="AT321" i="12" s="1"/>
  <c r="AU321" i="12" s="1"/>
  <c r="AJ321" i="12"/>
  <c r="AK321" i="12" s="1"/>
  <c r="AP321" i="12"/>
  <c r="AQ321" i="12" s="1"/>
  <c r="AR321" i="12" s="1"/>
  <c r="BD332" i="12"/>
  <c r="BB332" i="12"/>
  <c r="AZ332" i="12"/>
  <c r="AJ332" i="12"/>
  <c r="AK332" i="12" s="1"/>
  <c r="BH332" i="12"/>
  <c r="BF332" i="12"/>
  <c r="AX332" i="12"/>
  <c r="AV332" i="12"/>
  <c r="AS332" i="12"/>
  <c r="AT332" i="12" s="1"/>
  <c r="AU332" i="12" s="1"/>
  <c r="BJ332" i="12"/>
  <c r="AP332" i="12"/>
  <c r="AQ332" i="12" s="1"/>
  <c r="AR332" i="12" s="1"/>
  <c r="AM332" i="12"/>
  <c r="AN332" i="12" s="1"/>
  <c r="AO332" i="12" s="1"/>
  <c r="BF354" i="12"/>
  <c r="AP354" i="12"/>
  <c r="AQ354" i="12" s="1"/>
  <c r="AR354" i="12" s="1"/>
  <c r="BB354" i="12"/>
  <c r="AV354" i="12"/>
  <c r="BJ354" i="12"/>
  <c r="AS354" i="12"/>
  <c r="AT354" i="12" s="1"/>
  <c r="AU354" i="12" s="1"/>
  <c r="BH354" i="12"/>
  <c r="AZ354" i="12"/>
  <c r="AM354" i="12"/>
  <c r="AN354" i="12" s="1"/>
  <c r="AO354" i="12" s="1"/>
  <c r="BD354" i="12"/>
  <c r="AX354" i="12"/>
  <c r="AJ354" i="12"/>
  <c r="AK354" i="12" s="1"/>
  <c r="AL354" i="12" s="1"/>
  <c r="BD7" i="12"/>
  <c r="AM7" i="12"/>
  <c r="AN7" i="12" s="1"/>
  <c r="AO7" i="12" s="1"/>
  <c r="BB7" i="12"/>
  <c r="AZ7" i="12"/>
  <c r="AJ7" i="12"/>
  <c r="AK7" i="12" s="1"/>
  <c r="AL7" i="12" s="1"/>
  <c r="AX7" i="12"/>
  <c r="AV7" i="12"/>
  <c r="BJ7" i="12"/>
  <c r="BH7" i="12"/>
  <c r="BF7" i="12"/>
  <c r="AS7" i="12"/>
  <c r="AT7" i="12" s="1"/>
  <c r="AU7" i="12" s="1"/>
  <c r="AP7" i="12"/>
  <c r="AQ7" i="12" s="1"/>
  <c r="AR7" i="12" s="1"/>
  <c r="AX17" i="12"/>
  <c r="BJ17" i="12"/>
  <c r="AS17" i="12"/>
  <c r="AT17" i="12" s="1"/>
  <c r="AU17" i="12" s="1"/>
  <c r="BH17" i="12"/>
  <c r="AP17" i="12"/>
  <c r="AQ17" i="12" s="1"/>
  <c r="AR17" i="12" s="1"/>
  <c r="BF17" i="12"/>
  <c r="BD17" i="12"/>
  <c r="AM17" i="12"/>
  <c r="AN17" i="12" s="1"/>
  <c r="AO17" i="12" s="1"/>
  <c r="AJ17" i="12"/>
  <c r="AK17" i="12" s="1"/>
  <c r="AL17" i="12" s="1"/>
  <c r="AZ17" i="12"/>
  <c r="AV17" i="12"/>
  <c r="BB17" i="12"/>
  <c r="AJ44" i="12"/>
  <c r="AK44" i="12" s="1"/>
  <c r="AL44" i="12" s="1"/>
  <c r="BD44" i="12"/>
  <c r="BB44" i="12"/>
  <c r="AZ44" i="12"/>
  <c r="AX44" i="12"/>
  <c r="AV44" i="12"/>
  <c r="AS44" i="12"/>
  <c r="AT44" i="12" s="1"/>
  <c r="AU44" i="12" s="1"/>
  <c r="BJ44" i="12"/>
  <c r="BH44" i="12"/>
  <c r="BF44" i="12"/>
  <c r="AP44" i="12"/>
  <c r="AQ44" i="12" s="1"/>
  <c r="AR44" i="12" s="1"/>
  <c r="AM44" i="12"/>
  <c r="AN44" i="12" s="1"/>
  <c r="AO44" i="12" s="1"/>
  <c r="AX54" i="12"/>
  <c r="AV54" i="12"/>
  <c r="BJ54" i="12"/>
  <c r="AS54" i="12"/>
  <c r="AT54" i="12" s="1"/>
  <c r="AU54" i="12" s="1"/>
  <c r="BH54" i="12"/>
  <c r="AP54" i="12"/>
  <c r="AQ54" i="12" s="1"/>
  <c r="AR54" i="12" s="1"/>
  <c r="BD54" i="12"/>
  <c r="AM54" i="12"/>
  <c r="AN54" i="12" s="1"/>
  <c r="AO54" i="12" s="1"/>
  <c r="AZ54" i="12"/>
  <c r="AJ54" i="12"/>
  <c r="AK54" i="12" s="1"/>
  <c r="BF54" i="12"/>
  <c r="BB54" i="12"/>
  <c r="BH71" i="12"/>
  <c r="AX71" i="12"/>
  <c r="AV71" i="12"/>
  <c r="BJ71" i="12"/>
  <c r="AS71" i="12"/>
  <c r="AT71" i="12" s="1"/>
  <c r="AU71" i="12" s="1"/>
  <c r="AP71" i="12"/>
  <c r="AQ71" i="12" s="1"/>
  <c r="AR71" i="12" s="1"/>
  <c r="BD71" i="12"/>
  <c r="AM71" i="12"/>
  <c r="AN71" i="12" s="1"/>
  <c r="AO71" i="12" s="1"/>
  <c r="BF71" i="12"/>
  <c r="BB71" i="12"/>
  <c r="AZ71" i="12"/>
  <c r="AJ71" i="12"/>
  <c r="AK71" i="12" s="1"/>
  <c r="BF81" i="12"/>
  <c r="AP81" i="12"/>
  <c r="AQ81" i="12" s="1"/>
  <c r="AR81" i="12" s="1"/>
  <c r="BD81" i="12"/>
  <c r="AM81" i="12"/>
  <c r="AN81" i="12" s="1"/>
  <c r="AO81" i="12" s="1"/>
  <c r="BB81" i="12"/>
  <c r="AV81" i="12"/>
  <c r="AJ81" i="12"/>
  <c r="AK81" i="12" s="1"/>
  <c r="BJ81" i="12"/>
  <c r="BH81" i="12"/>
  <c r="AZ81" i="12"/>
  <c r="AX81" i="12"/>
  <c r="AS81" i="12"/>
  <c r="AT81" i="12" s="1"/>
  <c r="AU81" i="12" s="1"/>
  <c r="BF108" i="12"/>
  <c r="AP108" i="12"/>
  <c r="AQ108" i="12" s="1"/>
  <c r="AR108" i="12" s="1"/>
  <c r="BD108" i="12"/>
  <c r="AM108" i="12"/>
  <c r="AN108" i="12" s="1"/>
  <c r="AO108" i="12" s="1"/>
  <c r="BB108" i="12"/>
  <c r="AZ108" i="12"/>
  <c r="AJ108" i="12"/>
  <c r="AK108" i="12" s="1"/>
  <c r="AL108" i="12" s="1"/>
  <c r="BJ108" i="12"/>
  <c r="BH108" i="12"/>
  <c r="AS108" i="12"/>
  <c r="AT108" i="12" s="1"/>
  <c r="AU108" i="12" s="1"/>
  <c r="AX108" i="12"/>
  <c r="AV108" i="12"/>
  <c r="BH124" i="12"/>
  <c r="AJ124" i="12"/>
  <c r="AK124" i="12" s="1"/>
  <c r="AX124" i="12"/>
  <c r="BJ124" i="12"/>
  <c r="AM124" i="12"/>
  <c r="AN124" i="12" s="1"/>
  <c r="AO124" i="12" s="1"/>
  <c r="BF124" i="12"/>
  <c r="BD124" i="12"/>
  <c r="AV124" i="12"/>
  <c r="BB124" i="12"/>
  <c r="AZ124" i="12"/>
  <c r="AS124" i="12"/>
  <c r="AT124" i="12" s="1"/>
  <c r="AU124" i="12" s="1"/>
  <c r="AP124" i="12"/>
  <c r="AQ124" i="12" s="1"/>
  <c r="AR124" i="12" s="1"/>
  <c r="BH140" i="12"/>
  <c r="BB140" i="12"/>
  <c r="AJ140" i="12"/>
  <c r="AK140" i="12" s="1"/>
  <c r="AZ140" i="12"/>
  <c r="AX140" i="12"/>
  <c r="BJ140" i="12"/>
  <c r="AS140" i="12"/>
  <c r="AT140" i="12" s="1"/>
  <c r="AU140" i="12" s="1"/>
  <c r="AP140" i="12"/>
  <c r="AQ140" i="12" s="1"/>
  <c r="AR140" i="12" s="1"/>
  <c r="AM140" i="12"/>
  <c r="AN140" i="12" s="1"/>
  <c r="AO140" i="12" s="1"/>
  <c r="BF140" i="12"/>
  <c r="BD140" i="12"/>
  <c r="AV140" i="12"/>
  <c r="AV156" i="12"/>
  <c r="AX156" i="12"/>
  <c r="BJ156" i="12"/>
  <c r="AS156" i="12"/>
  <c r="AT156" i="12" s="1"/>
  <c r="AU156" i="12" s="1"/>
  <c r="BH156" i="12"/>
  <c r="AP156" i="12"/>
  <c r="AQ156" i="12" s="1"/>
  <c r="AR156" i="12" s="1"/>
  <c r="BD156" i="12"/>
  <c r="AM156" i="12"/>
  <c r="AN156" i="12" s="1"/>
  <c r="AO156" i="12" s="1"/>
  <c r="BB156" i="12"/>
  <c r="AZ156" i="12"/>
  <c r="BF156" i="12"/>
  <c r="AJ156" i="12"/>
  <c r="AK156" i="12" s="1"/>
  <c r="AZ172" i="12"/>
  <c r="AJ172" i="12"/>
  <c r="AK172" i="12" s="1"/>
  <c r="AV172" i="12"/>
  <c r="AM172" i="12"/>
  <c r="AN172" i="12" s="1"/>
  <c r="AO172" i="12" s="1"/>
  <c r="BD172" i="12"/>
  <c r="BB172" i="12"/>
  <c r="AX172" i="12"/>
  <c r="AS172" i="12"/>
  <c r="AT172" i="12" s="1"/>
  <c r="AU172" i="12" s="1"/>
  <c r="BH172" i="12"/>
  <c r="BF172" i="12"/>
  <c r="BJ172" i="12"/>
  <c r="AP172" i="12"/>
  <c r="AQ172" i="12" s="1"/>
  <c r="AR172" i="12" s="1"/>
  <c r="BB188" i="12"/>
  <c r="AZ188" i="12"/>
  <c r="AJ188" i="12"/>
  <c r="AK188" i="12" s="1"/>
  <c r="AX188" i="12"/>
  <c r="AV188" i="12"/>
  <c r="AS188" i="12"/>
  <c r="AT188" i="12" s="1"/>
  <c r="AU188" i="12" s="1"/>
  <c r="BH188" i="12"/>
  <c r="AM188" i="12"/>
  <c r="AN188" i="12" s="1"/>
  <c r="AO188" i="12" s="1"/>
  <c r="BJ188" i="12"/>
  <c r="BD188" i="12"/>
  <c r="BF188" i="12"/>
  <c r="AP188" i="12"/>
  <c r="AQ188" i="12" s="1"/>
  <c r="AR188" i="12" s="1"/>
  <c r="BJ204" i="12"/>
  <c r="AS204" i="12"/>
  <c r="AT204" i="12" s="1"/>
  <c r="AU204" i="12" s="1"/>
  <c r="BF204" i="12"/>
  <c r="BD204" i="12"/>
  <c r="AJ204" i="12"/>
  <c r="AK204" i="12" s="1"/>
  <c r="BB204" i="12"/>
  <c r="AZ204" i="12"/>
  <c r="AV204" i="12"/>
  <c r="BH204" i="12"/>
  <c r="AX204" i="12"/>
  <c r="AP204" i="12"/>
  <c r="AQ204" i="12" s="1"/>
  <c r="AR204" i="12" s="1"/>
  <c r="AM204" i="12"/>
  <c r="AN204" i="12" s="1"/>
  <c r="AO204" i="12" s="1"/>
  <c r="AS220" i="12"/>
  <c r="AT220" i="12" s="1"/>
  <c r="AU220" i="12" s="1"/>
  <c r="BB220" i="12"/>
  <c r="AJ220" i="12"/>
  <c r="AK220" i="12" s="1"/>
  <c r="AZ220" i="12"/>
  <c r="AX220" i="12"/>
  <c r="AV220" i="12"/>
  <c r="BJ220" i="12"/>
  <c r="BH220" i="12"/>
  <c r="BF220" i="12"/>
  <c r="BD220" i="12"/>
  <c r="AP220" i="12"/>
  <c r="AQ220" i="12" s="1"/>
  <c r="AR220" i="12" s="1"/>
  <c r="AM220" i="12"/>
  <c r="AN220" i="12" s="1"/>
  <c r="AO220" i="12" s="1"/>
  <c r="BJ266" i="12"/>
  <c r="AM266" i="12"/>
  <c r="AN266" i="12" s="1"/>
  <c r="AO266" i="12" s="1"/>
  <c r="BH266" i="12"/>
  <c r="AP266" i="12"/>
  <c r="AQ266" i="12" s="1"/>
  <c r="AR266" i="12" s="1"/>
  <c r="BF266" i="12"/>
  <c r="BB266" i="12"/>
  <c r="AJ266" i="12"/>
  <c r="AK266" i="12" s="1"/>
  <c r="AZ266" i="12"/>
  <c r="BD266" i="12"/>
  <c r="AV266" i="12"/>
  <c r="AS266" i="12"/>
  <c r="AT266" i="12" s="1"/>
  <c r="AU266" i="12" s="1"/>
  <c r="AX266" i="12"/>
  <c r="BH279" i="12"/>
  <c r="AV279" i="12"/>
  <c r="BD279" i="12"/>
  <c r="BB279" i="12"/>
  <c r="AZ279" i="12"/>
  <c r="AX279" i="12"/>
  <c r="AS279" i="12"/>
  <c r="AT279" i="12" s="1"/>
  <c r="AU279" i="12" s="1"/>
  <c r="BJ279" i="12"/>
  <c r="BF279" i="12"/>
  <c r="AP279" i="12"/>
  <c r="AQ279" i="12" s="1"/>
  <c r="AR279" i="12" s="1"/>
  <c r="AM279" i="12"/>
  <c r="AN279" i="12" s="1"/>
  <c r="AO279" i="12" s="1"/>
  <c r="AJ279" i="12"/>
  <c r="AK279" i="12" s="1"/>
  <c r="AX293" i="12"/>
  <c r="AV293" i="12"/>
  <c r="BH293" i="12"/>
  <c r="BJ293" i="12"/>
  <c r="AM293" i="12"/>
  <c r="AN293" i="12" s="1"/>
  <c r="AO293" i="12" s="1"/>
  <c r="BF293" i="12"/>
  <c r="BB293" i="12"/>
  <c r="AZ293" i="12"/>
  <c r="BD293" i="12"/>
  <c r="AS293" i="12"/>
  <c r="AT293" i="12" s="1"/>
  <c r="AU293" i="12" s="1"/>
  <c r="AP293" i="12"/>
  <c r="AQ293" i="12" s="1"/>
  <c r="AR293" i="12" s="1"/>
  <c r="AJ293" i="12"/>
  <c r="AK293" i="12" s="1"/>
  <c r="BH326" i="12"/>
  <c r="AP326" i="12"/>
  <c r="AQ326" i="12" s="1"/>
  <c r="AR326" i="12" s="1"/>
  <c r="BF326" i="12"/>
  <c r="BD326" i="12"/>
  <c r="AJ326" i="12"/>
  <c r="AK326" i="12" s="1"/>
  <c r="BB326" i="12"/>
  <c r="AZ326" i="12"/>
  <c r="BJ326" i="12"/>
  <c r="AX326" i="12"/>
  <c r="AS326" i="12"/>
  <c r="AT326" i="12" s="1"/>
  <c r="AU326" i="12" s="1"/>
  <c r="AM326" i="12"/>
  <c r="AN326" i="12" s="1"/>
  <c r="AO326" i="12" s="1"/>
  <c r="AV326" i="12"/>
  <c r="BB329" i="12"/>
  <c r="AZ329" i="12"/>
  <c r="AX329" i="12"/>
  <c r="AV329" i="12"/>
  <c r="AS329" i="12"/>
  <c r="AT329" i="12" s="1"/>
  <c r="AU329" i="12" s="1"/>
  <c r="BJ329" i="12"/>
  <c r="BD329" i="12"/>
  <c r="AP329" i="12"/>
  <c r="AQ329" i="12" s="1"/>
  <c r="AR329" i="12" s="1"/>
  <c r="AM329" i="12"/>
  <c r="AN329" i="12" s="1"/>
  <c r="AO329" i="12" s="1"/>
  <c r="AJ329" i="12"/>
  <c r="AK329" i="12" s="1"/>
  <c r="BH329" i="12"/>
  <c r="BF329" i="12"/>
  <c r="AM345" i="12"/>
  <c r="AN345" i="12" s="1"/>
  <c r="AO345" i="12" s="1"/>
  <c r="BF345" i="12"/>
  <c r="AP345" i="12"/>
  <c r="AQ345" i="12" s="1"/>
  <c r="AR345" i="12" s="1"/>
  <c r="BD345" i="12"/>
  <c r="AJ345" i="12"/>
  <c r="AK345" i="12" s="1"/>
  <c r="BB345" i="12"/>
  <c r="AS345" i="12"/>
  <c r="AT345" i="12" s="1"/>
  <c r="AU345" i="12" s="1"/>
  <c r="BJ345" i="12"/>
  <c r="BH345" i="12"/>
  <c r="AX345" i="12"/>
  <c r="AZ345" i="12"/>
  <c r="AV345" i="12"/>
  <c r="BB10" i="12"/>
  <c r="AJ10" i="12"/>
  <c r="AK10" i="12" s="1"/>
  <c r="AL10" i="12" s="1"/>
  <c r="AZ10" i="12"/>
  <c r="AX10" i="12"/>
  <c r="AV10" i="12"/>
  <c r="BH10" i="12"/>
  <c r="BJ10" i="12"/>
  <c r="BF10" i="12"/>
  <c r="BD10" i="12"/>
  <c r="AS10" i="12"/>
  <c r="AT10" i="12" s="1"/>
  <c r="AU10" i="12" s="1"/>
  <c r="AP10" i="12"/>
  <c r="AQ10" i="12" s="1"/>
  <c r="AR10" i="12" s="1"/>
  <c r="AM10" i="12"/>
  <c r="AN10" i="12" s="1"/>
  <c r="AO10" i="12" s="1"/>
  <c r="C19" i="8"/>
  <c r="AX27" i="12"/>
  <c r="AV27" i="12"/>
  <c r="BJ27" i="12"/>
  <c r="AS27" i="12"/>
  <c r="AT27" i="12" s="1"/>
  <c r="AU27" i="12" s="1"/>
  <c r="BH27" i="12"/>
  <c r="AP27" i="12"/>
  <c r="AQ27" i="12" s="1"/>
  <c r="AR27" i="12" s="1"/>
  <c r="BB27" i="12"/>
  <c r="AM27" i="12"/>
  <c r="AN27" i="12" s="1"/>
  <c r="AO27" i="12" s="1"/>
  <c r="AJ27" i="12"/>
  <c r="AK27" i="12" s="1"/>
  <c r="AL27" i="12" s="1"/>
  <c r="BF27" i="12"/>
  <c r="BD27" i="12"/>
  <c r="AZ27" i="12"/>
  <c r="C46" i="8"/>
  <c r="BD64" i="12"/>
  <c r="AM64" i="12"/>
  <c r="AN64" i="12" s="1"/>
  <c r="AO64" i="12" s="1"/>
  <c r="BB64" i="12"/>
  <c r="AJ64" i="12"/>
  <c r="AK64" i="12" s="1"/>
  <c r="AZ64" i="12"/>
  <c r="AX64" i="12"/>
  <c r="AV64" i="12"/>
  <c r="AP64" i="12"/>
  <c r="AQ64" i="12" s="1"/>
  <c r="AR64" i="12" s="1"/>
  <c r="BH64" i="12"/>
  <c r="BF64" i="12"/>
  <c r="BJ64" i="12"/>
  <c r="AS64" i="12"/>
  <c r="AT64" i="12" s="1"/>
  <c r="AU64" i="12" s="1"/>
  <c r="AS74" i="12"/>
  <c r="AT74" i="12" s="1"/>
  <c r="AU74" i="12" s="1"/>
  <c r="BJ74" i="12"/>
  <c r="BH74" i="12"/>
  <c r="AP74" i="12"/>
  <c r="AQ74" i="12" s="1"/>
  <c r="AR74" i="12" s="1"/>
  <c r="BF74" i="12"/>
  <c r="BD74" i="12"/>
  <c r="AM74" i="12"/>
  <c r="AN74" i="12" s="1"/>
  <c r="AO74" i="12" s="1"/>
  <c r="AJ74" i="12"/>
  <c r="AK74" i="12" s="1"/>
  <c r="AZ74" i="12"/>
  <c r="BB74" i="12"/>
  <c r="AX74" i="12"/>
  <c r="AV74" i="12"/>
  <c r="BJ91" i="12"/>
  <c r="AS91" i="12"/>
  <c r="AT91" i="12" s="1"/>
  <c r="AU91" i="12" s="1"/>
  <c r="BH91" i="12"/>
  <c r="AP91" i="12"/>
  <c r="AQ91" i="12" s="1"/>
  <c r="AR91" i="12" s="1"/>
  <c r="BF91" i="12"/>
  <c r="BD91" i="12"/>
  <c r="AM91" i="12"/>
  <c r="AN91" i="12" s="1"/>
  <c r="AO91" i="12" s="1"/>
  <c r="AJ91" i="12"/>
  <c r="AK91" i="12" s="1"/>
  <c r="AZ91" i="12"/>
  <c r="BB91" i="12"/>
  <c r="AV91" i="12"/>
  <c r="AX91" i="12"/>
  <c r="BD101" i="12"/>
  <c r="AM101" i="12"/>
  <c r="AN101" i="12" s="1"/>
  <c r="AO101" i="12" s="1"/>
  <c r="BJ101" i="12"/>
  <c r="BH101" i="12"/>
  <c r="AP101" i="12"/>
  <c r="AQ101" i="12" s="1"/>
  <c r="AR101" i="12" s="1"/>
  <c r="BF101" i="12"/>
  <c r="BB101" i="12"/>
  <c r="AJ101" i="12"/>
  <c r="AK101" i="12" s="1"/>
  <c r="AL101" i="12" s="1"/>
  <c r="AX101" i="12"/>
  <c r="AZ101" i="12"/>
  <c r="AV101" i="12"/>
  <c r="AS101" i="12"/>
  <c r="AT101" i="12" s="1"/>
  <c r="AU101" i="12" s="1"/>
  <c r="BF111" i="12"/>
  <c r="AP111" i="12"/>
  <c r="AQ111" i="12" s="1"/>
  <c r="AR111" i="12" s="1"/>
  <c r="BD111" i="12"/>
  <c r="AM111" i="12"/>
  <c r="AN111" i="12" s="1"/>
  <c r="AO111" i="12" s="1"/>
  <c r="BB111" i="12"/>
  <c r="AX111" i="12"/>
  <c r="AV111" i="12"/>
  <c r="BJ111" i="12"/>
  <c r="BH111" i="12"/>
  <c r="AZ111" i="12"/>
  <c r="AJ111" i="12"/>
  <c r="AK111" i="12" s="1"/>
  <c r="AS111" i="12"/>
  <c r="AT111" i="12" s="1"/>
  <c r="AU111" i="12" s="1"/>
  <c r="AS127" i="12"/>
  <c r="AT127" i="12" s="1"/>
  <c r="AU127" i="12" s="1"/>
  <c r="AX127" i="12"/>
  <c r="AV127" i="12"/>
  <c r="BH127" i="12"/>
  <c r="AJ127" i="12"/>
  <c r="AK127" i="12" s="1"/>
  <c r="BD127" i="12"/>
  <c r="BB127" i="12"/>
  <c r="AZ127" i="12"/>
  <c r="AP127" i="12"/>
  <c r="AQ127" i="12" s="1"/>
  <c r="AR127" i="12" s="1"/>
  <c r="BJ127" i="12"/>
  <c r="BF127" i="12"/>
  <c r="AM127" i="12"/>
  <c r="AN127" i="12" s="1"/>
  <c r="AO127" i="12" s="1"/>
  <c r="AS143" i="12"/>
  <c r="AT143" i="12" s="1"/>
  <c r="AU143" i="12" s="1"/>
  <c r="AX143" i="12"/>
  <c r="AV143" i="12"/>
  <c r="BJ143" i="12"/>
  <c r="BF143" i="12"/>
  <c r="BD143" i="12"/>
  <c r="AM143" i="12"/>
  <c r="AN143" i="12" s="1"/>
  <c r="AO143" i="12" s="1"/>
  <c r="BH143" i="12"/>
  <c r="BB143" i="12"/>
  <c r="AP143" i="12"/>
  <c r="AQ143" i="12" s="1"/>
  <c r="AR143" i="12" s="1"/>
  <c r="AJ143" i="12"/>
  <c r="AK143" i="12" s="1"/>
  <c r="AZ143" i="12"/>
  <c r="AM175" i="12"/>
  <c r="AN175" i="12" s="1"/>
  <c r="AO175" i="12" s="1"/>
  <c r="BB175" i="12"/>
  <c r="AZ175" i="12"/>
  <c r="AJ175" i="12"/>
  <c r="AK175" i="12" s="1"/>
  <c r="AV175" i="12"/>
  <c r="AS175" i="12"/>
  <c r="AT175" i="12" s="1"/>
  <c r="AU175" i="12" s="1"/>
  <c r="AP175" i="12"/>
  <c r="AQ175" i="12" s="1"/>
  <c r="AR175" i="12" s="1"/>
  <c r="BH175" i="12"/>
  <c r="BJ175" i="12"/>
  <c r="BF175" i="12"/>
  <c r="AX175" i="12"/>
  <c r="BD175" i="12"/>
  <c r="BB207" i="12"/>
  <c r="AZ207" i="12"/>
  <c r="AJ207" i="12"/>
  <c r="AK207" i="12" s="1"/>
  <c r="AX207" i="12"/>
  <c r="AV207" i="12"/>
  <c r="BJ207" i="12"/>
  <c r="BH207" i="12"/>
  <c r="BD207" i="12"/>
  <c r="AS207" i="12"/>
  <c r="AT207" i="12" s="1"/>
  <c r="AU207" i="12" s="1"/>
  <c r="AP207" i="12"/>
  <c r="AQ207" i="12" s="1"/>
  <c r="AR207" i="12" s="1"/>
  <c r="BF207" i="12"/>
  <c r="AM207" i="12"/>
  <c r="AN207" i="12" s="1"/>
  <c r="AO207" i="12" s="1"/>
  <c r="AX223" i="12"/>
  <c r="BJ223" i="12"/>
  <c r="BD223" i="12"/>
  <c r="BB223" i="12"/>
  <c r="AJ223" i="12"/>
  <c r="AK223" i="12" s="1"/>
  <c r="AZ223" i="12"/>
  <c r="AV223" i="12"/>
  <c r="AS223" i="12"/>
  <c r="AT223" i="12" s="1"/>
  <c r="AU223" i="12" s="1"/>
  <c r="BH223" i="12"/>
  <c r="BF223" i="12"/>
  <c r="AP223" i="12"/>
  <c r="AQ223" i="12" s="1"/>
  <c r="AR223" i="12" s="1"/>
  <c r="AM223" i="12"/>
  <c r="AN223" i="12" s="1"/>
  <c r="AO223" i="12" s="1"/>
  <c r="BJ234" i="12"/>
  <c r="BD234" i="12"/>
  <c r="AM234" i="12"/>
  <c r="AN234" i="12" s="1"/>
  <c r="AO234" i="12" s="1"/>
  <c r="BB234" i="12"/>
  <c r="AJ234" i="12"/>
  <c r="AK234" i="12" s="1"/>
  <c r="AL234" i="12" s="1"/>
  <c r="AZ234" i="12"/>
  <c r="AX234" i="12"/>
  <c r="AS234" i="12"/>
  <c r="AT234" i="12" s="1"/>
  <c r="AU234" i="12" s="1"/>
  <c r="BH234" i="12"/>
  <c r="BF234" i="12"/>
  <c r="AV234" i="12"/>
  <c r="AP234" i="12"/>
  <c r="AQ234" i="12" s="1"/>
  <c r="AR234" i="12" s="1"/>
  <c r="BF242" i="12"/>
  <c r="AP242" i="12"/>
  <c r="AQ242" i="12" s="1"/>
  <c r="AR242" i="12" s="1"/>
  <c r="BD242" i="12"/>
  <c r="AM242" i="12"/>
  <c r="AN242" i="12" s="1"/>
  <c r="AO242" i="12" s="1"/>
  <c r="BB242" i="12"/>
  <c r="AV242" i="12"/>
  <c r="AS242" i="12"/>
  <c r="AT242" i="12" s="1"/>
  <c r="AU242" i="12" s="1"/>
  <c r="AJ242" i="12"/>
  <c r="AK242" i="12" s="1"/>
  <c r="AL242" i="12" s="1"/>
  <c r="BJ242" i="12"/>
  <c r="BH242" i="12"/>
  <c r="AX242" i="12"/>
  <c r="AZ242" i="12"/>
  <c r="AX250" i="12"/>
  <c r="AV250" i="12"/>
  <c r="BJ250" i="12"/>
  <c r="AS250" i="12"/>
  <c r="AT250" i="12" s="1"/>
  <c r="AU250" i="12" s="1"/>
  <c r="BH250" i="12"/>
  <c r="AP250" i="12"/>
  <c r="AQ250" i="12" s="1"/>
  <c r="AR250" i="12" s="1"/>
  <c r="BF250" i="12"/>
  <c r="BD250" i="12"/>
  <c r="AM250" i="12"/>
  <c r="AN250" i="12" s="1"/>
  <c r="AO250" i="12" s="1"/>
  <c r="AJ250" i="12"/>
  <c r="AK250" i="12" s="1"/>
  <c r="AL250" i="12" s="1"/>
  <c r="BB250" i="12"/>
  <c r="AZ250" i="12"/>
  <c r="BB258" i="12"/>
  <c r="AJ258" i="12"/>
  <c r="AK258" i="12" s="1"/>
  <c r="AZ258" i="12"/>
  <c r="AX258" i="12"/>
  <c r="AM258" i="12"/>
  <c r="AN258" i="12" s="1"/>
  <c r="AO258" i="12" s="1"/>
  <c r="BJ258" i="12"/>
  <c r="BH258" i="12"/>
  <c r="BF258" i="12"/>
  <c r="BD258" i="12"/>
  <c r="AS258" i="12"/>
  <c r="AT258" i="12" s="1"/>
  <c r="AU258" i="12" s="1"/>
  <c r="AV258" i="12"/>
  <c r="AP258" i="12"/>
  <c r="AQ258" i="12" s="1"/>
  <c r="AR258" i="12" s="1"/>
  <c r="AV298" i="12"/>
  <c r="BJ298" i="12"/>
  <c r="AS298" i="12"/>
  <c r="AT298" i="12" s="1"/>
  <c r="AU298" i="12" s="1"/>
  <c r="BH298" i="12"/>
  <c r="AP298" i="12"/>
  <c r="AQ298" i="12" s="1"/>
  <c r="AR298" i="12" s="1"/>
  <c r="BD298" i="12"/>
  <c r="AM298" i="12"/>
  <c r="AN298" i="12" s="1"/>
  <c r="AO298" i="12" s="1"/>
  <c r="BB298" i="12"/>
  <c r="AZ298" i="12"/>
  <c r="BF298" i="12"/>
  <c r="AJ298" i="12"/>
  <c r="AK298" i="12" s="1"/>
  <c r="AX298" i="12"/>
  <c r="BJ313" i="12"/>
  <c r="AV313" i="12"/>
  <c r="AS313" i="12"/>
  <c r="AT313" i="12" s="1"/>
  <c r="AU313" i="12" s="1"/>
  <c r="BH313" i="12"/>
  <c r="AP313" i="12"/>
  <c r="AQ313" i="12" s="1"/>
  <c r="AR313" i="12" s="1"/>
  <c r="BF313" i="12"/>
  <c r="AZ313" i="12"/>
  <c r="AX313" i="12"/>
  <c r="AM313" i="12"/>
  <c r="AN313" i="12" s="1"/>
  <c r="AO313" i="12" s="1"/>
  <c r="AJ313" i="12"/>
  <c r="AK313" i="12" s="1"/>
  <c r="BB313" i="12"/>
  <c r="BD313" i="12"/>
  <c r="BJ318" i="12"/>
  <c r="AS318" i="12"/>
  <c r="AT318" i="12" s="1"/>
  <c r="AU318" i="12" s="1"/>
  <c r="BF318" i="12"/>
  <c r="AM318" i="12"/>
  <c r="AN318" i="12" s="1"/>
  <c r="AO318" i="12" s="1"/>
  <c r="BD318" i="12"/>
  <c r="BB318" i="12"/>
  <c r="AZ318" i="12"/>
  <c r="AX318" i="12"/>
  <c r="AV318" i="12"/>
  <c r="AP318" i="12"/>
  <c r="AQ318" i="12" s="1"/>
  <c r="AR318" i="12" s="1"/>
  <c r="AJ318" i="12"/>
  <c r="AK318" i="12" s="1"/>
  <c r="BH318" i="12"/>
  <c r="AZ47" i="12"/>
  <c r="AJ47" i="12"/>
  <c r="AK47" i="12" s="1"/>
  <c r="AX47" i="12"/>
  <c r="BD47" i="12"/>
  <c r="BB47" i="12"/>
  <c r="AV47" i="12"/>
  <c r="AS47" i="12"/>
  <c r="AT47" i="12" s="1"/>
  <c r="AU47" i="12" s="1"/>
  <c r="BJ47" i="12"/>
  <c r="AP47" i="12"/>
  <c r="AQ47" i="12" s="1"/>
  <c r="AR47" i="12" s="1"/>
  <c r="AM47" i="12"/>
  <c r="AN47" i="12" s="1"/>
  <c r="AO47" i="12" s="1"/>
  <c r="BH47" i="12"/>
  <c r="BF47" i="12"/>
  <c r="AX57" i="12"/>
  <c r="BJ57" i="12"/>
  <c r="AS57" i="12"/>
  <c r="AT57" i="12" s="1"/>
  <c r="AU57" i="12" s="1"/>
  <c r="BH57" i="12"/>
  <c r="AP57" i="12"/>
  <c r="AQ57" i="12" s="1"/>
  <c r="AR57" i="12" s="1"/>
  <c r="BF57" i="12"/>
  <c r="BD57" i="12"/>
  <c r="AM57" i="12"/>
  <c r="AN57" i="12" s="1"/>
  <c r="AO57" i="12" s="1"/>
  <c r="AJ57" i="12"/>
  <c r="AK57" i="12" s="1"/>
  <c r="AZ57" i="12"/>
  <c r="AV57" i="12"/>
  <c r="BB57" i="12"/>
  <c r="BH84" i="12"/>
  <c r="AJ84" i="12"/>
  <c r="AK84" i="12" s="1"/>
  <c r="AZ84" i="12"/>
  <c r="AX84" i="12"/>
  <c r="AV84" i="12"/>
  <c r="AP84" i="12"/>
  <c r="AQ84" i="12" s="1"/>
  <c r="AR84" i="12" s="1"/>
  <c r="BF84" i="12"/>
  <c r="BJ84" i="12"/>
  <c r="BD84" i="12"/>
  <c r="AS84" i="12"/>
  <c r="AT84" i="12" s="1"/>
  <c r="AU84" i="12" s="1"/>
  <c r="AM84" i="12"/>
  <c r="AN84" i="12" s="1"/>
  <c r="AO84" i="12" s="1"/>
  <c r="BB84" i="12"/>
  <c r="BF94" i="12"/>
  <c r="AP94" i="12"/>
  <c r="AQ94" i="12" s="1"/>
  <c r="AR94" i="12" s="1"/>
  <c r="BH94" i="12"/>
  <c r="BD94" i="12"/>
  <c r="AM94" i="12"/>
  <c r="AN94" i="12" s="1"/>
  <c r="AO94" i="12" s="1"/>
  <c r="BB94" i="12"/>
  <c r="AX94" i="12"/>
  <c r="BJ94" i="12"/>
  <c r="AZ94" i="12"/>
  <c r="AV94" i="12"/>
  <c r="AS94" i="12"/>
  <c r="AT94" i="12" s="1"/>
  <c r="AU94" i="12" s="1"/>
  <c r="AJ94" i="12"/>
  <c r="AK94" i="12" s="1"/>
  <c r="C103" i="8"/>
  <c r="BH114" i="12"/>
  <c r="BF114" i="12"/>
  <c r="AP114" i="12"/>
  <c r="AQ114" i="12" s="1"/>
  <c r="AR114" i="12" s="1"/>
  <c r="BD114" i="12"/>
  <c r="AM114" i="12"/>
  <c r="AN114" i="12" s="1"/>
  <c r="AO114" i="12" s="1"/>
  <c r="BB114" i="12"/>
  <c r="AX114" i="12"/>
  <c r="AZ114" i="12"/>
  <c r="AV114" i="12"/>
  <c r="AS114" i="12"/>
  <c r="AT114" i="12" s="1"/>
  <c r="AU114" i="12" s="1"/>
  <c r="BJ114" i="12"/>
  <c r="AJ114" i="12"/>
  <c r="AK114" i="12" s="1"/>
  <c r="BJ146" i="12"/>
  <c r="AV146" i="12"/>
  <c r="AS146" i="12"/>
  <c r="AT146" i="12" s="1"/>
  <c r="AU146" i="12" s="1"/>
  <c r="BH146" i="12"/>
  <c r="AP146" i="12"/>
  <c r="AQ146" i="12" s="1"/>
  <c r="AR146" i="12" s="1"/>
  <c r="BD146" i="12"/>
  <c r="AM146" i="12"/>
  <c r="AN146" i="12" s="1"/>
  <c r="AO146" i="12" s="1"/>
  <c r="BB146" i="12"/>
  <c r="AJ146" i="12"/>
  <c r="AK146" i="12" s="1"/>
  <c r="AZ146" i="12"/>
  <c r="BF146" i="12"/>
  <c r="AX146" i="12"/>
  <c r="AX162" i="12"/>
  <c r="AP162" i="12"/>
  <c r="AQ162" i="12" s="1"/>
  <c r="AR162" i="12" s="1"/>
  <c r="BF162" i="12"/>
  <c r="BD162" i="12"/>
  <c r="AM162" i="12"/>
  <c r="AN162" i="12" s="1"/>
  <c r="AO162" i="12" s="1"/>
  <c r="BB162" i="12"/>
  <c r="AJ162" i="12"/>
  <c r="AK162" i="12" s="1"/>
  <c r="AZ162" i="12"/>
  <c r="AV162" i="12"/>
  <c r="AS162" i="12"/>
  <c r="AT162" i="12" s="1"/>
  <c r="AU162" i="12" s="1"/>
  <c r="BJ162" i="12"/>
  <c r="BH162" i="12"/>
  <c r="AV194" i="12"/>
  <c r="AS194" i="12"/>
  <c r="AT194" i="12" s="1"/>
  <c r="AU194" i="12" s="1"/>
  <c r="BJ194" i="12"/>
  <c r="BH194" i="12"/>
  <c r="AP194" i="12"/>
  <c r="AQ194" i="12" s="1"/>
  <c r="AR194" i="12" s="1"/>
  <c r="BF194" i="12"/>
  <c r="BD194" i="12"/>
  <c r="BB194" i="12"/>
  <c r="AZ194" i="12"/>
  <c r="AM194" i="12"/>
  <c r="AN194" i="12" s="1"/>
  <c r="AO194" i="12" s="1"/>
  <c r="AJ194" i="12"/>
  <c r="AK194" i="12" s="1"/>
  <c r="AX194" i="12"/>
  <c r="AS263" i="12"/>
  <c r="AT263" i="12" s="1"/>
  <c r="AU263" i="12" s="1"/>
  <c r="BB263" i="12"/>
  <c r="AZ263" i="12"/>
  <c r="AX263" i="12"/>
  <c r="AV263" i="12"/>
  <c r="BH263" i="12"/>
  <c r="BF263" i="12"/>
  <c r="BD263" i="12"/>
  <c r="AM263" i="12"/>
  <c r="AN263" i="12" s="1"/>
  <c r="AO263" i="12" s="1"/>
  <c r="BJ263" i="12"/>
  <c r="AP263" i="12"/>
  <c r="AQ263" i="12" s="1"/>
  <c r="AR263" i="12" s="1"/>
  <c r="AJ263" i="12"/>
  <c r="AK263" i="12" s="1"/>
  <c r="AZ271" i="12"/>
  <c r="AJ271" i="12"/>
  <c r="AK271" i="12" s="1"/>
  <c r="AX271" i="12"/>
  <c r="AV271" i="12"/>
  <c r="BJ271" i="12"/>
  <c r="AS271" i="12"/>
  <c r="AT271" i="12" s="1"/>
  <c r="AU271" i="12" s="1"/>
  <c r="AP271" i="12"/>
  <c r="AQ271" i="12" s="1"/>
  <c r="AR271" i="12" s="1"/>
  <c r="AM271" i="12"/>
  <c r="AN271" i="12" s="1"/>
  <c r="AO271" i="12" s="1"/>
  <c r="BH271" i="12"/>
  <c r="BF271" i="12"/>
  <c r="BD271" i="12"/>
  <c r="BB271" i="12"/>
  <c r="AM308" i="12"/>
  <c r="AN308" i="12" s="1"/>
  <c r="AO308" i="12" s="1"/>
  <c r="AJ308" i="12"/>
  <c r="AK308" i="12" s="1"/>
  <c r="BB308" i="12"/>
  <c r="AZ308" i="12"/>
  <c r="AX308" i="12"/>
  <c r="AV308" i="12"/>
  <c r="AS308" i="12"/>
  <c r="AT308" i="12" s="1"/>
  <c r="AU308" i="12" s="1"/>
  <c r="BJ308" i="12"/>
  <c r="AP308" i="12"/>
  <c r="AQ308" i="12" s="1"/>
  <c r="AR308" i="12" s="1"/>
  <c r="BD308" i="12"/>
  <c r="BH308" i="12"/>
  <c r="BF308" i="12"/>
  <c r="AX337" i="12"/>
  <c r="AV337" i="12"/>
  <c r="BJ337" i="12"/>
  <c r="AS337" i="12"/>
  <c r="AT337" i="12" s="1"/>
  <c r="AU337" i="12" s="1"/>
  <c r="BD337" i="12"/>
  <c r="BB337" i="12"/>
  <c r="AZ337" i="12"/>
  <c r="BH337" i="12"/>
  <c r="BF337" i="12"/>
  <c r="AP337" i="12"/>
  <c r="AQ337" i="12" s="1"/>
  <c r="AR337" i="12" s="1"/>
  <c r="AM337" i="12"/>
  <c r="AN337" i="12" s="1"/>
  <c r="AO337" i="12" s="1"/>
  <c r="AJ337" i="12"/>
  <c r="AK337" i="12" s="1"/>
  <c r="BB13" i="12"/>
  <c r="AX13" i="12"/>
  <c r="AV13" i="12"/>
  <c r="BJ13" i="12"/>
  <c r="AS13" i="12"/>
  <c r="AT13" i="12" s="1"/>
  <c r="AU13" i="12" s="1"/>
  <c r="AP13" i="12"/>
  <c r="AQ13" i="12" s="1"/>
  <c r="AR13" i="12" s="1"/>
  <c r="BF13" i="12"/>
  <c r="AJ13" i="12"/>
  <c r="AK13" i="12" s="1"/>
  <c r="AL13" i="12" s="1"/>
  <c r="BH13" i="12"/>
  <c r="BD13" i="12"/>
  <c r="AZ13" i="12"/>
  <c r="AM13" i="12"/>
  <c r="AN13" i="12" s="1"/>
  <c r="AO13" i="12" s="1"/>
  <c r="C22" i="8"/>
  <c r="BB50" i="12"/>
  <c r="AJ50" i="12"/>
  <c r="AK50" i="12" s="1"/>
  <c r="AZ50" i="12"/>
  <c r="AX50" i="12"/>
  <c r="AV50" i="12"/>
  <c r="BH50" i="12"/>
  <c r="AM50" i="12"/>
  <c r="AN50" i="12" s="1"/>
  <c r="AO50" i="12" s="1"/>
  <c r="BJ50" i="12"/>
  <c r="BF50" i="12"/>
  <c r="BD50" i="12"/>
  <c r="AP50" i="12"/>
  <c r="AQ50" i="12" s="1"/>
  <c r="AR50" i="12" s="1"/>
  <c r="AS50" i="12"/>
  <c r="AT50" i="12" s="1"/>
  <c r="AU50" i="12" s="1"/>
  <c r="AV67" i="12"/>
  <c r="BB67" i="12"/>
  <c r="AJ67" i="12"/>
  <c r="AK67" i="12" s="1"/>
  <c r="AZ67" i="12"/>
  <c r="AX67" i="12"/>
  <c r="BH67" i="12"/>
  <c r="AM67" i="12"/>
  <c r="AN67" i="12" s="1"/>
  <c r="AO67" i="12" s="1"/>
  <c r="BF67" i="12"/>
  <c r="BD67" i="12"/>
  <c r="BJ67" i="12"/>
  <c r="AS67" i="12"/>
  <c r="AT67" i="12" s="1"/>
  <c r="AU67" i="12" s="1"/>
  <c r="AP67" i="12"/>
  <c r="AQ67" i="12" s="1"/>
  <c r="AR67" i="12" s="1"/>
  <c r="BJ77" i="12"/>
  <c r="AS77" i="12"/>
  <c r="AT77" i="12" s="1"/>
  <c r="AU77" i="12" s="1"/>
  <c r="BH77" i="12"/>
  <c r="BB77" i="12"/>
  <c r="AZ77" i="12"/>
  <c r="AX77" i="12"/>
  <c r="AV77" i="12"/>
  <c r="AP77" i="12"/>
  <c r="AQ77" i="12" s="1"/>
  <c r="AR77" i="12" s="1"/>
  <c r="BF77" i="12"/>
  <c r="BD77" i="12"/>
  <c r="AJ77" i="12"/>
  <c r="AK77" i="12" s="1"/>
  <c r="AM77" i="12"/>
  <c r="AN77" i="12" s="1"/>
  <c r="AO77" i="12" s="1"/>
  <c r="BJ104" i="12"/>
  <c r="AS104" i="12"/>
  <c r="AT104" i="12" s="1"/>
  <c r="AU104" i="12" s="1"/>
  <c r="BH104" i="12"/>
  <c r="BF104" i="12"/>
  <c r="AP104" i="12"/>
  <c r="AQ104" i="12" s="1"/>
  <c r="AR104" i="12" s="1"/>
  <c r="BD104" i="12"/>
  <c r="BB104" i="12"/>
  <c r="AX104" i="12"/>
  <c r="AV104" i="12"/>
  <c r="AM104" i="12"/>
  <c r="AN104" i="12" s="1"/>
  <c r="AO104" i="12" s="1"/>
  <c r="AJ104" i="12"/>
  <c r="AK104" i="12" s="1"/>
  <c r="AL104" i="12" s="1"/>
  <c r="AZ104" i="12"/>
  <c r="BH117" i="12"/>
  <c r="BF117" i="12"/>
  <c r="AM117" i="12"/>
  <c r="AN117" i="12" s="1"/>
  <c r="AO117" i="12" s="1"/>
  <c r="BD117" i="12"/>
  <c r="AJ117" i="12"/>
  <c r="AK117" i="12" s="1"/>
  <c r="BB117" i="12"/>
  <c r="AX117" i="12"/>
  <c r="AV117" i="12"/>
  <c r="BJ117" i="12"/>
  <c r="AZ117" i="12"/>
  <c r="AS117" i="12"/>
  <c r="AT117" i="12" s="1"/>
  <c r="AU117" i="12" s="1"/>
  <c r="AP117" i="12"/>
  <c r="AQ117" i="12" s="1"/>
  <c r="AR117" i="12" s="1"/>
  <c r="BJ133" i="12"/>
  <c r="AS133" i="12"/>
  <c r="AT133" i="12" s="1"/>
  <c r="AU133" i="12" s="1"/>
  <c r="BH133" i="12"/>
  <c r="AP133" i="12"/>
  <c r="AQ133" i="12" s="1"/>
  <c r="AR133" i="12" s="1"/>
  <c r="BF133" i="12"/>
  <c r="BD133" i="12"/>
  <c r="AM133" i="12"/>
  <c r="AN133" i="12" s="1"/>
  <c r="AO133" i="12" s="1"/>
  <c r="AJ133" i="12"/>
  <c r="AK133" i="12" s="1"/>
  <c r="AZ133" i="12"/>
  <c r="AX133" i="12"/>
  <c r="AV133" i="12"/>
  <c r="BB133" i="12"/>
  <c r="BB149" i="12"/>
  <c r="AZ149" i="12"/>
  <c r="AX149" i="12"/>
  <c r="AV149" i="12"/>
  <c r="BD149" i="12"/>
  <c r="AS149" i="12"/>
  <c r="AT149" i="12" s="1"/>
  <c r="AU149" i="12" s="1"/>
  <c r="BJ149" i="12"/>
  <c r="AM149" i="12"/>
  <c r="AN149" i="12" s="1"/>
  <c r="AO149" i="12" s="1"/>
  <c r="BH149" i="12"/>
  <c r="BF149" i="12"/>
  <c r="AP149" i="12"/>
  <c r="AQ149" i="12" s="1"/>
  <c r="AR149" i="12" s="1"/>
  <c r="AJ149" i="12"/>
  <c r="AK149" i="12" s="1"/>
  <c r="BD165" i="12"/>
  <c r="AM165" i="12"/>
  <c r="AN165" i="12" s="1"/>
  <c r="AO165" i="12" s="1"/>
  <c r="BB165" i="12"/>
  <c r="AJ165" i="12"/>
  <c r="AK165" i="12" s="1"/>
  <c r="AZ165" i="12"/>
  <c r="AX165" i="12"/>
  <c r="BJ165" i="12"/>
  <c r="BF165" i="12"/>
  <c r="AV165" i="12"/>
  <c r="AP165" i="12"/>
  <c r="AQ165" i="12" s="1"/>
  <c r="AR165" i="12" s="1"/>
  <c r="BH165" i="12"/>
  <c r="AS165" i="12"/>
  <c r="AT165" i="12" s="1"/>
  <c r="AU165" i="12" s="1"/>
  <c r="BD181" i="12"/>
  <c r="AM181" i="12"/>
  <c r="AN181" i="12" s="1"/>
  <c r="AO181" i="12" s="1"/>
  <c r="BB181" i="12"/>
  <c r="AZ181" i="12"/>
  <c r="AJ181" i="12"/>
  <c r="AK181" i="12" s="1"/>
  <c r="AX181" i="12"/>
  <c r="BH181" i="12"/>
  <c r="BF181" i="12"/>
  <c r="AV181" i="12"/>
  <c r="AS181" i="12"/>
  <c r="AT181" i="12" s="1"/>
  <c r="AU181" i="12" s="1"/>
  <c r="AP181" i="12"/>
  <c r="AQ181" i="12" s="1"/>
  <c r="AR181" i="12" s="1"/>
  <c r="BJ181" i="12"/>
  <c r="AX197" i="12"/>
  <c r="BF197" i="12"/>
  <c r="AM197" i="12"/>
  <c r="AN197" i="12" s="1"/>
  <c r="AO197" i="12" s="1"/>
  <c r="BD197" i="12"/>
  <c r="BB197" i="12"/>
  <c r="AJ197" i="12"/>
  <c r="AK197" i="12" s="1"/>
  <c r="AZ197" i="12"/>
  <c r="AP197" i="12"/>
  <c r="AQ197" i="12" s="1"/>
  <c r="AR197" i="12" s="1"/>
  <c r="BJ197" i="12"/>
  <c r="BH197" i="12"/>
  <c r="AS197" i="12"/>
  <c r="AT197" i="12" s="1"/>
  <c r="AU197" i="12" s="1"/>
  <c r="AV197" i="12"/>
  <c r="AV213" i="12"/>
  <c r="BH213" i="12"/>
  <c r="AP213" i="12"/>
  <c r="AQ213" i="12" s="1"/>
  <c r="AR213" i="12" s="1"/>
  <c r="BF213" i="12"/>
  <c r="BD213" i="12"/>
  <c r="AM213" i="12"/>
  <c r="AN213" i="12" s="1"/>
  <c r="AO213" i="12" s="1"/>
  <c r="BB213" i="12"/>
  <c r="AJ213" i="12"/>
  <c r="AK213" i="12" s="1"/>
  <c r="AZ213" i="12"/>
  <c r="BJ213" i="12"/>
  <c r="AX213" i="12"/>
  <c r="AS213" i="12"/>
  <c r="AT213" i="12" s="1"/>
  <c r="AU213" i="12" s="1"/>
  <c r="AS231" i="12"/>
  <c r="AT231" i="12" s="1"/>
  <c r="AU231" i="12" s="1"/>
  <c r="BF231" i="12"/>
  <c r="BD231" i="12"/>
  <c r="AM231" i="12"/>
  <c r="AN231" i="12" s="1"/>
  <c r="AO231" i="12" s="1"/>
  <c r="BB231" i="12"/>
  <c r="AJ231" i="12"/>
  <c r="AK231" i="12" s="1"/>
  <c r="AL231" i="12" s="1"/>
  <c r="AZ231" i="12"/>
  <c r="AV231" i="12"/>
  <c r="AP231" i="12"/>
  <c r="AQ231" i="12" s="1"/>
  <c r="AR231" i="12" s="1"/>
  <c r="BJ231" i="12"/>
  <c r="BH231" i="12"/>
  <c r="AX231" i="12"/>
  <c r="BB239" i="12"/>
  <c r="AZ239" i="12"/>
  <c r="AX239" i="12"/>
  <c r="AV239" i="12"/>
  <c r="BJ239" i="12"/>
  <c r="BH239" i="12"/>
  <c r="BF239" i="12"/>
  <c r="BD239" i="12"/>
  <c r="AS239" i="12"/>
  <c r="AT239" i="12" s="1"/>
  <c r="AU239" i="12" s="1"/>
  <c r="AP239" i="12"/>
  <c r="AQ239" i="12" s="1"/>
  <c r="AR239" i="12" s="1"/>
  <c r="AM239" i="12"/>
  <c r="AN239" i="12" s="1"/>
  <c r="AO239" i="12" s="1"/>
  <c r="AJ239" i="12"/>
  <c r="AK239" i="12" s="1"/>
  <c r="AL239" i="12" s="1"/>
  <c r="AJ247" i="12"/>
  <c r="AK247" i="12" s="1"/>
  <c r="AL247" i="12" s="1"/>
  <c r="AZ247" i="12"/>
  <c r="AX247" i="12"/>
  <c r="AV247" i="12"/>
  <c r="BJ247" i="12"/>
  <c r="AS247" i="12"/>
  <c r="AT247" i="12" s="1"/>
  <c r="AU247" i="12" s="1"/>
  <c r="BH247" i="12"/>
  <c r="AP247" i="12"/>
  <c r="AQ247" i="12" s="1"/>
  <c r="AR247" i="12" s="1"/>
  <c r="AM247" i="12"/>
  <c r="AN247" i="12" s="1"/>
  <c r="AO247" i="12" s="1"/>
  <c r="BF247" i="12"/>
  <c r="BD247" i="12"/>
  <c r="BB247" i="12"/>
  <c r="BH255" i="12"/>
  <c r="BF255" i="12"/>
  <c r="AP255" i="12"/>
  <c r="AQ255" i="12" s="1"/>
  <c r="AR255" i="12" s="1"/>
  <c r="BD255" i="12"/>
  <c r="AM255" i="12"/>
  <c r="AN255" i="12" s="1"/>
  <c r="AO255" i="12" s="1"/>
  <c r="AV255" i="12"/>
  <c r="AS255" i="12"/>
  <c r="AT255" i="12" s="1"/>
  <c r="AU255" i="12" s="1"/>
  <c r="AJ255" i="12"/>
  <c r="AK255" i="12" s="1"/>
  <c r="AL255" i="12" s="1"/>
  <c r="BJ255" i="12"/>
  <c r="BB255" i="12"/>
  <c r="AZ255" i="12"/>
  <c r="AX255" i="12"/>
  <c r="BH276" i="12"/>
  <c r="AP276" i="12"/>
  <c r="AQ276" i="12" s="1"/>
  <c r="AR276" i="12" s="1"/>
  <c r="BF276" i="12"/>
  <c r="AM276" i="12"/>
  <c r="AN276" i="12" s="1"/>
  <c r="AO276" i="12" s="1"/>
  <c r="BD276" i="12"/>
  <c r="BB276" i="12"/>
  <c r="AJ276" i="12"/>
  <c r="AK276" i="12" s="1"/>
  <c r="AZ276" i="12"/>
  <c r="AX276" i="12"/>
  <c r="BJ276" i="12"/>
  <c r="AV276" i="12"/>
  <c r="AS276" i="12"/>
  <c r="AT276" i="12" s="1"/>
  <c r="AU276" i="12" s="1"/>
  <c r="BJ290" i="12"/>
  <c r="AX290" i="12"/>
  <c r="AV290" i="12"/>
  <c r="AS290" i="12"/>
  <c r="AT290" i="12" s="1"/>
  <c r="AU290" i="12" s="1"/>
  <c r="BH290" i="12"/>
  <c r="AP290" i="12"/>
  <c r="AQ290" i="12" s="1"/>
  <c r="AR290" i="12" s="1"/>
  <c r="BF290" i="12"/>
  <c r="BD290" i="12"/>
  <c r="BB290" i="12"/>
  <c r="AZ290" i="12"/>
  <c r="AM290" i="12"/>
  <c r="AN290" i="12" s="1"/>
  <c r="AO290" i="12" s="1"/>
  <c r="AJ290" i="12"/>
  <c r="AK290" i="12" s="1"/>
  <c r="AM303" i="12"/>
  <c r="AN303" i="12" s="1"/>
  <c r="AO303" i="12" s="1"/>
  <c r="AV303" i="12"/>
  <c r="AS303" i="12"/>
  <c r="AT303" i="12" s="1"/>
  <c r="AU303" i="12" s="1"/>
  <c r="BJ303" i="12"/>
  <c r="BF303" i="12"/>
  <c r="BD303" i="12"/>
  <c r="BB303" i="12"/>
  <c r="AJ303" i="12"/>
  <c r="AK303" i="12" s="1"/>
  <c r="BH303" i="12"/>
  <c r="AZ303" i="12"/>
  <c r="AP303" i="12"/>
  <c r="AQ303" i="12" s="1"/>
  <c r="AR303" i="12" s="1"/>
  <c r="AX303" i="12"/>
  <c r="BH323" i="12"/>
  <c r="BF323" i="12"/>
  <c r="AP323" i="12"/>
  <c r="AQ323" i="12" s="1"/>
  <c r="AR323" i="12" s="1"/>
  <c r="BJ323" i="12"/>
  <c r="AJ323" i="12"/>
  <c r="AK323" i="12" s="1"/>
  <c r="BD323" i="12"/>
  <c r="BB323" i="12"/>
  <c r="AZ323" i="12"/>
  <c r="AX323" i="12"/>
  <c r="AV323" i="12"/>
  <c r="AS323" i="12"/>
  <c r="AT323" i="12" s="1"/>
  <c r="AU323" i="12" s="1"/>
  <c r="AM323" i="12"/>
  <c r="AN323" i="12" s="1"/>
  <c r="AO323" i="12" s="1"/>
  <c r="AZ33" i="12"/>
  <c r="AJ33" i="12"/>
  <c r="AK33" i="12" s="1"/>
  <c r="AL33" i="12" s="1"/>
  <c r="BH33" i="12"/>
  <c r="AP33" i="12"/>
  <c r="AQ33" i="12" s="1"/>
  <c r="AR33" i="12" s="1"/>
  <c r="BF33" i="12"/>
  <c r="BD33" i="12"/>
  <c r="AM33" i="12"/>
  <c r="AN33" i="12" s="1"/>
  <c r="AO33" i="12" s="1"/>
  <c r="AX33" i="12"/>
  <c r="BJ33" i="12"/>
  <c r="BB33" i="12"/>
  <c r="AV33" i="12"/>
  <c r="AS33" i="12"/>
  <c r="AT33" i="12" s="1"/>
  <c r="AU33" i="12" s="1"/>
  <c r="C42" i="8"/>
  <c r="BH60" i="12"/>
  <c r="AP60" i="12"/>
  <c r="AQ60" i="12" s="1"/>
  <c r="AR60" i="12" s="1"/>
  <c r="BF60" i="12"/>
  <c r="BD60" i="12"/>
  <c r="AM60" i="12"/>
  <c r="AN60" i="12" s="1"/>
  <c r="AO60" i="12" s="1"/>
  <c r="BB60" i="12"/>
  <c r="AJ60" i="12"/>
  <c r="AK60" i="12" s="1"/>
  <c r="AX60" i="12"/>
  <c r="BJ60" i="12"/>
  <c r="AZ60" i="12"/>
  <c r="AV60" i="12"/>
  <c r="AS60" i="12"/>
  <c r="AT60" i="12" s="1"/>
  <c r="AU60" i="12" s="1"/>
  <c r="AX70" i="12"/>
  <c r="AV70" i="12"/>
  <c r="BJ70" i="12"/>
  <c r="AS70" i="12"/>
  <c r="AT70" i="12" s="1"/>
  <c r="AU70" i="12" s="1"/>
  <c r="BH70" i="12"/>
  <c r="BF70" i="12"/>
  <c r="AZ70" i="12"/>
  <c r="AP70" i="12"/>
  <c r="AQ70" i="12" s="1"/>
  <c r="AR70" i="12" s="1"/>
  <c r="AM70" i="12"/>
  <c r="AN70" i="12" s="1"/>
  <c r="AO70" i="12" s="1"/>
  <c r="AJ70" i="12"/>
  <c r="AK70" i="12" s="1"/>
  <c r="BD70" i="12"/>
  <c r="BB70" i="12"/>
  <c r="AS87" i="12"/>
  <c r="AT87" i="12" s="1"/>
  <c r="AU87" i="12" s="1"/>
  <c r="AV87" i="12"/>
  <c r="BJ87" i="12"/>
  <c r="BH87" i="12"/>
  <c r="AP87" i="12"/>
  <c r="AQ87" i="12" s="1"/>
  <c r="AR87" i="12" s="1"/>
  <c r="BD87" i="12"/>
  <c r="AM87" i="12"/>
  <c r="AN87" i="12" s="1"/>
  <c r="AO87" i="12" s="1"/>
  <c r="BB87" i="12"/>
  <c r="BF87" i="12"/>
  <c r="AZ87" i="12"/>
  <c r="AX87" i="12"/>
  <c r="AJ87" i="12"/>
  <c r="AK87" i="12" s="1"/>
  <c r="BD97" i="12"/>
  <c r="AM97" i="12"/>
  <c r="AN97" i="12" s="1"/>
  <c r="AO97" i="12" s="1"/>
  <c r="BB97" i="12"/>
  <c r="AJ97" i="12"/>
  <c r="AK97" i="12" s="1"/>
  <c r="AL97" i="12" s="1"/>
  <c r="AZ97" i="12"/>
  <c r="AV97" i="12"/>
  <c r="BJ97" i="12"/>
  <c r="BH97" i="12"/>
  <c r="BF97" i="12"/>
  <c r="AX97" i="12"/>
  <c r="AS97" i="12"/>
  <c r="AT97" i="12" s="1"/>
  <c r="AU97" i="12" s="1"/>
  <c r="AP97" i="12"/>
  <c r="AQ97" i="12" s="1"/>
  <c r="AR97" i="12" s="1"/>
  <c r="AV136" i="12"/>
  <c r="AP136" i="12"/>
  <c r="AQ136" i="12" s="1"/>
  <c r="AR136" i="12" s="1"/>
  <c r="BF136" i="12"/>
  <c r="BD136" i="12"/>
  <c r="AM136" i="12"/>
  <c r="AN136" i="12" s="1"/>
  <c r="AO136" i="12" s="1"/>
  <c r="BB136" i="12"/>
  <c r="AJ136" i="12"/>
  <c r="AK136" i="12" s="1"/>
  <c r="AX136" i="12"/>
  <c r="BH136" i="12"/>
  <c r="AZ136" i="12"/>
  <c r="BJ136" i="12"/>
  <c r="AS136" i="12"/>
  <c r="AT136" i="12" s="1"/>
  <c r="AU136" i="12" s="1"/>
  <c r="AZ152" i="12"/>
  <c r="AJ152" i="12"/>
  <c r="AK152" i="12" s="1"/>
  <c r="BB152" i="12"/>
  <c r="AX152" i="12"/>
  <c r="AV152" i="12"/>
  <c r="BH152" i="12"/>
  <c r="AS152" i="12"/>
  <c r="AT152" i="12" s="1"/>
  <c r="AU152" i="12" s="1"/>
  <c r="AP152" i="12"/>
  <c r="AQ152" i="12" s="1"/>
  <c r="AR152" i="12" s="1"/>
  <c r="AM152" i="12"/>
  <c r="AN152" i="12" s="1"/>
  <c r="AO152" i="12" s="1"/>
  <c r="BJ152" i="12"/>
  <c r="BF152" i="12"/>
  <c r="BD152" i="12"/>
  <c r="BF184" i="12"/>
  <c r="AP184" i="12"/>
  <c r="AQ184" i="12" s="1"/>
  <c r="AR184" i="12" s="1"/>
  <c r="BD184" i="12"/>
  <c r="AM184" i="12"/>
  <c r="AN184" i="12" s="1"/>
  <c r="AO184" i="12" s="1"/>
  <c r="BB184" i="12"/>
  <c r="AZ184" i="12"/>
  <c r="AJ184" i="12"/>
  <c r="AK184" i="12" s="1"/>
  <c r="AV184" i="12"/>
  <c r="AS184" i="12"/>
  <c r="AT184" i="12" s="1"/>
  <c r="AU184" i="12" s="1"/>
  <c r="BJ184" i="12"/>
  <c r="AX184" i="12"/>
  <c r="BH184" i="12"/>
  <c r="AX200" i="12"/>
  <c r="AZ200" i="12"/>
  <c r="AV200" i="12"/>
  <c r="AS200" i="12"/>
  <c r="AT200" i="12" s="1"/>
  <c r="AU200" i="12" s="1"/>
  <c r="BJ200" i="12"/>
  <c r="BF200" i="12"/>
  <c r="BD200" i="12"/>
  <c r="BB200" i="12"/>
  <c r="AP200" i="12"/>
  <c r="AQ200" i="12" s="1"/>
  <c r="AR200" i="12" s="1"/>
  <c r="AM200" i="12"/>
  <c r="AN200" i="12" s="1"/>
  <c r="AO200" i="12" s="1"/>
  <c r="BH200" i="12"/>
  <c r="AJ200" i="12"/>
  <c r="AK200" i="12" s="1"/>
  <c r="BF216" i="12"/>
  <c r="BD216" i="12"/>
  <c r="AM216" i="12"/>
  <c r="AN216" i="12" s="1"/>
  <c r="AO216" i="12" s="1"/>
  <c r="BB216" i="12"/>
  <c r="AJ216" i="12"/>
  <c r="AK216" i="12" s="1"/>
  <c r="AZ216" i="12"/>
  <c r="AX216" i="12"/>
  <c r="AV216" i="12"/>
  <c r="AS216" i="12"/>
  <c r="AT216" i="12" s="1"/>
  <c r="AU216" i="12" s="1"/>
  <c r="AP216" i="12"/>
  <c r="AQ216" i="12" s="1"/>
  <c r="AR216" i="12" s="1"/>
  <c r="BJ216" i="12"/>
  <c r="BH216" i="12"/>
  <c r="AZ268" i="12"/>
  <c r="AJ268" i="12"/>
  <c r="AK268" i="12" s="1"/>
  <c r="AS268" i="12"/>
  <c r="AT268" i="12" s="1"/>
  <c r="AU268" i="12" s="1"/>
  <c r="AX268" i="12"/>
  <c r="AV268" i="12"/>
  <c r="BJ268" i="12"/>
  <c r="BF268" i="12"/>
  <c r="BB268" i="12"/>
  <c r="AP268" i="12"/>
  <c r="AQ268" i="12" s="1"/>
  <c r="AR268" i="12" s="1"/>
  <c r="AM268" i="12"/>
  <c r="AN268" i="12" s="1"/>
  <c r="AO268" i="12" s="1"/>
  <c r="BH268" i="12"/>
  <c r="BD268" i="12"/>
  <c r="AX281" i="12"/>
  <c r="BB281" i="12"/>
  <c r="AJ281" i="12"/>
  <c r="AK281" i="12" s="1"/>
  <c r="AV281" i="12"/>
  <c r="BH281" i="12"/>
  <c r="BF281" i="12"/>
  <c r="AZ281" i="12"/>
  <c r="AS281" i="12"/>
  <c r="AT281" i="12" s="1"/>
  <c r="AU281" i="12" s="1"/>
  <c r="BJ281" i="12"/>
  <c r="BD281" i="12"/>
  <c r="AP281" i="12"/>
  <c r="AQ281" i="12" s="1"/>
  <c r="AR281" i="12" s="1"/>
  <c r="AM281" i="12"/>
  <c r="AN281" i="12" s="1"/>
  <c r="AO281" i="12" s="1"/>
  <c r="BH284" i="12"/>
  <c r="AS284" i="12"/>
  <c r="AT284" i="12" s="1"/>
  <c r="AU284" i="12" s="1"/>
  <c r="BF284" i="12"/>
  <c r="AM284" i="12"/>
  <c r="AN284" i="12" s="1"/>
  <c r="AO284" i="12" s="1"/>
  <c r="BJ284" i="12"/>
  <c r="BB284" i="12"/>
  <c r="AZ284" i="12"/>
  <c r="AX284" i="12"/>
  <c r="AV284" i="12"/>
  <c r="BD284" i="12"/>
  <c r="AP284" i="12"/>
  <c r="AQ284" i="12" s="1"/>
  <c r="AR284" i="12" s="1"/>
  <c r="AJ284" i="12"/>
  <c r="AK284" i="12" s="1"/>
  <c r="AZ287" i="12"/>
  <c r="AJ287" i="12"/>
  <c r="AK287" i="12" s="1"/>
  <c r="AS287" i="12"/>
  <c r="AT287" i="12" s="1"/>
  <c r="AU287" i="12" s="1"/>
  <c r="AM287" i="12"/>
  <c r="AN287" i="12" s="1"/>
  <c r="AO287" i="12" s="1"/>
  <c r="BD287" i="12"/>
  <c r="AX287" i="12"/>
  <c r="BH287" i="12"/>
  <c r="BF287" i="12"/>
  <c r="BB287" i="12"/>
  <c r="AV287" i="12"/>
  <c r="AP287" i="12"/>
  <c r="AQ287" i="12" s="1"/>
  <c r="AR287" i="12" s="1"/>
  <c r="BJ287" i="12"/>
  <c r="AV295" i="12"/>
  <c r="BF295" i="12"/>
  <c r="AZ295" i="12"/>
  <c r="AX295" i="12"/>
  <c r="AS295" i="12"/>
  <c r="AT295" i="12" s="1"/>
  <c r="AU295" i="12" s="1"/>
  <c r="AP295" i="12"/>
  <c r="AQ295" i="12" s="1"/>
  <c r="AR295" i="12" s="1"/>
  <c r="BJ295" i="12"/>
  <c r="AM295" i="12"/>
  <c r="AN295" i="12" s="1"/>
  <c r="AO295" i="12" s="1"/>
  <c r="BH295" i="12"/>
  <c r="BD295" i="12"/>
  <c r="BB295" i="12"/>
  <c r="AJ295" i="12"/>
  <c r="AK295" i="12" s="1"/>
  <c r="AZ315" i="12"/>
  <c r="AJ315" i="12"/>
  <c r="AK315" i="12" s="1"/>
  <c r="BJ315" i="12"/>
  <c r="AS315" i="12"/>
  <c r="AT315" i="12" s="1"/>
  <c r="AU315" i="12" s="1"/>
  <c r="AP315" i="12"/>
  <c r="AQ315" i="12" s="1"/>
  <c r="AR315" i="12" s="1"/>
  <c r="BF315" i="12"/>
  <c r="BD315" i="12"/>
  <c r="AM315" i="12"/>
  <c r="AN315" i="12" s="1"/>
  <c r="AO315" i="12" s="1"/>
  <c r="BB315" i="12"/>
  <c r="AV315" i="12"/>
  <c r="BH315" i="12"/>
  <c r="AX315" i="12"/>
  <c r="AS347" i="12"/>
  <c r="AT347" i="12" s="1"/>
  <c r="AU347" i="12" s="1"/>
  <c r="AV347" i="12"/>
  <c r="BH347" i="12"/>
  <c r="BF347" i="12"/>
  <c r="BD347" i="12"/>
  <c r="AJ347" i="12"/>
  <c r="AK347" i="12" s="1"/>
  <c r="BJ347" i="12"/>
  <c r="BB347" i="12"/>
  <c r="AZ347" i="12"/>
  <c r="AX347" i="12"/>
  <c r="AP347" i="12"/>
  <c r="AQ347" i="12" s="1"/>
  <c r="AR347" i="12" s="1"/>
  <c r="AM347" i="12"/>
  <c r="AN347" i="12" s="1"/>
  <c r="AO347" i="12" s="1"/>
  <c r="BD353" i="12"/>
  <c r="AZ353" i="12"/>
  <c r="AJ353" i="12"/>
  <c r="AK353" i="12" s="1"/>
  <c r="AL353" i="12" s="1"/>
  <c r="AX353" i="12"/>
  <c r="BB353" i="12"/>
  <c r="AS353" i="12"/>
  <c r="AT353" i="12" s="1"/>
  <c r="AU353" i="12" s="1"/>
  <c r="AM353" i="12"/>
  <c r="AN353" i="12" s="1"/>
  <c r="AO353" i="12" s="1"/>
  <c r="BF353" i="12"/>
  <c r="AV353" i="12"/>
  <c r="AP353" i="12"/>
  <c r="AQ353" i="12" s="1"/>
  <c r="AR353" i="12" s="1"/>
  <c r="BH353" i="12"/>
  <c r="BJ353" i="12"/>
  <c r="BJ107" i="12"/>
  <c r="AS107" i="12"/>
  <c r="AT107" i="12" s="1"/>
  <c r="AU107" i="12" s="1"/>
  <c r="BH107" i="12"/>
  <c r="BF107" i="12"/>
  <c r="AP107" i="12"/>
  <c r="AQ107" i="12" s="1"/>
  <c r="AR107" i="12" s="1"/>
  <c r="BB107" i="12"/>
  <c r="AV107" i="12"/>
  <c r="AM107" i="12"/>
  <c r="AN107" i="12" s="1"/>
  <c r="AO107" i="12" s="1"/>
  <c r="AJ107" i="12"/>
  <c r="AK107" i="12" s="1"/>
  <c r="AL107" i="12" s="1"/>
  <c r="BD107" i="12"/>
  <c r="AZ107" i="12"/>
  <c r="AX107" i="12"/>
  <c r="BB123" i="12"/>
  <c r="AZ123" i="12"/>
  <c r="AP123" i="12"/>
  <c r="AQ123" i="12" s="1"/>
  <c r="AR123" i="12" s="1"/>
  <c r="BJ123" i="12"/>
  <c r="BH123" i="12"/>
  <c r="AM123" i="12"/>
  <c r="AN123" i="12" s="1"/>
  <c r="AO123" i="12" s="1"/>
  <c r="BF123" i="12"/>
  <c r="AJ123" i="12"/>
  <c r="AK123" i="12" s="1"/>
  <c r="AX123" i="12"/>
  <c r="AV123" i="12"/>
  <c r="AS123" i="12"/>
  <c r="AT123" i="12" s="1"/>
  <c r="AU123" i="12" s="1"/>
  <c r="BD123" i="12"/>
  <c r="BD139" i="12"/>
  <c r="AM139" i="12"/>
  <c r="AN139" i="12" s="1"/>
  <c r="AO139" i="12" s="1"/>
  <c r="BB139" i="12"/>
  <c r="AJ139" i="12"/>
  <c r="AK139" i="12" s="1"/>
  <c r="AZ139" i="12"/>
  <c r="AX139" i="12"/>
  <c r="BJ139" i="12"/>
  <c r="AS139" i="12"/>
  <c r="AT139" i="12" s="1"/>
  <c r="AU139" i="12" s="1"/>
  <c r="AP139" i="12"/>
  <c r="AQ139" i="12" s="1"/>
  <c r="AR139" i="12" s="1"/>
  <c r="BF139" i="12"/>
  <c r="BH139" i="12"/>
  <c r="AV139" i="12"/>
  <c r="AX155" i="12"/>
  <c r="AV155" i="12"/>
  <c r="BJ155" i="12"/>
  <c r="AS155" i="12"/>
  <c r="AT155" i="12" s="1"/>
  <c r="AU155" i="12" s="1"/>
  <c r="BH155" i="12"/>
  <c r="BF155" i="12"/>
  <c r="AJ155" i="12"/>
  <c r="AK155" i="12" s="1"/>
  <c r="BB155" i="12"/>
  <c r="AZ155" i="12"/>
  <c r="AM155" i="12"/>
  <c r="AN155" i="12" s="1"/>
  <c r="AO155" i="12" s="1"/>
  <c r="BD155" i="12"/>
  <c r="AP155" i="12"/>
  <c r="AQ155" i="12" s="1"/>
  <c r="AR155" i="12" s="1"/>
  <c r="BF187" i="12"/>
  <c r="AP187" i="12"/>
  <c r="AQ187" i="12" s="1"/>
  <c r="AR187" i="12" s="1"/>
  <c r="BD187" i="12"/>
  <c r="AM187" i="12"/>
  <c r="AN187" i="12" s="1"/>
  <c r="AO187" i="12" s="1"/>
  <c r="BB187" i="12"/>
  <c r="AZ187" i="12"/>
  <c r="AJ187" i="12"/>
  <c r="AK187" i="12" s="1"/>
  <c r="AX187" i="12"/>
  <c r="BJ187" i="12"/>
  <c r="BH187" i="12"/>
  <c r="AS187" i="12"/>
  <c r="AT187" i="12" s="1"/>
  <c r="AU187" i="12" s="1"/>
  <c r="AV187" i="12"/>
  <c r="AZ203" i="12"/>
  <c r="AJ203" i="12"/>
  <c r="AK203" i="12" s="1"/>
  <c r="AX203" i="12"/>
  <c r="AS203" i="12"/>
  <c r="AT203" i="12" s="1"/>
  <c r="AU203" i="12" s="1"/>
  <c r="BJ203" i="12"/>
  <c r="AP203" i="12"/>
  <c r="AQ203" i="12" s="1"/>
  <c r="AR203" i="12" s="1"/>
  <c r="BH203" i="12"/>
  <c r="BF203" i="12"/>
  <c r="AM203" i="12"/>
  <c r="AN203" i="12" s="1"/>
  <c r="AO203" i="12" s="1"/>
  <c r="BD203" i="12"/>
  <c r="BB203" i="12"/>
  <c r="AV203" i="12"/>
  <c r="AX219" i="12"/>
  <c r="BB219" i="12"/>
  <c r="AJ219" i="12"/>
  <c r="AK219" i="12" s="1"/>
  <c r="AZ219" i="12"/>
  <c r="AV219" i="12"/>
  <c r="BJ219" i="12"/>
  <c r="AS219" i="12"/>
  <c r="AT219" i="12" s="1"/>
  <c r="AU219" i="12" s="1"/>
  <c r="BH219" i="12"/>
  <c r="BD219" i="12"/>
  <c r="BF219" i="12"/>
  <c r="AP219" i="12"/>
  <c r="AQ219" i="12" s="1"/>
  <c r="AR219" i="12" s="1"/>
  <c r="AM219" i="12"/>
  <c r="AN219" i="12" s="1"/>
  <c r="AO219" i="12" s="1"/>
  <c r="BH228" i="12"/>
  <c r="BJ228" i="12"/>
  <c r="AS228" i="12"/>
  <c r="AT228" i="12" s="1"/>
  <c r="AU228" i="12" s="1"/>
  <c r="AP228" i="12"/>
  <c r="AQ228" i="12" s="1"/>
  <c r="AR228" i="12" s="1"/>
  <c r="BF228" i="12"/>
  <c r="BD228" i="12"/>
  <c r="AM228" i="12"/>
  <c r="AN228" i="12" s="1"/>
  <c r="AO228" i="12" s="1"/>
  <c r="AZ228" i="12"/>
  <c r="BB228" i="12"/>
  <c r="AX228" i="12"/>
  <c r="AV228" i="12"/>
  <c r="AJ228" i="12"/>
  <c r="AK228" i="12" s="1"/>
  <c r="AL228" i="12" s="1"/>
  <c r="AZ236" i="12"/>
  <c r="AJ236" i="12"/>
  <c r="AK236" i="12" s="1"/>
  <c r="AL236" i="12" s="1"/>
  <c r="BB236" i="12"/>
  <c r="AX236" i="12"/>
  <c r="AV236" i="12"/>
  <c r="BJ236" i="12"/>
  <c r="AS236" i="12"/>
  <c r="AT236" i="12" s="1"/>
  <c r="AU236" i="12" s="1"/>
  <c r="BH236" i="12"/>
  <c r="BF236" i="12"/>
  <c r="BD236" i="12"/>
  <c r="AP236" i="12"/>
  <c r="AQ236" i="12" s="1"/>
  <c r="AR236" i="12" s="1"/>
  <c r="AM236" i="12"/>
  <c r="AN236" i="12" s="1"/>
  <c r="AO236" i="12" s="1"/>
  <c r="AV244" i="12"/>
  <c r="BD244" i="12"/>
  <c r="AM244" i="12"/>
  <c r="AN244" i="12" s="1"/>
  <c r="AO244" i="12" s="1"/>
  <c r="BB244" i="12"/>
  <c r="AJ244" i="12"/>
  <c r="AK244" i="12" s="1"/>
  <c r="AL244" i="12" s="1"/>
  <c r="AZ244" i="12"/>
  <c r="AX244" i="12"/>
  <c r="BJ244" i="12"/>
  <c r="AS244" i="12"/>
  <c r="AT244" i="12" s="1"/>
  <c r="AU244" i="12" s="1"/>
  <c r="BH244" i="12"/>
  <c r="BF244" i="12"/>
  <c r="AP244" i="12"/>
  <c r="AQ244" i="12" s="1"/>
  <c r="AR244" i="12" s="1"/>
  <c r="BD252" i="12"/>
  <c r="BJ252" i="12"/>
  <c r="AS252" i="12"/>
  <c r="AT252" i="12" s="1"/>
  <c r="AU252" i="12" s="1"/>
  <c r="BH252" i="12"/>
  <c r="AP252" i="12"/>
  <c r="AQ252" i="12" s="1"/>
  <c r="AR252" i="12" s="1"/>
  <c r="BF252" i="12"/>
  <c r="AM252" i="12"/>
  <c r="AN252" i="12" s="1"/>
  <c r="AO252" i="12" s="1"/>
  <c r="BB252" i="12"/>
  <c r="AJ252" i="12"/>
  <c r="AK252" i="12" s="1"/>
  <c r="AL252" i="12" s="1"/>
  <c r="AX252" i="12"/>
  <c r="AZ252" i="12"/>
  <c r="AV252" i="12"/>
  <c r="BB300" i="12"/>
  <c r="BH300" i="12"/>
  <c r="AP300" i="12"/>
  <c r="AQ300" i="12" s="1"/>
  <c r="AR300" i="12" s="1"/>
  <c r="BF300" i="12"/>
  <c r="BD300" i="12"/>
  <c r="AM300" i="12"/>
  <c r="AN300" i="12" s="1"/>
  <c r="AO300" i="12" s="1"/>
  <c r="AJ300" i="12"/>
  <c r="AK300" i="12" s="1"/>
  <c r="AZ300" i="12"/>
  <c r="AX300" i="12"/>
  <c r="AV300" i="12"/>
  <c r="AS300" i="12"/>
  <c r="AT300" i="12" s="1"/>
  <c r="AU300" i="12" s="1"/>
  <c r="BJ300" i="12"/>
  <c r="AJ328" i="12"/>
  <c r="AK328" i="12" s="1"/>
  <c r="AV328" i="12"/>
  <c r="BJ328" i="12"/>
  <c r="AP328" i="12"/>
  <c r="AQ328" i="12" s="1"/>
  <c r="AR328" i="12" s="1"/>
  <c r="BH328" i="12"/>
  <c r="BD328" i="12"/>
  <c r="BB328" i="12"/>
  <c r="AZ328" i="12"/>
  <c r="AX328" i="12"/>
  <c r="AM328" i="12"/>
  <c r="AN328" i="12" s="1"/>
  <c r="AO328" i="12" s="1"/>
  <c r="BF328" i="12"/>
  <c r="AS328" i="12"/>
  <c r="AT328" i="12" s="1"/>
  <c r="AU328" i="12" s="1"/>
  <c r="AX73" i="12"/>
  <c r="BJ73" i="12"/>
  <c r="AS73" i="12"/>
  <c r="AT73" i="12" s="1"/>
  <c r="AU73" i="12" s="1"/>
  <c r="BH73" i="12"/>
  <c r="AP73" i="12"/>
  <c r="AQ73" i="12" s="1"/>
  <c r="AR73" i="12" s="1"/>
  <c r="BF73" i="12"/>
  <c r="BD73" i="12"/>
  <c r="AM73" i="12"/>
  <c r="AN73" i="12" s="1"/>
  <c r="AO73" i="12" s="1"/>
  <c r="BB73" i="12"/>
  <c r="AJ73" i="12"/>
  <c r="AK73" i="12" s="1"/>
  <c r="AV73" i="12"/>
  <c r="AZ73" i="12"/>
  <c r="AS100" i="12"/>
  <c r="AT100" i="12" s="1"/>
  <c r="AU100" i="12" s="1"/>
  <c r="BH100" i="12"/>
  <c r="AM100" i="12"/>
  <c r="AN100" i="12" s="1"/>
  <c r="AO100" i="12" s="1"/>
  <c r="BD100" i="12"/>
  <c r="BB100" i="12"/>
  <c r="AJ100" i="12"/>
  <c r="AK100" i="12" s="1"/>
  <c r="AL100" i="12" s="1"/>
  <c r="AZ100" i="12"/>
  <c r="AV100" i="12"/>
  <c r="BJ100" i="12"/>
  <c r="BF100" i="12"/>
  <c r="AX100" i="12"/>
  <c r="AP100" i="12"/>
  <c r="AQ100" i="12" s="1"/>
  <c r="AR100" i="12" s="1"/>
  <c r="AV110" i="12"/>
  <c r="BJ110" i="12"/>
  <c r="AS110" i="12"/>
  <c r="AT110" i="12" s="1"/>
  <c r="AU110" i="12" s="1"/>
  <c r="BH110" i="12"/>
  <c r="BF110" i="12"/>
  <c r="AP110" i="12"/>
  <c r="AQ110" i="12" s="1"/>
  <c r="AR110" i="12" s="1"/>
  <c r="AM110" i="12"/>
  <c r="AN110" i="12" s="1"/>
  <c r="AO110" i="12" s="1"/>
  <c r="BB110" i="12"/>
  <c r="BD110" i="12"/>
  <c r="AZ110" i="12"/>
  <c r="AX110" i="12"/>
  <c r="AJ110" i="12"/>
  <c r="AK110" i="12" s="1"/>
  <c r="AX142" i="12"/>
  <c r="AZ142" i="12"/>
  <c r="AV142" i="12"/>
  <c r="BJ142" i="12"/>
  <c r="AS142" i="12"/>
  <c r="AT142" i="12" s="1"/>
  <c r="AU142" i="12" s="1"/>
  <c r="AP142" i="12"/>
  <c r="AQ142" i="12" s="1"/>
  <c r="AR142" i="12" s="1"/>
  <c r="BF142" i="12"/>
  <c r="BB142" i="12"/>
  <c r="AM142" i="12"/>
  <c r="AN142" i="12" s="1"/>
  <c r="AO142" i="12" s="1"/>
  <c r="BH142" i="12"/>
  <c r="BD142" i="12"/>
  <c r="AJ142" i="12"/>
  <c r="AK142" i="12" s="1"/>
  <c r="BB158" i="12"/>
  <c r="AV158" i="12"/>
  <c r="BJ158" i="12"/>
  <c r="AS158" i="12"/>
  <c r="AT158" i="12" s="1"/>
  <c r="AU158" i="12" s="1"/>
  <c r="BH158" i="12"/>
  <c r="AP158" i="12"/>
  <c r="AQ158" i="12" s="1"/>
  <c r="AR158" i="12" s="1"/>
  <c r="BF158" i="12"/>
  <c r="BD158" i="12"/>
  <c r="AM158" i="12"/>
  <c r="AN158" i="12" s="1"/>
  <c r="AO158" i="12" s="1"/>
  <c r="AJ158" i="12"/>
  <c r="AK158" i="12" s="1"/>
  <c r="AZ158" i="12"/>
  <c r="AX158" i="12"/>
  <c r="BH174" i="12"/>
  <c r="BF174" i="12"/>
  <c r="AP174" i="12"/>
  <c r="AQ174" i="12" s="1"/>
  <c r="AR174" i="12" s="1"/>
  <c r="BD174" i="12"/>
  <c r="BB174" i="12"/>
  <c r="AV174" i="12"/>
  <c r="AS174" i="12"/>
  <c r="AT174" i="12" s="1"/>
  <c r="AU174" i="12" s="1"/>
  <c r="AM174" i="12"/>
  <c r="AN174" i="12" s="1"/>
  <c r="AO174" i="12" s="1"/>
  <c r="BJ174" i="12"/>
  <c r="AJ174" i="12"/>
  <c r="AK174" i="12" s="1"/>
  <c r="AX174" i="12"/>
  <c r="AZ174" i="12"/>
  <c r="BH190" i="12"/>
  <c r="BF190" i="12"/>
  <c r="AP190" i="12"/>
  <c r="AQ190" i="12" s="1"/>
  <c r="AR190" i="12" s="1"/>
  <c r="BD190" i="12"/>
  <c r="AM190" i="12"/>
  <c r="AN190" i="12" s="1"/>
  <c r="AO190" i="12" s="1"/>
  <c r="BB190" i="12"/>
  <c r="AX190" i="12"/>
  <c r="BJ190" i="12"/>
  <c r="AZ190" i="12"/>
  <c r="AV190" i="12"/>
  <c r="AS190" i="12"/>
  <c r="AT190" i="12" s="1"/>
  <c r="AU190" i="12" s="1"/>
  <c r="AJ190" i="12"/>
  <c r="AK190" i="12" s="1"/>
  <c r="BF206" i="12"/>
  <c r="AP206" i="12"/>
  <c r="AQ206" i="12" s="1"/>
  <c r="AR206" i="12" s="1"/>
  <c r="BD206" i="12"/>
  <c r="AM206" i="12"/>
  <c r="AN206" i="12" s="1"/>
  <c r="AO206" i="12" s="1"/>
  <c r="BB206" i="12"/>
  <c r="AZ206" i="12"/>
  <c r="AJ206" i="12"/>
  <c r="AK206" i="12" s="1"/>
  <c r="AV206" i="12"/>
  <c r="AS206" i="12"/>
  <c r="AT206" i="12" s="1"/>
  <c r="AU206" i="12" s="1"/>
  <c r="BH206" i="12"/>
  <c r="AX206" i="12"/>
  <c r="BJ206" i="12"/>
  <c r="AJ222" i="12"/>
  <c r="AK222" i="12" s="1"/>
  <c r="AZ222" i="12"/>
  <c r="AX222" i="12"/>
  <c r="AV222" i="12"/>
  <c r="AS222" i="12"/>
  <c r="AT222" i="12" s="1"/>
  <c r="AU222" i="12" s="1"/>
  <c r="BJ222" i="12"/>
  <c r="BH222" i="12"/>
  <c r="AP222" i="12"/>
  <c r="AQ222" i="12" s="1"/>
  <c r="AR222" i="12" s="1"/>
  <c r="BF222" i="12"/>
  <c r="BB222" i="12"/>
  <c r="AM222" i="12"/>
  <c r="AN222" i="12" s="1"/>
  <c r="AO222" i="12" s="1"/>
  <c r="BD222" i="12"/>
  <c r="BH265" i="12"/>
  <c r="BF265" i="12"/>
  <c r="AM265" i="12"/>
  <c r="AN265" i="12" s="1"/>
  <c r="AO265" i="12" s="1"/>
  <c r="BD265" i="12"/>
  <c r="BB265" i="12"/>
  <c r="AJ265" i="12"/>
  <c r="AK265" i="12" s="1"/>
  <c r="AZ265" i="12"/>
  <c r="AV265" i="12"/>
  <c r="BJ265" i="12"/>
  <c r="AX265" i="12"/>
  <c r="AS265" i="12"/>
  <c r="AT265" i="12" s="1"/>
  <c r="AU265" i="12" s="1"/>
  <c r="AP265" i="12"/>
  <c r="AQ265" i="12" s="1"/>
  <c r="AR265" i="12" s="1"/>
  <c r="BF273" i="12"/>
  <c r="AP273" i="12"/>
  <c r="AQ273" i="12" s="1"/>
  <c r="AR273" i="12" s="1"/>
  <c r="BD273" i="12"/>
  <c r="BB273" i="12"/>
  <c r="AZ273" i="12"/>
  <c r="AJ273" i="12"/>
  <c r="AK273" i="12" s="1"/>
  <c r="AX273" i="12"/>
  <c r="AV273" i="12"/>
  <c r="AS273" i="12"/>
  <c r="AT273" i="12" s="1"/>
  <c r="AU273" i="12" s="1"/>
  <c r="BJ273" i="12"/>
  <c r="BH273" i="12"/>
  <c r="AM273" i="12"/>
  <c r="AN273" i="12" s="1"/>
  <c r="AO273" i="12" s="1"/>
  <c r="AV278" i="12"/>
  <c r="AS278" i="12"/>
  <c r="AT278" i="12" s="1"/>
  <c r="AU278" i="12" s="1"/>
  <c r="BH278" i="12"/>
  <c r="AP278" i="12"/>
  <c r="AQ278" i="12" s="1"/>
  <c r="AR278" i="12" s="1"/>
  <c r="BF278" i="12"/>
  <c r="AM278" i="12"/>
  <c r="AN278" i="12" s="1"/>
  <c r="AO278" i="12" s="1"/>
  <c r="BD278" i="12"/>
  <c r="AJ278" i="12"/>
  <c r="AK278" i="12" s="1"/>
  <c r="BJ278" i="12"/>
  <c r="BB278" i="12"/>
  <c r="AZ278" i="12"/>
  <c r="AX278" i="12"/>
  <c r="BJ292" i="12"/>
  <c r="BH292" i="12"/>
  <c r="AV292" i="12"/>
  <c r="AS292" i="12"/>
  <c r="AT292" i="12" s="1"/>
  <c r="AU292" i="12" s="1"/>
  <c r="AP292" i="12"/>
  <c r="AQ292" i="12" s="1"/>
  <c r="AR292" i="12" s="1"/>
  <c r="BF292" i="12"/>
  <c r="AM292" i="12"/>
  <c r="AN292" i="12" s="1"/>
  <c r="AO292" i="12" s="1"/>
  <c r="BD292" i="12"/>
  <c r="BB292" i="12"/>
  <c r="AZ292" i="12"/>
  <c r="AJ292" i="12"/>
  <c r="AK292" i="12" s="1"/>
  <c r="AX292" i="12"/>
  <c r="AS305" i="12"/>
  <c r="AT305" i="12" s="1"/>
  <c r="AU305" i="12" s="1"/>
  <c r="BB305" i="12"/>
  <c r="AZ305" i="12"/>
  <c r="AX305" i="12"/>
  <c r="AV305" i="12"/>
  <c r="BJ305" i="12"/>
  <c r="BH305" i="12"/>
  <c r="AP305" i="12"/>
  <c r="AQ305" i="12" s="1"/>
  <c r="AR305" i="12" s="1"/>
  <c r="BF305" i="12"/>
  <c r="BD305" i="12"/>
  <c r="AM305" i="12"/>
  <c r="AN305" i="12" s="1"/>
  <c r="AO305" i="12" s="1"/>
  <c r="AJ305" i="12"/>
  <c r="AK305" i="12" s="1"/>
  <c r="AS310" i="12"/>
  <c r="AT310" i="12" s="1"/>
  <c r="AU310" i="12" s="1"/>
  <c r="BH310" i="12"/>
  <c r="BF310" i="12"/>
  <c r="BD310" i="12"/>
  <c r="AJ310" i="12"/>
  <c r="AK310" i="12" s="1"/>
  <c r="AZ310" i="12"/>
  <c r="AX310" i="12"/>
  <c r="AV310" i="12"/>
  <c r="BJ310" i="12"/>
  <c r="BB310" i="12"/>
  <c r="AP310" i="12"/>
  <c r="AQ310" i="12" s="1"/>
  <c r="AR310" i="12" s="1"/>
  <c r="AM310" i="12"/>
  <c r="AN310" i="12" s="1"/>
  <c r="AO310" i="12" s="1"/>
  <c r="AX2" i="12"/>
  <c r="AV2" i="12"/>
  <c r="BJ2" i="12"/>
  <c r="AS2" i="12"/>
  <c r="BH2" i="12"/>
  <c r="BD2" i="12"/>
  <c r="BF2" i="12"/>
  <c r="BB2" i="12"/>
  <c r="AZ2" i="12"/>
  <c r="AP2" i="12"/>
  <c r="AM2" i="12"/>
  <c r="AJ2" i="12"/>
  <c r="BD19" i="12"/>
  <c r="BH19" i="12"/>
  <c r="AP19" i="12"/>
  <c r="AQ19" i="12" s="1"/>
  <c r="AR19" i="12" s="1"/>
  <c r="BF19" i="12"/>
  <c r="AM19" i="12"/>
  <c r="AN19" i="12" s="1"/>
  <c r="AO19" i="12" s="1"/>
  <c r="BB19" i="12"/>
  <c r="AJ19" i="12"/>
  <c r="AK19" i="12" s="1"/>
  <c r="AL19" i="12" s="1"/>
  <c r="AX19" i="12"/>
  <c r="AV19" i="12"/>
  <c r="BJ19" i="12"/>
  <c r="AZ19" i="12"/>
  <c r="AS19" i="12"/>
  <c r="AT19" i="12" s="1"/>
  <c r="AU19" i="12" s="1"/>
  <c r="BD29" i="12"/>
  <c r="BJ29" i="12"/>
  <c r="AS29" i="12"/>
  <c r="AT29" i="12" s="1"/>
  <c r="AU29" i="12" s="1"/>
  <c r="BH29" i="12"/>
  <c r="AP29" i="12"/>
  <c r="AQ29" i="12" s="1"/>
  <c r="AR29" i="12" s="1"/>
  <c r="BF29" i="12"/>
  <c r="BB29" i="12"/>
  <c r="AJ29" i="12"/>
  <c r="AK29" i="12" s="1"/>
  <c r="AL29" i="12" s="1"/>
  <c r="AZ29" i="12"/>
  <c r="AX29" i="12"/>
  <c r="AV29" i="12"/>
  <c r="AM29" i="12"/>
  <c r="AN29" i="12" s="1"/>
  <c r="AO29" i="12" s="1"/>
  <c r="AM56" i="12"/>
  <c r="AN56" i="12" s="1"/>
  <c r="AO56" i="12" s="1"/>
  <c r="BJ56" i="12"/>
  <c r="AS56" i="12"/>
  <c r="AT56" i="12" s="1"/>
  <c r="AU56" i="12" s="1"/>
  <c r="BH56" i="12"/>
  <c r="AP56" i="12"/>
  <c r="AQ56" i="12" s="1"/>
  <c r="AR56" i="12" s="1"/>
  <c r="BF56" i="12"/>
  <c r="BB56" i="12"/>
  <c r="AJ56" i="12"/>
  <c r="AK56" i="12" s="1"/>
  <c r="BD56" i="12"/>
  <c r="AZ56" i="12"/>
  <c r="AX56" i="12"/>
  <c r="AV56" i="12"/>
  <c r="BB83" i="12"/>
  <c r="AJ83" i="12"/>
  <c r="AK83" i="12" s="1"/>
  <c r="AZ83" i="12"/>
  <c r="AX83" i="12"/>
  <c r="AV83" i="12"/>
  <c r="BH83" i="12"/>
  <c r="AP83" i="12"/>
  <c r="AQ83" i="12" s="1"/>
  <c r="AR83" i="12" s="1"/>
  <c r="BJ83" i="12"/>
  <c r="BF83" i="12"/>
  <c r="BD83" i="12"/>
  <c r="AS83" i="12"/>
  <c r="AT83" i="12" s="1"/>
  <c r="AU83" i="12" s="1"/>
  <c r="AM83" i="12"/>
  <c r="AN83" i="12" s="1"/>
  <c r="AO83" i="12" s="1"/>
  <c r="BH93" i="12"/>
  <c r="AP93" i="12"/>
  <c r="AQ93" i="12" s="1"/>
  <c r="AR93" i="12" s="1"/>
  <c r="BF93" i="12"/>
  <c r="BD93" i="12"/>
  <c r="AM93" i="12"/>
  <c r="AN93" i="12" s="1"/>
  <c r="AO93" i="12" s="1"/>
  <c r="AZ93" i="12"/>
  <c r="AX93" i="12"/>
  <c r="BB93" i="12"/>
  <c r="AV93" i="12"/>
  <c r="AS93" i="12"/>
  <c r="AT93" i="12" s="1"/>
  <c r="AU93" i="12" s="1"/>
  <c r="AJ93" i="12"/>
  <c r="AK93" i="12" s="1"/>
  <c r="BJ93" i="12"/>
  <c r="AV113" i="12"/>
  <c r="BJ113" i="12"/>
  <c r="AS113" i="12"/>
  <c r="AT113" i="12" s="1"/>
  <c r="AU113" i="12" s="1"/>
  <c r="BH113" i="12"/>
  <c r="BD113" i="12"/>
  <c r="AM113" i="12"/>
  <c r="AN113" i="12" s="1"/>
  <c r="AO113" i="12" s="1"/>
  <c r="BB113" i="12"/>
  <c r="AP113" i="12"/>
  <c r="AQ113" i="12" s="1"/>
  <c r="AR113" i="12" s="1"/>
  <c r="AJ113" i="12"/>
  <c r="AK113" i="12" s="1"/>
  <c r="BF113" i="12"/>
  <c r="AX113" i="12"/>
  <c r="AZ113" i="12"/>
  <c r="AV129" i="12"/>
  <c r="BJ129" i="12"/>
  <c r="AS129" i="12"/>
  <c r="AT129" i="12" s="1"/>
  <c r="AU129" i="12" s="1"/>
  <c r="AP129" i="12"/>
  <c r="AQ129" i="12" s="1"/>
  <c r="AR129" i="12" s="1"/>
  <c r="BD129" i="12"/>
  <c r="AM129" i="12"/>
  <c r="AN129" i="12" s="1"/>
  <c r="AO129" i="12" s="1"/>
  <c r="BH129" i="12"/>
  <c r="AJ129" i="12"/>
  <c r="AK129" i="12" s="1"/>
  <c r="BF129" i="12"/>
  <c r="AZ129" i="12"/>
  <c r="AX129" i="12"/>
  <c r="BB129" i="12"/>
  <c r="AV145" i="12"/>
  <c r="BJ145" i="12"/>
  <c r="AS145" i="12"/>
  <c r="AT145" i="12" s="1"/>
  <c r="AU145" i="12" s="1"/>
  <c r="BH145" i="12"/>
  <c r="BD145" i="12"/>
  <c r="AM145" i="12"/>
  <c r="AN145" i="12" s="1"/>
  <c r="AO145" i="12" s="1"/>
  <c r="BF145" i="12"/>
  <c r="BB145" i="12"/>
  <c r="AZ145" i="12"/>
  <c r="AX145" i="12"/>
  <c r="AJ145" i="12"/>
  <c r="AK145" i="12" s="1"/>
  <c r="AP145" i="12"/>
  <c r="AQ145" i="12" s="1"/>
  <c r="AR145" i="12" s="1"/>
  <c r="AM161" i="12"/>
  <c r="AN161" i="12" s="1"/>
  <c r="AO161" i="12" s="1"/>
  <c r="BH161" i="12"/>
  <c r="AP161" i="12"/>
  <c r="AQ161" i="12" s="1"/>
  <c r="AR161" i="12" s="1"/>
  <c r="BF161" i="12"/>
  <c r="BD161" i="12"/>
  <c r="BB161" i="12"/>
  <c r="AJ161" i="12"/>
  <c r="AK161" i="12" s="1"/>
  <c r="AX161" i="12"/>
  <c r="AZ161" i="12"/>
  <c r="AV161" i="12"/>
  <c r="BJ161" i="12"/>
  <c r="AS161" i="12"/>
  <c r="AT161" i="12" s="1"/>
  <c r="AU161" i="12" s="1"/>
  <c r="AZ209" i="12"/>
  <c r="AJ209" i="12"/>
  <c r="AK209" i="12" s="1"/>
  <c r="AV209" i="12"/>
  <c r="BJ209" i="12"/>
  <c r="AS209" i="12"/>
  <c r="AT209" i="12" s="1"/>
  <c r="AU209" i="12" s="1"/>
  <c r="BH209" i="12"/>
  <c r="AP209" i="12"/>
  <c r="AQ209" i="12" s="1"/>
  <c r="AR209" i="12" s="1"/>
  <c r="BF209" i="12"/>
  <c r="AX209" i="12"/>
  <c r="AM209" i="12"/>
  <c r="AN209" i="12" s="1"/>
  <c r="AO209" i="12" s="1"/>
  <c r="BD209" i="12"/>
  <c r="BB209" i="12"/>
  <c r="AV225" i="12"/>
  <c r="BH225" i="12"/>
  <c r="AP225" i="12"/>
  <c r="AQ225" i="12" s="1"/>
  <c r="AR225" i="12" s="1"/>
  <c r="BF225" i="12"/>
  <c r="BD225" i="12"/>
  <c r="BB225" i="12"/>
  <c r="AZ225" i="12"/>
  <c r="AX225" i="12"/>
  <c r="AS225" i="12"/>
  <c r="AT225" i="12" s="1"/>
  <c r="AU225" i="12" s="1"/>
  <c r="BJ225" i="12"/>
  <c r="AM225" i="12"/>
  <c r="AN225" i="12" s="1"/>
  <c r="AO225" i="12" s="1"/>
  <c r="AJ225" i="12"/>
  <c r="AK225" i="12" s="1"/>
  <c r="BD233" i="12"/>
  <c r="AM233" i="12"/>
  <c r="AN233" i="12" s="1"/>
  <c r="AO233" i="12" s="1"/>
  <c r="BB233" i="12"/>
  <c r="AJ233" i="12"/>
  <c r="AK233" i="12" s="1"/>
  <c r="AL233" i="12" s="1"/>
  <c r="AZ233" i="12"/>
  <c r="AX233" i="12"/>
  <c r="BJ233" i="12"/>
  <c r="BH233" i="12"/>
  <c r="BF233" i="12"/>
  <c r="AV233" i="12"/>
  <c r="AS233" i="12"/>
  <c r="AT233" i="12" s="1"/>
  <c r="AU233" i="12" s="1"/>
  <c r="AP233" i="12"/>
  <c r="AQ233" i="12" s="1"/>
  <c r="AR233" i="12" s="1"/>
  <c r="BJ241" i="12"/>
  <c r="AS241" i="12"/>
  <c r="AT241" i="12" s="1"/>
  <c r="AU241" i="12" s="1"/>
  <c r="BH241" i="12"/>
  <c r="BF241" i="12"/>
  <c r="AP241" i="12"/>
  <c r="AQ241" i="12" s="1"/>
  <c r="AR241" i="12" s="1"/>
  <c r="AM241" i="12"/>
  <c r="AN241" i="12" s="1"/>
  <c r="AO241" i="12" s="1"/>
  <c r="AJ241" i="12"/>
  <c r="AK241" i="12" s="1"/>
  <c r="AL241" i="12" s="1"/>
  <c r="BD241" i="12"/>
  <c r="BB241" i="12"/>
  <c r="AZ241" i="12"/>
  <c r="AV241" i="12"/>
  <c r="AX241" i="12"/>
  <c r="AM249" i="12"/>
  <c r="AN249" i="12" s="1"/>
  <c r="AO249" i="12" s="1"/>
  <c r="AX249" i="12"/>
  <c r="AV249" i="12"/>
  <c r="BJ249" i="12"/>
  <c r="AS249" i="12"/>
  <c r="AT249" i="12" s="1"/>
  <c r="AU249" i="12" s="1"/>
  <c r="BH249" i="12"/>
  <c r="BF249" i="12"/>
  <c r="BD249" i="12"/>
  <c r="BB249" i="12"/>
  <c r="AZ249" i="12"/>
  <c r="AP249" i="12"/>
  <c r="AQ249" i="12" s="1"/>
  <c r="AR249" i="12" s="1"/>
  <c r="AJ249" i="12"/>
  <c r="AK249" i="12" s="1"/>
  <c r="AL249" i="12" s="1"/>
  <c r="AV312" i="12"/>
  <c r="BH312" i="12"/>
  <c r="AP312" i="12"/>
  <c r="AQ312" i="12" s="1"/>
  <c r="AR312" i="12" s="1"/>
  <c r="BF312" i="12"/>
  <c r="BD312" i="12"/>
  <c r="AZ312" i="12"/>
  <c r="AX312" i="12"/>
  <c r="AS312" i="12"/>
  <c r="AT312" i="12" s="1"/>
  <c r="AU312" i="12" s="1"/>
  <c r="BB312" i="12"/>
  <c r="AM312" i="12"/>
  <c r="AN312" i="12" s="1"/>
  <c r="AO312" i="12" s="1"/>
  <c r="BJ312" i="12"/>
  <c r="AJ312" i="12"/>
  <c r="AK312" i="12" s="1"/>
  <c r="AP325" i="12"/>
  <c r="AQ325" i="12" s="1"/>
  <c r="AR325" i="12" s="1"/>
  <c r="BF325" i="12"/>
  <c r="BD325" i="12"/>
  <c r="AM325" i="12"/>
  <c r="AN325" i="12" s="1"/>
  <c r="AO325" i="12" s="1"/>
  <c r="AJ325" i="12"/>
  <c r="AK325" i="12" s="1"/>
  <c r="AZ325" i="12"/>
  <c r="AV325" i="12"/>
  <c r="BJ325" i="12"/>
  <c r="BH325" i="12"/>
  <c r="BB325" i="12"/>
  <c r="AS325" i="12"/>
  <c r="AT325" i="12" s="1"/>
  <c r="AU325" i="12" s="1"/>
  <c r="AX325" i="12"/>
  <c r="AZ12" i="12"/>
  <c r="AX12" i="12"/>
  <c r="AV12" i="12"/>
  <c r="BJ12" i="12"/>
  <c r="AS12" i="12"/>
  <c r="AT12" i="12" s="1"/>
  <c r="AU12" i="12" s="1"/>
  <c r="BH12" i="12"/>
  <c r="AP12" i="12"/>
  <c r="AQ12" i="12" s="1"/>
  <c r="AR12" i="12" s="1"/>
  <c r="BF12" i="12"/>
  <c r="BD12" i="12"/>
  <c r="BB12" i="12"/>
  <c r="AM12" i="12"/>
  <c r="AN12" i="12" s="1"/>
  <c r="AO12" i="12" s="1"/>
  <c r="AJ12" i="12"/>
  <c r="AK12" i="12" s="1"/>
  <c r="AL12" i="12" s="1"/>
  <c r="C21" i="8"/>
  <c r="C31" i="8"/>
  <c r="BH39" i="12"/>
  <c r="BF39" i="12"/>
  <c r="AM39" i="12"/>
  <c r="AN39" i="12" s="1"/>
  <c r="AO39" i="12" s="1"/>
  <c r="BD39" i="12"/>
  <c r="BB39" i="12"/>
  <c r="AJ39" i="12"/>
  <c r="AK39" i="12" s="1"/>
  <c r="AL39" i="12" s="1"/>
  <c r="AZ39" i="12"/>
  <c r="AV39" i="12"/>
  <c r="BJ39" i="12"/>
  <c r="AX39" i="12"/>
  <c r="AS39" i="12"/>
  <c r="AT39" i="12" s="1"/>
  <c r="AU39" i="12" s="1"/>
  <c r="AP39" i="12"/>
  <c r="AQ39" i="12" s="1"/>
  <c r="AR39" i="12" s="1"/>
  <c r="BF49" i="12"/>
  <c r="AP49" i="12"/>
  <c r="AQ49" i="12" s="1"/>
  <c r="AR49" i="12" s="1"/>
  <c r="AJ49" i="12"/>
  <c r="AK49" i="12" s="1"/>
  <c r="AV49" i="12"/>
  <c r="BD49" i="12"/>
  <c r="BB49" i="12"/>
  <c r="AZ49" i="12"/>
  <c r="AS49" i="12"/>
  <c r="AT49" i="12" s="1"/>
  <c r="AU49" i="12" s="1"/>
  <c r="AX49" i="12"/>
  <c r="AM49" i="12"/>
  <c r="AN49" i="12" s="1"/>
  <c r="AO49" i="12" s="1"/>
  <c r="BJ49" i="12"/>
  <c r="BH49" i="12"/>
  <c r="AX86" i="12"/>
  <c r="AV86" i="12"/>
  <c r="BJ86" i="12"/>
  <c r="AS86" i="12"/>
  <c r="AT86" i="12" s="1"/>
  <c r="AU86" i="12" s="1"/>
  <c r="BH86" i="12"/>
  <c r="BD86" i="12"/>
  <c r="AM86" i="12"/>
  <c r="AN86" i="12" s="1"/>
  <c r="AO86" i="12" s="1"/>
  <c r="AP86" i="12"/>
  <c r="AQ86" i="12" s="1"/>
  <c r="AR86" i="12" s="1"/>
  <c r="AJ86" i="12"/>
  <c r="AK86" i="12" s="1"/>
  <c r="AZ86" i="12"/>
  <c r="BF86" i="12"/>
  <c r="BB86" i="12"/>
  <c r="AX103" i="12"/>
  <c r="BJ103" i="12"/>
  <c r="AS103" i="12"/>
  <c r="AT103" i="12" s="1"/>
  <c r="AU103" i="12" s="1"/>
  <c r="BF103" i="12"/>
  <c r="AP103" i="12"/>
  <c r="AQ103" i="12" s="1"/>
  <c r="AR103" i="12" s="1"/>
  <c r="AM103" i="12"/>
  <c r="AN103" i="12" s="1"/>
  <c r="AO103" i="12" s="1"/>
  <c r="BH103" i="12"/>
  <c r="BD103" i="12"/>
  <c r="BB103" i="12"/>
  <c r="AZ103" i="12"/>
  <c r="AV103" i="12"/>
  <c r="AJ103" i="12"/>
  <c r="AK103" i="12" s="1"/>
  <c r="AL103" i="12" s="1"/>
  <c r="AZ116" i="12"/>
  <c r="AJ116" i="12"/>
  <c r="AK116" i="12" s="1"/>
  <c r="AX116" i="12"/>
  <c r="AV116" i="12"/>
  <c r="BH116" i="12"/>
  <c r="AP116" i="12"/>
  <c r="AQ116" i="12" s="1"/>
  <c r="AR116" i="12" s="1"/>
  <c r="BF116" i="12"/>
  <c r="BJ116" i="12"/>
  <c r="BB116" i="12"/>
  <c r="AS116" i="12"/>
  <c r="AT116" i="12" s="1"/>
  <c r="AU116" i="12" s="1"/>
  <c r="BD116" i="12"/>
  <c r="AM116" i="12"/>
  <c r="AN116" i="12" s="1"/>
  <c r="AO116" i="12" s="1"/>
  <c r="AZ132" i="12"/>
  <c r="AJ132" i="12"/>
  <c r="AK132" i="12" s="1"/>
  <c r="BJ132" i="12"/>
  <c r="AS132" i="12"/>
  <c r="AT132" i="12" s="1"/>
  <c r="AU132" i="12" s="1"/>
  <c r="BH132" i="12"/>
  <c r="AP132" i="12"/>
  <c r="AQ132" i="12" s="1"/>
  <c r="AR132" i="12" s="1"/>
  <c r="BF132" i="12"/>
  <c r="BB132" i="12"/>
  <c r="AX132" i="12"/>
  <c r="BD132" i="12"/>
  <c r="AM132" i="12"/>
  <c r="AN132" i="12" s="1"/>
  <c r="AO132" i="12" s="1"/>
  <c r="AV132" i="12"/>
  <c r="BD148" i="12"/>
  <c r="BB148" i="12"/>
  <c r="AZ148" i="12"/>
  <c r="AJ148" i="12"/>
  <c r="AK148" i="12" s="1"/>
  <c r="AX148" i="12"/>
  <c r="AV148" i="12"/>
  <c r="BJ148" i="12"/>
  <c r="AP148" i="12"/>
  <c r="AQ148" i="12" s="1"/>
  <c r="AR148" i="12" s="1"/>
  <c r="BH148" i="12"/>
  <c r="AS148" i="12"/>
  <c r="AT148" i="12" s="1"/>
  <c r="AU148" i="12" s="1"/>
  <c r="BF148" i="12"/>
  <c r="AM148" i="12"/>
  <c r="AN148" i="12" s="1"/>
  <c r="AO148" i="12" s="1"/>
  <c r="BJ180" i="12"/>
  <c r="AS180" i="12"/>
  <c r="AT180" i="12" s="1"/>
  <c r="AU180" i="12" s="1"/>
  <c r="BH180" i="12"/>
  <c r="BF180" i="12"/>
  <c r="AP180" i="12"/>
  <c r="AQ180" i="12" s="1"/>
  <c r="AR180" i="12" s="1"/>
  <c r="BD180" i="12"/>
  <c r="AM180" i="12"/>
  <c r="AN180" i="12" s="1"/>
  <c r="AO180" i="12" s="1"/>
  <c r="AZ180" i="12"/>
  <c r="AJ180" i="12"/>
  <c r="AK180" i="12" s="1"/>
  <c r="BB180" i="12"/>
  <c r="AX180" i="12"/>
  <c r="AV180" i="12"/>
  <c r="BJ212" i="12"/>
  <c r="AS212" i="12"/>
  <c r="AT212" i="12" s="1"/>
  <c r="AU212" i="12" s="1"/>
  <c r="BH212" i="12"/>
  <c r="AP212" i="12"/>
  <c r="AQ212" i="12" s="1"/>
  <c r="AR212" i="12" s="1"/>
  <c r="BF212" i="12"/>
  <c r="BD212" i="12"/>
  <c r="AM212" i="12"/>
  <c r="AN212" i="12" s="1"/>
  <c r="AO212" i="12" s="1"/>
  <c r="BB212" i="12"/>
  <c r="AJ212" i="12"/>
  <c r="AK212" i="12" s="1"/>
  <c r="AZ212" i="12"/>
  <c r="AV212" i="12"/>
  <c r="AX212" i="12"/>
  <c r="AX262" i="12"/>
  <c r="AV262" i="12"/>
  <c r="AS262" i="12"/>
  <c r="AT262" i="12" s="1"/>
  <c r="AU262" i="12" s="1"/>
  <c r="BJ262" i="12"/>
  <c r="AP262" i="12"/>
  <c r="AQ262" i="12" s="1"/>
  <c r="AR262" i="12" s="1"/>
  <c r="BF262" i="12"/>
  <c r="BD262" i="12"/>
  <c r="BB262" i="12"/>
  <c r="AZ262" i="12"/>
  <c r="AM262" i="12"/>
  <c r="AN262" i="12" s="1"/>
  <c r="AO262" i="12" s="1"/>
  <c r="BH262" i="12"/>
  <c r="AJ262" i="12"/>
  <c r="AK262" i="12" s="1"/>
  <c r="BJ297" i="12"/>
  <c r="AS297" i="12"/>
  <c r="AT297" i="12" s="1"/>
  <c r="AU297" i="12" s="1"/>
  <c r="BH297" i="12"/>
  <c r="BF297" i="12"/>
  <c r="BD297" i="12"/>
  <c r="AM297" i="12"/>
  <c r="AN297" i="12" s="1"/>
  <c r="AO297" i="12" s="1"/>
  <c r="AV297" i="12"/>
  <c r="AP297" i="12"/>
  <c r="AQ297" i="12" s="1"/>
  <c r="AR297" i="12" s="1"/>
  <c r="AJ297" i="12"/>
  <c r="AK297" i="12" s="1"/>
  <c r="AZ297" i="12"/>
  <c r="AX297" i="12"/>
  <c r="BB297" i="12"/>
  <c r="AZ336" i="12"/>
  <c r="AJ336" i="12"/>
  <c r="AK336" i="12" s="1"/>
  <c r="AX336" i="12"/>
  <c r="AV336" i="12"/>
  <c r="BD336" i="12"/>
  <c r="BB336" i="12"/>
  <c r="BJ336" i="12"/>
  <c r="BH336" i="12"/>
  <c r="BF336" i="12"/>
  <c r="AS336" i="12"/>
  <c r="AT336" i="12" s="1"/>
  <c r="AU336" i="12" s="1"/>
  <c r="AP336" i="12"/>
  <c r="AQ336" i="12" s="1"/>
  <c r="AR336" i="12" s="1"/>
  <c r="AM336" i="12"/>
  <c r="AN336" i="12" s="1"/>
  <c r="AO336" i="12" s="1"/>
  <c r="BJ341" i="12"/>
  <c r="AS341" i="12"/>
  <c r="AT341" i="12" s="1"/>
  <c r="AU341" i="12" s="1"/>
  <c r="AM341" i="12"/>
  <c r="AN341" i="12" s="1"/>
  <c r="AO341" i="12" s="1"/>
  <c r="BB341" i="12"/>
  <c r="AJ341" i="12"/>
  <c r="AK341" i="12" s="1"/>
  <c r="AX341" i="12"/>
  <c r="BH341" i="12"/>
  <c r="BF341" i="12"/>
  <c r="BD341" i="12"/>
  <c r="AZ341" i="12"/>
  <c r="AV341" i="12"/>
  <c r="AP341" i="12"/>
  <c r="AQ341" i="12" s="1"/>
  <c r="AR341" i="12" s="1"/>
  <c r="AM349" i="12"/>
  <c r="AN349" i="12" s="1"/>
  <c r="AO349" i="12" s="1"/>
  <c r="BB349" i="12"/>
  <c r="AZ349" i="12"/>
  <c r="AV349" i="12"/>
  <c r="BJ349" i="12"/>
  <c r="BD349" i="12"/>
  <c r="AS349" i="12"/>
  <c r="AT349" i="12" s="1"/>
  <c r="AU349" i="12" s="1"/>
  <c r="AP349" i="12"/>
  <c r="AQ349" i="12" s="1"/>
  <c r="AR349" i="12" s="1"/>
  <c r="AJ349" i="12"/>
  <c r="AK349" i="12" s="1"/>
  <c r="BH349" i="12"/>
  <c r="BF349" i="12"/>
  <c r="AX349" i="12"/>
  <c r="L306" i="8"/>
  <c r="H329" i="8"/>
  <c r="H333" i="8"/>
  <c r="H337" i="8"/>
  <c r="F292" i="8"/>
  <c r="F308" i="8"/>
  <c r="N309" i="8"/>
  <c r="F312" i="8"/>
  <c r="N313" i="8"/>
  <c r="F316" i="8"/>
  <c r="F336" i="8"/>
  <c r="H332" i="8"/>
  <c r="H340" i="8"/>
  <c r="L312" i="8"/>
  <c r="F263" i="8"/>
  <c r="F279" i="8"/>
  <c r="F291" i="8"/>
  <c r="F299" i="8"/>
  <c r="F319" i="8"/>
  <c r="G110" i="12"/>
  <c r="G122" i="12"/>
  <c r="G106" i="12"/>
  <c r="G113" i="12"/>
  <c r="G107" i="12"/>
  <c r="G114" i="12"/>
  <c r="G125" i="12"/>
  <c r="G129" i="12"/>
  <c r="G130" i="12"/>
  <c r="G132" i="12"/>
  <c r="G131" i="12"/>
  <c r="G208" i="12"/>
  <c r="G221" i="12"/>
  <c r="G196" i="12"/>
  <c r="G209" i="12"/>
  <c r="G215" i="12"/>
  <c r="G314" i="12"/>
  <c r="G329" i="12"/>
  <c r="G342" i="12"/>
  <c r="C54" i="8" l="1"/>
  <c r="D55" i="1" s="1"/>
  <c r="C61" i="8"/>
  <c r="D62" i="1" s="1"/>
  <c r="C50" i="8"/>
  <c r="D49" i="12" s="1"/>
  <c r="BC49" i="12" s="1"/>
  <c r="C112" i="8"/>
  <c r="D111" i="12" s="1"/>
  <c r="C121" i="8"/>
  <c r="D122" i="1" s="1"/>
  <c r="J122" i="1" s="1"/>
  <c r="AX334" i="12"/>
  <c r="BF317" i="12"/>
  <c r="C49" i="8"/>
  <c r="D48" i="12" s="1"/>
  <c r="AW48" i="12" s="1"/>
  <c r="C136" i="8"/>
  <c r="D137" i="1" s="1"/>
  <c r="C154" i="8"/>
  <c r="D153" i="12" s="1"/>
  <c r="BE153" i="12" s="1"/>
  <c r="C47" i="8"/>
  <c r="D48" i="1" s="1"/>
  <c r="BH53" i="12"/>
  <c r="AP53" i="12"/>
  <c r="AQ53" i="12" s="1"/>
  <c r="AR53" i="12" s="1"/>
  <c r="C149" i="8"/>
  <c r="D148" i="12" s="1"/>
  <c r="BF53" i="12"/>
  <c r="C151" i="8"/>
  <c r="D150" i="12" s="1"/>
  <c r="AY150" i="12" s="1"/>
  <c r="AX126" i="12"/>
  <c r="AZ296" i="12"/>
  <c r="BJ85" i="12"/>
  <c r="AI85" i="12" s="1"/>
  <c r="AV85" i="12"/>
  <c r="BP85" i="12" s="1"/>
  <c r="AM331" i="12"/>
  <c r="AN331" i="12" s="1"/>
  <c r="AO331" i="12" s="1"/>
  <c r="I14" i="2"/>
  <c r="C14" i="2" s="1"/>
  <c r="AS344" i="12"/>
  <c r="AT344" i="12" s="1"/>
  <c r="AU344" i="12" s="1"/>
  <c r="AX296" i="12"/>
  <c r="C158" i="8"/>
  <c r="D157" i="12" s="1"/>
  <c r="C66" i="8"/>
  <c r="D65" i="12" s="1"/>
  <c r="AW65" i="12" s="1"/>
  <c r="BH240" i="12"/>
  <c r="BB53" i="12"/>
  <c r="C115" i="8"/>
  <c r="D116" i="1" s="1"/>
  <c r="BD296" i="12"/>
  <c r="BQ296" i="12" s="1"/>
  <c r="C155" i="8"/>
  <c r="D156" i="1" s="1"/>
  <c r="AX53" i="12"/>
  <c r="AJ296" i="12"/>
  <c r="AK296" i="12" s="1"/>
  <c r="BB164" i="12"/>
  <c r="AP240" i="12"/>
  <c r="AQ240" i="12" s="1"/>
  <c r="AR240" i="12" s="1"/>
  <c r="C145" i="8"/>
  <c r="D144" i="12" s="1"/>
  <c r="AW144" i="12" s="1"/>
  <c r="C117" i="8"/>
  <c r="D118" i="1" s="1"/>
  <c r="C114" i="8"/>
  <c r="D113" i="12" s="1"/>
  <c r="BE113" i="12" s="1"/>
  <c r="BF257" i="12"/>
  <c r="AZ257" i="12"/>
  <c r="AZ177" i="12"/>
  <c r="AS177" i="12"/>
  <c r="AT177" i="12" s="1"/>
  <c r="AU177" i="12" s="1"/>
  <c r="AV317" i="12"/>
  <c r="AG317" i="12" s="1"/>
  <c r="AJ257" i="12"/>
  <c r="AK257" i="12" s="1"/>
  <c r="C53" i="8"/>
  <c r="D52" i="12" s="1"/>
  <c r="AP317" i="12"/>
  <c r="AQ317" i="12" s="1"/>
  <c r="AR317" i="12" s="1"/>
  <c r="BB160" i="12"/>
  <c r="C173" i="8"/>
  <c r="D174" i="1" s="1"/>
  <c r="C146" i="8"/>
  <c r="D145" i="12" s="1"/>
  <c r="BI145" i="12" s="1"/>
  <c r="BD274" i="12"/>
  <c r="BQ274" i="12" s="1"/>
  <c r="C135" i="8"/>
  <c r="D136" i="1" s="1"/>
  <c r="AZ164" i="12"/>
  <c r="AJ164" i="12"/>
  <c r="AK164" i="12" s="1"/>
  <c r="AJ331" i="12"/>
  <c r="AK331" i="12" s="1"/>
  <c r="BH331" i="12"/>
  <c r="C143" i="8"/>
  <c r="D142" i="12" s="1"/>
  <c r="AY142" i="12" s="1"/>
  <c r="C72" i="8"/>
  <c r="D71" i="12" s="1"/>
  <c r="U71" i="12" s="1"/>
  <c r="V71" i="12" s="1"/>
  <c r="C176" i="8"/>
  <c r="D175" i="12" s="1"/>
  <c r="C197" i="8"/>
  <c r="D196" i="12" s="1"/>
  <c r="C199" i="8"/>
  <c r="D198" i="12" s="1"/>
  <c r="AW198" i="12" s="1"/>
  <c r="AS331" i="12"/>
  <c r="AT331" i="12" s="1"/>
  <c r="AU331" i="12" s="1"/>
  <c r="C205" i="8"/>
  <c r="D204" i="12" s="1"/>
  <c r="BI204" i="12" s="1"/>
  <c r="C67" i="8"/>
  <c r="D68" i="1" s="1"/>
  <c r="C71" i="8"/>
  <c r="D70" i="12" s="1"/>
  <c r="C141" i="8"/>
  <c r="D140" i="12" s="1"/>
  <c r="BC140" i="12" s="1"/>
  <c r="C161" i="8"/>
  <c r="D160" i="12" s="1"/>
  <c r="BF331" i="12"/>
  <c r="AV22" i="12"/>
  <c r="BP22" i="12" s="1"/>
  <c r="AV126" i="12"/>
  <c r="BP126" i="12" s="1"/>
  <c r="AV334" i="12"/>
  <c r="BP334" i="12" s="1"/>
  <c r="C118" i="8"/>
  <c r="D117" i="12" s="1"/>
  <c r="H117" i="12" s="1"/>
  <c r="C129" i="8"/>
  <c r="D128" i="12" s="1"/>
  <c r="BE128" i="12" s="1"/>
  <c r="C58" i="8"/>
  <c r="D59" i="1" s="1"/>
  <c r="C225" i="8"/>
  <c r="D224" i="12" s="1"/>
  <c r="AY224" i="12" s="1"/>
  <c r="AM171" i="12"/>
  <c r="AN171" i="12" s="1"/>
  <c r="AO171" i="12" s="1"/>
  <c r="BD210" i="12"/>
  <c r="AH210" i="12" s="1"/>
  <c r="C120" i="8"/>
  <c r="D119" i="12" s="1"/>
  <c r="BD171" i="12"/>
  <c r="BQ171" i="12" s="1"/>
  <c r="AV90" i="12"/>
  <c r="AG90" i="12" s="1"/>
  <c r="BH120" i="12"/>
  <c r="BF210" i="12"/>
  <c r="AX191" i="12"/>
  <c r="C113" i="8"/>
  <c r="D112" i="12" s="1"/>
  <c r="AP210" i="12"/>
  <c r="AQ210" i="12" s="1"/>
  <c r="AR210" i="12" s="1"/>
  <c r="AZ191" i="12"/>
  <c r="BH210" i="12"/>
  <c r="AJ191" i="12"/>
  <c r="AK191" i="12" s="1"/>
  <c r="C148" i="8"/>
  <c r="D147" i="12" s="1"/>
  <c r="AW147" i="12" s="1"/>
  <c r="AM88" i="12"/>
  <c r="AN88" i="12" s="1"/>
  <c r="AO88" i="12" s="1"/>
  <c r="C74" i="8"/>
  <c r="D73" i="12" s="1"/>
  <c r="BK73" i="12" s="1"/>
  <c r="BF171" i="12"/>
  <c r="BD130" i="12"/>
  <c r="BQ130" i="12" s="1"/>
  <c r="BF159" i="12"/>
  <c r="AP88" i="12"/>
  <c r="AQ88" i="12" s="1"/>
  <c r="AR88" i="12" s="1"/>
  <c r="BB296" i="12"/>
  <c r="D5" i="1"/>
  <c r="G5" i="1" s="1"/>
  <c r="D25" i="1"/>
  <c r="G25" i="1" s="1"/>
  <c r="AX88" i="12"/>
  <c r="AJ171" i="12"/>
  <c r="AK171" i="12" s="1"/>
  <c r="AJ130" i="12"/>
  <c r="AK130" i="12" s="1"/>
  <c r="AM296" i="12"/>
  <c r="AN296" i="12" s="1"/>
  <c r="AO296" i="12" s="1"/>
  <c r="AX112" i="12"/>
  <c r="C81" i="8"/>
  <c r="D80" i="12" s="1"/>
  <c r="C94" i="8"/>
  <c r="D93" i="12" s="1"/>
  <c r="C144" i="8"/>
  <c r="D143" i="12" s="1"/>
  <c r="AL143" i="12" s="1"/>
  <c r="C218" i="8"/>
  <c r="D217" i="12" s="1"/>
  <c r="AY217" i="12" s="1"/>
  <c r="AP130" i="12"/>
  <c r="AQ130" i="12" s="1"/>
  <c r="AR130" i="12" s="1"/>
  <c r="AX193" i="12"/>
  <c r="AV171" i="12"/>
  <c r="AG171" i="12" s="1"/>
  <c r="BJ196" i="12"/>
  <c r="AI196" i="12" s="1"/>
  <c r="BH193" i="12"/>
  <c r="BD322" i="12"/>
  <c r="BQ322" i="12" s="1"/>
  <c r="C126" i="8"/>
  <c r="D125" i="12" s="1"/>
  <c r="H125" i="12" s="1"/>
  <c r="AZ196" i="12"/>
  <c r="AX344" i="12"/>
  <c r="AZ171" i="12"/>
  <c r="BJ350" i="12"/>
  <c r="AI350" i="12" s="1"/>
  <c r="BH296" i="12"/>
  <c r="AM322" i="12"/>
  <c r="AN322" i="12" s="1"/>
  <c r="AO322" i="12" s="1"/>
  <c r="C60" i="8"/>
  <c r="D59" i="12" s="1"/>
  <c r="BE59" i="12" s="1"/>
  <c r="C193" i="8"/>
  <c r="D194" i="1" s="1"/>
  <c r="C48" i="8"/>
  <c r="C196" i="8"/>
  <c r="D197" i="1" s="1"/>
  <c r="C80" i="8"/>
  <c r="D79" i="12" s="1"/>
  <c r="BK79" i="12" s="1"/>
  <c r="AJ112" i="12"/>
  <c r="AK112" i="12" s="1"/>
  <c r="AX130" i="12"/>
  <c r="AJ322" i="12"/>
  <c r="AK322" i="12" s="1"/>
  <c r="AS296" i="12"/>
  <c r="AT296" i="12" s="1"/>
  <c r="AU296" i="12" s="1"/>
  <c r="BH322" i="12"/>
  <c r="C189" i="8"/>
  <c r="D188" i="12" s="1"/>
  <c r="BK188" i="12" s="1"/>
  <c r="C156" i="8"/>
  <c r="D155" i="12" s="1"/>
  <c r="C78" i="8"/>
  <c r="D77" i="12" s="1"/>
  <c r="AP196" i="12"/>
  <c r="AQ196" i="12" s="1"/>
  <c r="AR196" i="12" s="1"/>
  <c r="AM344" i="12"/>
  <c r="AN344" i="12" s="1"/>
  <c r="AO344" i="12" s="1"/>
  <c r="AV344" i="12"/>
  <c r="BP344" i="12" s="1"/>
  <c r="BJ130" i="12"/>
  <c r="AI130" i="12" s="1"/>
  <c r="AJ196" i="12"/>
  <c r="AK196" i="12" s="1"/>
  <c r="AZ344" i="12"/>
  <c r="BJ296" i="12"/>
  <c r="BR296" i="12" s="1"/>
  <c r="BJ160" i="12"/>
  <c r="BR160" i="12" s="1"/>
  <c r="AJ286" i="12"/>
  <c r="AK286" i="12" s="1"/>
  <c r="C191" i="8"/>
  <c r="D190" i="12" s="1"/>
  <c r="BK190" i="12" s="1"/>
  <c r="C175" i="8"/>
  <c r="D176" i="1" s="1"/>
  <c r="AV193" i="12"/>
  <c r="AG193" i="12" s="1"/>
  <c r="D17" i="1"/>
  <c r="J17" i="1" s="1"/>
  <c r="F52" i="9" a="1"/>
  <c r="F52" i="9" s="1"/>
  <c r="F231" i="8" s="1"/>
  <c r="C231" i="8" s="1"/>
  <c r="AZ112" i="12"/>
  <c r="AX171" i="12"/>
  <c r="AV226" i="12"/>
  <c r="BN226" i="12" s="1"/>
  <c r="AV296" i="12"/>
  <c r="BN296" i="12" s="1"/>
  <c r="AS240" i="12"/>
  <c r="AT240" i="12" s="1"/>
  <c r="AU240" i="12" s="1"/>
  <c r="BH160" i="12"/>
  <c r="AM53" i="12"/>
  <c r="AN53" i="12" s="1"/>
  <c r="AO53" i="12" s="1"/>
  <c r="AP296" i="12"/>
  <c r="AQ296" i="12" s="1"/>
  <c r="AR296" i="12" s="1"/>
  <c r="AX240" i="12"/>
  <c r="BD53" i="12"/>
  <c r="BQ53" i="12" s="1"/>
  <c r="C116" i="8"/>
  <c r="D115" i="12" s="1"/>
  <c r="BE115" i="12" s="1"/>
  <c r="D7" i="1"/>
  <c r="G7" i="1" s="1"/>
  <c r="BH270" i="12"/>
  <c r="AM240" i="12"/>
  <c r="AN240" i="12" s="1"/>
  <c r="AO240" i="12" s="1"/>
  <c r="AZ53" i="12"/>
  <c r="C213" i="8"/>
  <c r="D214" i="1" s="1"/>
  <c r="C119" i="8"/>
  <c r="D118" i="12" s="1"/>
  <c r="C139" i="8"/>
  <c r="D138" i="12" s="1"/>
  <c r="C200" i="8"/>
  <c r="D201" i="1" s="1"/>
  <c r="D106" i="1"/>
  <c r="J106" i="1" s="1"/>
  <c r="D104" i="12"/>
  <c r="H104" i="12" s="1"/>
  <c r="C127" i="8"/>
  <c r="D126" i="12" s="1"/>
  <c r="BJ193" i="12"/>
  <c r="BR193" i="12" s="1"/>
  <c r="AJ342" i="12"/>
  <c r="AK342" i="12" s="1"/>
  <c r="BD269" i="12"/>
  <c r="BQ269" i="12" s="1"/>
  <c r="C214" i="8"/>
  <c r="D213" i="12" s="1"/>
  <c r="BK213" i="12" s="1"/>
  <c r="C219" i="8"/>
  <c r="D218" i="12" s="1"/>
  <c r="C215" i="8"/>
  <c r="D214" i="12" s="1"/>
  <c r="AY214" i="12" s="1"/>
  <c r="BB257" i="12"/>
  <c r="AM269" i="12"/>
  <c r="AN269" i="12" s="1"/>
  <c r="AO269" i="12" s="1"/>
  <c r="AJ270" i="12"/>
  <c r="AK270" i="12" s="1"/>
  <c r="AS193" i="12"/>
  <c r="AT193" i="12" s="1"/>
  <c r="AU193" i="12" s="1"/>
  <c r="BD270" i="12"/>
  <c r="BQ270" i="12" s="1"/>
  <c r="BB193" i="12"/>
  <c r="BD40" i="12"/>
  <c r="BQ40" i="12" s="1"/>
  <c r="AS342" i="12"/>
  <c r="AT342" i="12" s="1"/>
  <c r="AU342" i="12" s="1"/>
  <c r="AP191" i="12"/>
  <c r="AQ191" i="12" s="1"/>
  <c r="AR191" i="12" s="1"/>
  <c r="AJ274" i="12"/>
  <c r="AK274" i="12" s="1"/>
  <c r="AP269" i="12"/>
  <c r="AQ269" i="12" s="1"/>
  <c r="AR269" i="12" s="1"/>
  <c r="BF208" i="12"/>
  <c r="BJ270" i="12"/>
  <c r="BR270" i="12" s="1"/>
  <c r="AP208" i="12"/>
  <c r="AQ208" i="12" s="1"/>
  <c r="AR208" i="12" s="1"/>
  <c r="AP270" i="12"/>
  <c r="AQ270" i="12" s="1"/>
  <c r="AR270" i="12" s="1"/>
  <c r="AX177" i="12"/>
  <c r="AZ339" i="12"/>
  <c r="AP168" i="12"/>
  <c r="AQ168" i="12" s="1"/>
  <c r="AR168" i="12" s="1"/>
  <c r="BF40" i="12"/>
  <c r="AZ342" i="12"/>
  <c r="BJ191" i="12"/>
  <c r="AI191" i="12" s="1"/>
  <c r="AP274" i="12"/>
  <c r="AQ274" i="12" s="1"/>
  <c r="AR274" i="12" s="1"/>
  <c r="C192" i="8"/>
  <c r="D191" i="12" s="1"/>
  <c r="C207" i="8"/>
  <c r="D208" i="1" s="1"/>
  <c r="AP320" i="12"/>
  <c r="AQ320" i="12" s="1"/>
  <c r="AR320" i="12" s="1"/>
  <c r="AM260" i="12"/>
  <c r="AN260" i="12" s="1"/>
  <c r="AO260" i="12" s="1"/>
  <c r="BD80" i="12"/>
  <c r="AH80" i="12" s="1"/>
  <c r="BJ226" i="12"/>
  <c r="BR226" i="12" s="1"/>
  <c r="AV274" i="12"/>
  <c r="BN274" i="12" s="1"/>
  <c r="AJ201" i="12"/>
  <c r="AK201" i="12" s="1"/>
  <c r="AP21" i="12"/>
  <c r="AQ21" i="12" s="1"/>
  <c r="AR21" i="12" s="1"/>
  <c r="BF92" i="12"/>
  <c r="C210" i="8"/>
  <c r="D209" i="12" s="1"/>
  <c r="C97" i="8"/>
  <c r="D98" i="1" s="1"/>
  <c r="C132" i="8"/>
  <c r="D131" i="12" s="1"/>
  <c r="C122" i="8"/>
  <c r="D121" i="12" s="1"/>
  <c r="AW121" i="12" s="1"/>
  <c r="C206" i="8"/>
  <c r="D207" i="1" s="1"/>
  <c r="C224" i="8"/>
  <c r="D225" i="1" s="1"/>
  <c r="BF342" i="12"/>
  <c r="BJ168" i="12"/>
  <c r="AI168" i="12" s="1"/>
  <c r="BF274" i="12"/>
  <c r="C162" i="8"/>
  <c r="D161" i="12" s="1"/>
  <c r="BC161" i="12" s="1"/>
  <c r="C216" i="8"/>
  <c r="D217" i="1" s="1"/>
  <c r="C184" i="8"/>
  <c r="D185" i="1" s="1"/>
  <c r="AM320" i="12"/>
  <c r="AN320" i="12" s="1"/>
  <c r="AO320" i="12" s="1"/>
  <c r="BJ274" i="12"/>
  <c r="AI274" i="12" s="1"/>
  <c r="AZ201" i="12"/>
  <c r="BF21" i="12"/>
  <c r="C111" i="8"/>
  <c r="D110" i="12" s="1"/>
  <c r="AY110" i="12" s="1"/>
  <c r="C160" i="8"/>
  <c r="D159" i="12" s="1"/>
  <c r="AV320" i="12"/>
  <c r="AG320" i="12" s="1"/>
  <c r="AP80" i="12"/>
  <c r="AQ80" i="12" s="1"/>
  <c r="AR80" i="12" s="1"/>
  <c r="D355" i="1"/>
  <c r="J355" i="1" s="1"/>
  <c r="C125" i="8"/>
  <c r="D124" i="12" s="1"/>
  <c r="BH126" i="12"/>
  <c r="BB320" i="12"/>
  <c r="BF80" i="12"/>
  <c r="AX37" i="12"/>
  <c r="BJ306" i="12"/>
  <c r="AI306" i="12" s="1"/>
  <c r="AZ274" i="12"/>
  <c r="AZ160" i="12"/>
  <c r="C52" i="8"/>
  <c r="BD339" i="12"/>
  <c r="BQ339" i="12" s="1"/>
  <c r="C171" i="8"/>
  <c r="D172" i="1" s="1"/>
  <c r="BH320" i="12"/>
  <c r="AM92" i="12"/>
  <c r="AN92" i="12" s="1"/>
  <c r="AO92" i="12" s="1"/>
  <c r="C153" i="8"/>
  <c r="D152" i="12" s="1"/>
  <c r="F152" i="12" s="1"/>
  <c r="BD260" i="12"/>
  <c r="AH260" i="12" s="1"/>
  <c r="C131" i="8"/>
  <c r="D130" i="12" s="1"/>
  <c r="C168" i="8"/>
  <c r="D167" i="12" s="1"/>
  <c r="BJ126" i="12"/>
  <c r="AI126" i="12" s="1"/>
  <c r="BH21" i="12"/>
  <c r="C62" i="8"/>
  <c r="D61" i="12" s="1"/>
  <c r="C55" i="8"/>
  <c r="D54" i="12" s="1"/>
  <c r="BE54" i="12" s="1"/>
  <c r="AJ126" i="12"/>
  <c r="AK126" i="12" s="1"/>
  <c r="BF37" i="12"/>
  <c r="BD306" i="12"/>
  <c r="AH306" i="12" s="1"/>
  <c r="BB274" i="12"/>
  <c r="AJ160" i="12"/>
  <c r="AK160" i="12" s="1"/>
  <c r="C68" i="8"/>
  <c r="D69" i="1" s="1"/>
  <c r="C124" i="8"/>
  <c r="D125" i="1" s="1"/>
  <c r="C134" i="8"/>
  <c r="D133" i="12" s="1"/>
  <c r="H133" i="12" s="1"/>
  <c r="BH168" i="12"/>
  <c r="AS274" i="12"/>
  <c r="AT274" i="12" s="1"/>
  <c r="AU274" i="12" s="1"/>
  <c r="BH274" i="12"/>
  <c r="AX201" i="12"/>
  <c r="C164" i="8"/>
  <c r="D163" i="12" s="1"/>
  <c r="C130" i="8"/>
  <c r="D131" i="1" s="1"/>
  <c r="BB80" i="12"/>
  <c r="BD92" i="12"/>
  <c r="BQ92" i="12" s="1"/>
  <c r="C142" i="8"/>
  <c r="D143" i="1" s="1"/>
  <c r="AX274" i="12"/>
  <c r="BB201" i="12"/>
  <c r="BD257" i="12"/>
  <c r="AH257" i="12" s="1"/>
  <c r="BF126" i="12"/>
  <c r="AZ37" i="12"/>
  <c r="AS160" i="12"/>
  <c r="AT160" i="12" s="1"/>
  <c r="AU160" i="12" s="1"/>
  <c r="I370" i="3"/>
  <c r="C170" i="8"/>
  <c r="D169" i="12" s="1"/>
  <c r="AX85" i="12"/>
  <c r="AS208" i="12"/>
  <c r="AT208" i="12" s="1"/>
  <c r="AU208" i="12" s="1"/>
  <c r="AM160" i="12"/>
  <c r="AN160" i="12" s="1"/>
  <c r="AO160" i="12" s="1"/>
  <c r="D350" i="12"/>
  <c r="BM350" i="12" s="1"/>
  <c r="BD320" i="12"/>
  <c r="BQ320" i="12" s="1"/>
  <c r="BF168" i="12"/>
  <c r="AS210" i="12"/>
  <c r="AT210" i="12" s="1"/>
  <c r="AU210" i="12" s="1"/>
  <c r="BF191" i="12"/>
  <c r="BH269" i="12"/>
  <c r="AJ75" i="12"/>
  <c r="AK75" i="12" s="1"/>
  <c r="AS21" i="12"/>
  <c r="AT21" i="12" s="1"/>
  <c r="AU21" i="12" s="1"/>
  <c r="BJ208" i="12"/>
  <c r="BR208" i="12" s="1"/>
  <c r="BD160" i="12"/>
  <c r="AH160" i="12" s="1"/>
  <c r="AV92" i="12"/>
  <c r="BP92" i="12" s="1"/>
  <c r="C77" i="8"/>
  <c r="D76" i="12" s="1"/>
  <c r="C82" i="8"/>
  <c r="BH208" i="12"/>
  <c r="C181" i="8"/>
  <c r="D180" i="12" s="1"/>
  <c r="BC180" i="12" s="1"/>
  <c r="C83" i="8"/>
  <c r="D84" i="1" s="1"/>
  <c r="AS270" i="12"/>
  <c r="AT270" i="12" s="1"/>
  <c r="AU270" i="12" s="1"/>
  <c r="BF269" i="12"/>
  <c r="D23" i="12"/>
  <c r="AE23" i="12" s="1"/>
  <c r="AF23" i="12" s="1"/>
  <c r="C133" i="8"/>
  <c r="D134" i="1" s="1"/>
  <c r="C85" i="8"/>
  <c r="D86" i="1" s="1"/>
  <c r="AV270" i="12"/>
  <c r="BP270" i="12" s="1"/>
  <c r="AS196" i="12"/>
  <c r="AT196" i="12" s="1"/>
  <c r="AU196" i="12" s="1"/>
  <c r="AX270" i="12"/>
  <c r="AJ177" i="12"/>
  <c r="AK177" i="12" s="1"/>
  <c r="BJ320" i="12"/>
  <c r="AI320" i="12" s="1"/>
  <c r="BF339" i="12"/>
  <c r="AM168" i="12"/>
  <c r="AN168" i="12" s="1"/>
  <c r="AO168" i="12" s="1"/>
  <c r="BD350" i="12"/>
  <c r="BJ210" i="12"/>
  <c r="BR210" i="12" s="1"/>
  <c r="BH191" i="12"/>
  <c r="BF306" i="12"/>
  <c r="AS269" i="12"/>
  <c r="AT269" i="12" s="1"/>
  <c r="AU269" i="12" s="1"/>
  <c r="AX75" i="12"/>
  <c r="AV21" i="12"/>
  <c r="AG21" i="12" s="1"/>
  <c r="AV208" i="12"/>
  <c r="AG208" i="12" s="1"/>
  <c r="BF160" i="12"/>
  <c r="BB92" i="12"/>
  <c r="D3" i="12"/>
  <c r="F3" i="12" s="1"/>
  <c r="C202" i="8"/>
  <c r="D201" i="12" s="1"/>
  <c r="AW201" i="12" s="1"/>
  <c r="C190" i="8"/>
  <c r="D189" i="12" s="1"/>
  <c r="C95" i="8"/>
  <c r="D96" i="1" s="1"/>
  <c r="C92" i="8"/>
  <c r="D93" i="1" s="1"/>
  <c r="C222" i="8"/>
  <c r="D221" i="12" s="1"/>
  <c r="BG221" i="12" s="1"/>
  <c r="C204" i="8"/>
  <c r="D203" i="12" s="1"/>
  <c r="AX320" i="12"/>
  <c r="BD334" i="12"/>
  <c r="BQ334" i="12" s="1"/>
  <c r="BD168" i="12"/>
  <c r="BQ168" i="12" s="1"/>
  <c r="BJ21" i="12"/>
  <c r="AI21" i="12" s="1"/>
  <c r="C51" i="8"/>
  <c r="AV196" i="12"/>
  <c r="AG196" i="12" s="1"/>
  <c r="AJ317" i="12"/>
  <c r="AK317" i="12" s="1"/>
  <c r="AM270" i="12"/>
  <c r="AN270" i="12" s="1"/>
  <c r="AO270" i="12" s="1"/>
  <c r="AX164" i="12"/>
  <c r="BH22" i="12"/>
  <c r="AV177" i="12"/>
  <c r="BP177" i="12" s="1"/>
  <c r="AS320" i="12"/>
  <c r="AT320" i="12" s="1"/>
  <c r="AU320" i="12" s="1"/>
  <c r="BB339" i="12"/>
  <c r="AS168" i="12"/>
  <c r="AT168" i="12" s="1"/>
  <c r="AU168" i="12" s="1"/>
  <c r="AP350" i="12"/>
  <c r="AQ350" i="12" s="1"/>
  <c r="AR350" i="12" s="1"/>
  <c r="BB40" i="12"/>
  <c r="AV210" i="12"/>
  <c r="AS191" i="12"/>
  <c r="AT191" i="12" s="1"/>
  <c r="AU191" i="12" s="1"/>
  <c r="BH306" i="12"/>
  <c r="BJ269" i="12"/>
  <c r="BR269" i="12" s="1"/>
  <c r="AV75" i="12"/>
  <c r="BP75" i="12" s="1"/>
  <c r="AP160" i="12"/>
  <c r="AQ160" i="12" s="1"/>
  <c r="AR160" i="12" s="1"/>
  <c r="AX92" i="12"/>
  <c r="I371" i="3"/>
  <c r="C64" i="8"/>
  <c r="AZ317" i="12"/>
  <c r="BF270" i="12"/>
  <c r="BJ177" i="12"/>
  <c r="BR177" i="12" s="1"/>
  <c r="AM350" i="12"/>
  <c r="AN350" i="12" s="1"/>
  <c r="AO350" i="12" s="1"/>
  <c r="BF76" i="12"/>
  <c r="AM177" i="12"/>
  <c r="AN177" i="12" s="1"/>
  <c r="AO177" i="12" s="1"/>
  <c r="BJ66" i="12"/>
  <c r="BR66" i="12" s="1"/>
  <c r="AP126" i="12"/>
  <c r="AQ126" i="12" s="1"/>
  <c r="AR126" i="12" s="1"/>
  <c r="AX356" i="12"/>
  <c r="AP339" i="12"/>
  <c r="AQ339" i="12" s="1"/>
  <c r="AR339" i="12" s="1"/>
  <c r="AJ168" i="12"/>
  <c r="AK168" i="12" s="1"/>
  <c r="AS350" i="12"/>
  <c r="AT350" i="12" s="1"/>
  <c r="AU350" i="12" s="1"/>
  <c r="AJ210" i="12"/>
  <c r="AK210" i="12" s="1"/>
  <c r="BB191" i="12"/>
  <c r="BD159" i="12"/>
  <c r="BQ159" i="12" s="1"/>
  <c r="AS306" i="12"/>
  <c r="AT306" i="12" s="1"/>
  <c r="AU306" i="12" s="1"/>
  <c r="AV269" i="12"/>
  <c r="BN269" i="12" s="1"/>
  <c r="AP75" i="12"/>
  <c r="AQ75" i="12" s="1"/>
  <c r="AR75" i="12" s="1"/>
  <c r="AX21" i="12"/>
  <c r="AJ208" i="12"/>
  <c r="AK208" i="12" s="1"/>
  <c r="BH92" i="12"/>
  <c r="AV286" i="12"/>
  <c r="AG286" i="12" s="1"/>
  <c r="F373" i="3"/>
  <c r="H373" i="3" s="1"/>
  <c r="C90" i="8"/>
  <c r="D91" i="1" s="1"/>
  <c r="C226" i="8"/>
  <c r="D225" i="12" s="1"/>
  <c r="BK225" i="12" s="1"/>
  <c r="C59" i="8"/>
  <c r="D60" i="1" s="1"/>
  <c r="C208" i="8"/>
  <c r="D207" i="12" s="1"/>
  <c r="AX317" i="12"/>
  <c r="BH339" i="12"/>
  <c r="AM76" i="12"/>
  <c r="AN76" i="12" s="1"/>
  <c r="AO76" i="12" s="1"/>
  <c r="BD356" i="12"/>
  <c r="BQ356" i="12" s="1"/>
  <c r="AJ320" i="12"/>
  <c r="AK320" i="12" s="1"/>
  <c r="AJ339" i="12"/>
  <c r="AK339" i="12" s="1"/>
  <c r="AP306" i="12"/>
  <c r="AQ306" i="12" s="1"/>
  <c r="AR306" i="12" s="1"/>
  <c r="AM75" i="12"/>
  <c r="AN75" i="12" s="1"/>
  <c r="AO75" i="12" s="1"/>
  <c r="BH257" i="12"/>
  <c r="BB177" i="12"/>
  <c r="BB168" i="12"/>
  <c r="BB350" i="12"/>
  <c r="BD21" i="12"/>
  <c r="AP92" i="12"/>
  <c r="AQ92" i="12" s="1"/>
  <c r="AR92" i="12" s="1"/>
  <c r="AM22" i="12"/>
  <c r="AN22" i="12" s="1"/>
  <c r="AO22" i="12" s="1"/>
  <c r="AV356" i="12"/>
  <c r="BP356" i="12" s="1"/>
  <c r="AX269" i="12"/>
  <c r="BH75" i="12"/>
  <c r="AZ21" i="12"/>
  <c r="AS92" i="12"/>
  <c r="AT92" i="12" s="1"/>
  <c r="AU92" i="12" s="1"/>
  <c r="C165" i="8"/>
  <c r="D164" i="12" s="1"/>
  <c r="R369" i="3"/>
  <c r="S369" i="3" s="1"/>
  <c r="C166" i="8"/>
  <c r="D167" i="1" s="1"/>
  <c r="J167" i="1" s="1"/>
  <c r="C217" i="8"/>
  <c r="D216" i="12" s="1"/>
  <c r="O216" i="12" s="1"/>
  <c r="P216" i="12" s="1"/>
  <c r="C183" i="8"/>
  <c r="D182" i="12" s="1"/>
  <c r="BA182" i="12" s="1"/>
  <c r="C96" i="8"/>
  <c r="D95" i="12" s="1"/>
  <c r="BC95" i="12" s="1"/>
  <c r="BH317" i="12"/>
  <c r="AP22" i="12"/>
  <c r="AQ22" i="12" s="1"/>
  <c r="AR22" i="12" s="1"/>
  <c r="AS257" i="12"/>
  <c r="AT257" i="12" s="1"/>
  <c r="AU257" i="12" s="1"/>
  <c r="AP177" i="12"/>
  <c r="AQ177" i="12" s="1"/>
  <c r="AR177" i="12" s="1"/>
  <c r="AX66" i="12"/>
  <c r="AZ126" i="12"/>
  <c r="AV339" i="12"/>
  <c r="AG339" i="12" s="1"/>
  <c r="AX350" i="12"/>
  <c r="AZ210" i="12"/>
  <c r="BD191" i="12"/>
  <c r="AH191" i="12" s="1"/>
  <c r="AX306" i="12"/>
  <c r="AZ269" i="12"/>
  <c r="AS75" i="12"/>
  <c r="AT75" i="12" s="1"/>
  <c r="AU75" i="12" s="1"/>
  <c r="AJ21" i="12"/>
  <c r="AK21" i="12" s="1"/>
  <c r="AL21" i="12" s="1"/>
  <c r="BB208" i="12"/>
  <c r="BJ92" i="12"/>
  <c r="AI92" i="12" s="1"/>
  <c r="AV46" i="12"/>
  <c r="BP46" i="12" s="1"/>
  <c r="C65" i="8"/>
  <c r="C163" i="8"/>
  <c r="D164" i="1" s="1"/>
  <c r="G164" i="1" s="1"/>
  <c r="C123" i="8"/>
  <c r="D122" i="12" s="1"/>
  <c r="C177" i="8"/>
  <c r="C76" i="8"/>
  <c r="D75" i="12" s="1"/>
  <c r="C221" i="8"/>
  <c r="AX22" i="12"/>
  <c r="BF350" i="12"/>
  <c r="AJ22" i="12"/>
  <c r="AK22" i="12" s="1"/>
  <c r="AL22" i="12" s="1"/>
  <c r="AV168" i="12"/>
  <c r="BP168" i="12" s="1"/>
  <c r="BB22" i="12"/>
  <c r="C150" i="8"/>
  <c r="BB317" i="12"/>
  <c r="BD22" i="12"/>
  <c r="BQ22" i="12" s="1"/>
  <c r="AM126" i="12"/>
  <c r="AN126" i="12" s="1"/>
  <c r="AO126" i="12" s="1"/>
  <c r="AZ320" i="12"/>
  <c r="BJ339" i="12"/>
  <c r="AI339" i="12" s="1"/>
  <c r="AZ306" i="12"/>
  <c r="BF75" i="12"/>
  <c r="AP257" i="12"/>
  <c r="AQ257" i="12" s="1"/>
  <c r="AR257" i="12" s="1"/>
  <c r="AV66" i="12"/>
  <c r="BP66" i="12" s="1"/>
  <c r="AX210" i="12"/>
  <c r="AX208" i="12"/>
  <c r="C93" i="8"/>
  <c r="D92" i="12" s="1"/>
  <c r="AS317" i="12"/>
  <c r="AT317" i="12" s="1"/>
  <c r="AU317" i="12" s="1"/>
  <c r="AZ270" i="12"/>
  <c r="BJ22" i="12"/>
  <c r="BR22" i="12" s="1"/>
  <c r="AV257" i="12"/>
  <c r="BP257" i="12" s="1"/>
  <c r="BF177" i="12"/>
  <c r="AZ66" i="12"/>
  <c r="BB126" i="12"/>
  <c r="AX339" i="12"/>
  <c r="AJ350" i="12"/>
  <c r="AK350" i="12" s="1"/>
  <c r="AL350" i="12" s="1"/>
  <c r="BB210" i="12"/>
  <c r="AV191" i="12"/>
  <c r="BP191" i="12" s="1"/>
  <c r="AJ306" i="12"/>
  <c r="AK306" i="12" s="1"/>
  <c r="BB269" i="12"/>
  <c r="BJ75" i="12"/>
  <c r="BR75" i="12" s="1"/>
  <c r="BB21" i="12"/>
  <c r="BD208" i="12"/>
  <c r="AH208" i="12" s="1"/>
  <c r="AV160" i="12"/>
  <c r="BP160" i="12" s="1"/>
  <c r="AJ92" i="12"/>
  <c r="AK92" i="12" s="1"/>
  <c r="C188" i="8"/>
  <c r="D189" i="1" s="1"/>
  <c r="C194" i="8"/>
  <c r="D195" i="1" s="1"/>
  <c r="C57" i="8"/>
  <c r="D56" i="12" s="1"/>
  <c r="BI56" i="12" s="1"/>
  <c r="C69" i="8"/>
  <c r="C138" i="8"/>
  <c r="D137" i="12" s="1"/>
  <c r="AL137" i="12" s="1"/>
  <c r="C152" i="8"/>
  <c r="C180" i="8"/>
  <c r="D179" i="12" s="1"/>
  <c r="BE179" i="12" s="1"/>
  <c r="C187" i="8"/>
  <c r="D186" i="12" s="1"/>
  <c r="AZ22" i="12"/>
  <c r="AZ75" i="12"/>
  <c r="BH350" i="12"/>
  <c r="AM306" i="12"/>
  <c r="AN306" i="12" s="1"/>
  <c r="AO306" i="12" s="1"/>
  <c r="BB75" i="12"/>
  <c r="BJ257" i="12"/>
  <c r="BR257" i="12" s="1"/>
  <c r="AX168" i="12"/>
  <c r="BD76" i="12"/>
  <c r="BQ76" i="12" s="1"/>
  <c r="BJ356" i="12"/>
  <c r="AS286" i="12"/>
  <c r="AT286" i="12" s="1"/>
  <c r="AU286" i="12" s="1"/>
  <c r="AM317" i="12"/>
  <c r="AN317" i="12" s="1"/>
  <c r="AO317" i="12" s="1"/>
  <c r="AM257" i="12"/>
  <c r="AN257" i="12" s="1"/>
  <c r="AO257" i="12" s="1"/>
  <c r="BD317" i="12"/>
  <c r="AH317" i="12" s="1"/>
  <c r="BF22" i="12"/>
  <c r="BD177" i="12"/>
  <c r="BQ177" i="12" s="1"/>
  <c r="AS126" i="12"/>
  <c r="AT126" i="12" s="1"/>
  <c r="AU126" i="12" s="1"/>
  <c r="AS339" i="12"/>
  <c r="AT339" i="12" s="1"/>
  <c r="AU339" i="12" s="1"/>
  <c r="AV350" i="12"/>
  <c r="BP350" i="12" s="1"/>
  <c r="AV306" i="12"/>
  <c r="C73" i="8"/>
  <c r="D72" i="12" s="1"/>
  <c r="BI72" i="12" s="1"/>
  <c r="C223" i="8"/>
  <c r="D222" i="12" s="1"/>
  <c r="AW222" i="12" s="1"/>
  <c r="AM208" i="12"/>
  <c r="AN208" i="12" s="1"/>
  <c r="AO208" i="12" s="1"/>
  <c r="H371" i="3"/>
  <c r="BD90" i="12"/>
  <c r="BQ90" i="12" s="1"/>
  <c r="AS304" i="12"/>
  <c r="AT304" i="12" s="1"/>
  <c r="AU304" i="12" s="1"/>
  <c r="BF46" i="12"/>
  <c r="C79" i="8"/>
  <c r="D80" i="1" s="1"/>
  <c r="AP76" i="12"/>
  <c r="AQ76" i="12" s="1"/>
  <c r="AR76" i="12" s="1"/>
  <c r="AZ90" i="12"/>
  <c r="AP334" i="12"/>
  <c r="AQ334" i="12" s="1"/>
  <c r="AR334" i="12" s="1"/>
  <c r="AP40" i="12"/>
  <c r="AQ40" i="12" s="1"/>
  <c r="AR40" i="12" s="1"/>
  <c r="BH159" i="12"/>
  <c r="BF88" i="12"/>
  <c r="AM85" i="12"/>
  <c r="AN85" i="12" s="1"/>
  <c r="AO85" i="12" s="1"/>
  <c r="AM164" i="12"/>
  <c r="AN164" i="12" s="1"/>
  <c r="AO164" i="12" s="1"/>
  <c r="AJ66" i="12"/>
  <c r="AK66" i="12" s="1"/>
  <c r="AZ356" i="12"/>
  <c r="BJ331" i="12"/>
  <c r="AI331" i="12" s="1"/>
  <c r="BH260" i="12"/>
  <c r="AP171" i="12"/>
  <c r="AQ171" i="12" s="1"/>
  <c r="AR171" i="12" s="1"/>
  <c r="AJ90" i="12"/>
  <c r="AK90" i="12" s="1"/>
  <c r="BH80" i="12"/>
  <c r="BF334" i="12"/>
  <c r="BJ120" i="12"/>
  <c r="AI120" i="12" s="1"/>
  <c r="BH40" i="12"/>
  <c r="AV342" i="12"/>
  <c r="BP342" i="12" s="1"/>
  <c r="AS159" i="12"/>
  <c r="AT159" i="12" s="1"/>
  <c r="AU159" i="12" s="1"/>
  <c r="AP37" i="12"/>
  <c r="AQ37" i="12" s="1"/>
  <c r="AR37" i="12" s="1"/>
  <c r="AS201" i="12"/>
  <c r="AT201" i="12" s="1"/>
  <c r="AU201" i="12" s="1"/>
  <c r="AM169" i="12"/>
  <c r="AN169" i="12" s="1"/>
  <c r="AO169" i="12" s="1"/>
  <c r="AZ88" i="12"/>
  <c r="AZ304" i="12"/>
  <c r="BB240" i="12"/>
  <c r="AX286" i="12"/>
  <c r="BB322" i="12"/>
  <c r="AJ46" i="12"/>
  <c r="AK46" i="12" s="1"/>
  <c r="C25" i="2"/>
  <c r="C26" i="2" s="1"/>
  <c r="C86" i="8"/>
  <c r="D87" i="1" s="1"/>
  <c r="C70" i="8"/>
  <c r="AJ120" i="12"/>
  <c r="AK120" i="12" s="1"/>
  <c r="AM120" i="12"/>
  <c r="AN120" i="12" s="1"/>
  <c r="AO120" i="12" s="1"/>
  <c r="C220" i="8"/>
  <c r="D219" i="12" s="1"/>
  <c r="BI219" i="12" s="1"/>
  <c r="AJ356" i="12"/>
  <c r="AK356" i="12" s="1"/>
  <c r="AL356" i="12" s="1"/>
  <c r="AP260" i="12"/>
  <c r="AQ260" i="12" s="1"/>
  <c r="AR260" i="12" s="1"/>
  <c r="AP120" i="12"/>
  <c r="AQ120" i="12" s="1"/>
  <c r="AR120" i="12" s="1"/>
  <c r="BH37" i="12"/>
  <c r="BB112" i="12"/>
  <c r="D19" i="12"/>
  <c r="BM19" i="12" s="1"/>
  <c r="D21" i="1"/>
  <c r="BH76" i="12"/>
  <c r="BJ344" i="12"/>
  <c r="BR344" i="12" s="1"/>
  <c r="BF164" i="12"/>
  <c r="BB66" i="12"/>
  <c r="BB356" i="12"/>
  <c r="BH171" i="12"/>
  <c r="BB90" i="12"/>
  <c r="AS80" i="12"/>
  <c r="AT80" i="12" s="1"/>
  <c r="AU80" i="12" s="1"/>
  <c r="BH334" i="12"/>
  <c r="AX120" i="12"/>
  <c r="BJ40" i="12"/>
  <c r="BR40" i="12" s="1"/>
  <c r="AX342" i="12"/>
  <c r="BB130" i="12"/>
  <c r="BJ159" i="12"/>
  <c r="AS37" i="12"/>
  <c r="AT37" i="12" s="1"/>
  <c r="AU37" i="12" s="1"/>
  <c r="BJ201" i="12"/>
  <c r="AP169" i="12"/>
  <c r="AQ169" i="12" s="1"/>
  <c r="AR169" i="12" s="1"/>
  <c r="AJ88" i="12"/>
  <c r="AK88" i="12" s="1"/>
  <c r="BB304" i="12"/>
  <c r="BD240" i="12"/>
  <c r="AX322" i="12"/>
  <c r="BD46" i="12"/>
  <c r="D5" i="12"/>
  <c r="M5" i="12" s="1"/>
  <c r="N5" i="12" s="1"/>
  <c r="D15" i="12"/>
  <c r="AW15" i="12" s="1"/>
  <c r="C172" i="8"/>
  <c r="D171" i="12" s="1"/>
  <c r="C209" i="8"/>
  <c r="D208" i="12" s="1"/>
  <c r="C137" i="8"/>
  <c r="D136" i="12" s="1"/>
  <c r="BM136" i="12" s="1"/>
  <c r="BF260" i="12"/>
  <c r="BB226" i="12"/>
  <c r="AP159" i="12"/>
  <c r="AQ159" i="12" s="1"/>
  <c r="AR159" i="12" s="1"/>
  <c r="BF169" i="12"/>
  <c r="BJ169" i="12"/>
  <c r="AJ304" i="12"/>
  <c r="AK304" i="12" s="1"/>
  <c r="AZ286" i="12"/>
  <c r="BB46" i="12"/>
  <c r="C128" i="8"/>
  <c r="D127" i="12" s="1"/>
  <c r="AL127" i="12" s="1"/>
  <c r="C87" i="8"/>
  <c r="BD164" i="12"/>
  <c r="BH356" i="12"/>
  <c r="AS171" i="12"/>
  <c r="AT171" i="12" s="1"/>
  <c r="AU171" i="12" s="1"/>
  <c r="BF90" i="12"/>
  <c r="BJ80" i="12"/>
  <c r="BR80" i="12" s="1"/>
  <c r="BJ334" i="12"/>
  <c r="AI334" i="12" s="1"/>
  <c r="AZ120" i="12"/>
  <c r="AM40" i="12"/>
  <c r="AN40" i="12" s="1"/>
  <c r="AO40" i="12" s="1"/>
  <c r="BB342" i="12"/>
  <c r="AM130" i="12"/>
  <c r="AN130" i="12" s="1"/>
  <c r="AO130" i="12" s="1"/>
  <c r="BJ37" i="12"/>
  <c r="BR37" i="12" s="1"/>
  <c r="AS169" i="12"/>
  <c r="AT169" i="12" s="1"/>
  <c r="AU169" i="12" s="1"/>
  <c r="BB88" i="12"/>
  <c r="BD304" i="12"/>
  <c r="BF240" i="12"/>
  <c r="AZ322" i="12"/>
  <c r="BH46" i="12"/>
  <c r="AJ53" i="12"/>
  <c r="AK53" i="12" s="1"/>
  <c r="W10" i="2"/>
  <c r="J18" i="2" s="1"/>
  <c r="C212" i="8"/>
  <c r="D211" i="12" s="1"/>
  <c r="C211" i="8"/>
  <c r="C179" i="8"/>
  <c r="C63" i="8"/>
  <c r="D62" i="12" s="1"/>
  <c r="BK62" i="12" s="1"/>
  <c r="BH169" i="12"/>
  <c r="AM226" i="12"/>
  <c r="AN226" i="12" s="1"/>
  <c r="AO226" i="12" s="1"/>
  <c r="BD112" i="12"/>
  <c r="AS46" i="12"/>
  <c r="AT46" i="12" s="1"/>
  <c r="AU46" i="12" s="1"/>
  <c r="BJ76" i="12"/>
  <c r="AI76" i="12" s="1"/>
  <c r="BJ90" i="12"/>
  <c r="AI90" i="12" s="1"/>
  <c r="AS40" i="12"/>
  <c r="AT40" i="12" s="1"/>
  <c r="AU40" i="12" s="1"/>
  <c r="AM342" i="12"/>
  <c r="AN342" i="12" s="1"/>
  <c r="AO342" i="12" s="1"/>
  <c r="AZ130" i="12"/>
  <c r="AZ226" i="12"/>
  <c r="AX159" i="12"/>
  <c r="BD37" i="12"/>
  <c r="AH37" i="12" s="1"/>
  <c r="BF201" i="12"/>
  <c r="AZ169" i="12"/>
  <c r="AV88" i="12"/>
  <c r="BJ304" i="12"/>
  <c r="BR304" i="12" s="1"/>
  <c r="AV240" i="12"/>
  <c r="BN240" i="12" s="1"/>
  <c r="BD85" i="12"/>
  <c r="BQ85" i="12" s="1"/>
  <c r="BF112" i="12"/>
  <c r="BH286" i="12"/>
  <c r="AS322" i="12"/>
  <c r="AT322" i="12" s="1"/>
  <c r="AU322" i="12" s="1"/>
  <c r="C75" i="8"/>
  <c r="D76" i="1" s="1"/>
  <c r="AX90" i="12"/>
  <c r="BD169" i="12"/>
  <c r="BQ169" i="12" s="1"/>
  <c r="BH90" i="12"/>
  <c r="AP85" i="12"/>
  <c r="AQ85" i="12" s="1"/>
  <c r="AR85" i="12" s="1"/>
  <c r="BJ46" i="12"/>
  <c r="AI46" i="12" s="1"/>
  <c r="AS88" i="12"/>
  <c r="AT88" i="12" s="1"/>
  <c r="AU88" i="12" s="1"/>
  <c r="AP331" i="12"/>
  <c r="AQ331" i="12" s="1"/>
  <c r="AR331" i="12" s="1"/>
  <c r="AV260" i="12"/>
  <c r="BP260" i="12" s="1"/>
  <c r="AV159" i="12"/>
  <c r="AG159" i="12" s="1"/>
  <c r="AZ85" i="12"/>
  <c r="AM286" i="12"/>
  <c r="AN286" i="12" s="1"/>
  <c r="AO286" i="12" s="1"/>
  <c r="AP66" i="12"/>
  <c r="AQ66" i="12" s="1"/>
  <c r="AR66" i="12" s="1"/>
  <c r="AX260" i="12"/>
  <c r="AS76" i="12"/>
  <c r="AT76" i="12" s="1"/>
  <c r="AU76" i="12" s="1"/>
  <c r="BD66" i="12"/>
  <c r="BF356" i="12"/>
  <c r="BJ260" i="12"/>
  <c r="BR260" i="12" s="1"/>
  <c r="AM80" i="12"/>
  <c r="AN80" i="12" s="1"/>
  <c r="AO80" i="12" s="1"/>
  <c r="AS334" i="12"/>
  <c r="AT334" i="12" s="1"/>
  <c r="AU334" i="12" s="1"/>
  <c r="AV40" i="12"/>
  <c r="AG40" i="12" s="1"/>
  <c r="AP342" i="12"/>
  <c r="AQ342" i="12" s="1"/>
  <c r="AR342" i="12" s="1"/>
  <c r="BF130" i="12"/>
  <c r="BD226" i="12"/>
  <c r="AZ159" i="12"/>
  <c r="AV37" i="12"/>
  <c r="BP37" i="12" s="1"/>
  <c r="AP201" i="12"/>
  <c r="AQ201" i="12" s="1"/>
  <c r="AR201" i="12" s="1"/>
  <c r="AJ169" i="12"/>
  <c r="AK169" i="12" s="1"/>
  <c r="BD88" i="12"/>
  <c r="AV304" i="12"/>
  <c r="AJ240" i="12"/>
  <c r="AK240" i="12" s="1"/>
  <c r="AL240" i="12" s="1"/>
  <c r="BH85" i="12"/>
  <c r="BJ112" i="12"/>
  <c r="BR112" i="12" s="1"/>
  <c r="BB286" i="12"/>
  <c r="AV322" i="12"/>
  <c r="BN322" i="12" s="1"/>
  <c r="AZ46" i="12"/>
  <c r="BB260" i="12"/>
  <c r="AS90" i="12"/>
  <c r="AT90" i="12" s="1"/>
  <c r="AU90" i="12" s="1"/>
  <c r="BB37" i="12"/>
  <c r="BH304" i="12"/>
  <c r="BJ88" i="12"/>
  <c r="AI88" i="12" s="1"/>
  <c r="AP304" i="12"/>
  <c r="AQ304" i="12" s="1"/>
  <c r="AR304" i="12" s="1"/>
  <c r="BJ240" i="12"/>
  <c r="BR240" i="12" s="1"/>
  <c r="AS164" i="12"/>
  <c r="AT164" i="12" s="1"/>
  <c r="AU164" i="12" s="1"/>
  <c r="AJ76" i="12"/>
  <c r="AK76" i="12" s="1"/>
  <c r="AJ193" i="12"/>
  <c r="AK193" i="12" s="1"/>
  <c r="BF344" i="12"/>
  <c r="AV331" i="12"/>
  <c r="AG331" i="12" s="1"/>
  <c r="AJ80" i="12"/>
  <c r="AK80" i="12" s="1"/>
  <c r="BH164" i="12"/>
  <c r="AX76" i="12"/>
  <c r="AM193" i="12"/>
  <c r="AN193" i="12" s="1"/>
  <c r="AO193" i="12" s="1"/>
  <c r="BF66" i="12"/>
  <c r="AJ344" i="12"/>
  <c r="AK344" i="12" s="1"/>
  <c r="AP356" i="12"/>
  <c r="AQ356" i="12" s="1"/>
  <c r="AR356" i="12" s="1"/>
  <c r="AZ331" i="12"/>
  <c r="AS260" i="12"/>
  <c r="AT260" i="12" s="1"/>
  <c r="AU260" i="12" s="1"/>
  <c r="AV80" i="12"/>
  <c r="AZ334" i="12"/>
  <c r="AS120" i="12"/>
  <c r="AT120" i="12" s="1"/>
  <c r="AU120" i="12" s="1"/>
  <c r="AZ40" i="12"/>
  <c r="BH342" i="12"/>
  <c r="BH130" i="12"/>
  <c r="AP226" i="12"/>
  <c r="AQ226" i="12" s="1"/>
  <c r="AR226" i="12" s="1"/>
  <c r="AJ159" i="12"/>
  <c r="AK159" i="12" s="1"/>
  <c r="BD201" i="12"/>
  <c r="BB169" i="12"/>
  <c r="AX304" i="12"/>
  <c r="AJ85" i="12"/>
  <c r="AK85" i="12" s="1"/>
  <c r="BH112" i="12"/>
  <c r="BD286" i="12"/>
  <c r="BQ286" i="12" s="1"/>
  <c r="AP322" i="12"/>
  <c r="AQ322" i="12" s="1"/>
  <c r="AR322" i="12" s="1"/>
  <c r="AS53" i="12"/>
  <c r="AT53" i="12" s="1"/>
  <c r="AU53" i="12" s="1"/>
  <c r="W11" i="2"/>
  <c r="J19" i="2" s="1"/>
  <c r="K19" i="2" s="1"/>
  <c r="E19" i="2" s="1"/>
  <c r="I19" i="2" s="1"/>
  <c r="H14" i="2"/>
  <c r="C167" i="8"/>
  <c r="D168" i="1" s="1"/>
  <c r="C178" i="8"/>
  <c r="D177" i="12" s="1"/>
  <c r="AP90" i="12"/>
  <c r="AQ90" i="12" s="1"/>
  <c r="AR90" i="12" s="1"/>
  <c r="AM304" i="12"/>
  <c r="AN304" i="12" s="1"/>
  <c r="AO304" i="12" s="1"/>
  <c r="AP46" i="12"/>
  <c r="AQ46" i="12" s="1"/>
  <c r="AR46" i="12" s="1"/>
  <c r="AV120" i="12"/>
  <c r="BP120" i="12" s="1"/>
  <c r="AJ226" i="12"/>
  <c r="AK226" i="12" s="1"/>
  <c r="AL226" i="12" s="1"/>
  <c r="AJ37" i="12"/>
  <c r="AK37" i="12" s="1"/>
  <c r="AL37" i="12" s="1"/>
  <c r="AV169" i="12"/>
  <c r="BB85" i="12"/>
  <c r="AZ193" i="12"/>
  <c r="BB344" i="12"/>
  <c r="AX226" i="12"/>
  <c r="AM201" i="12"/>
  <c r="AN201" i="12" s="1"/>
  <c r="AO201" i="12" s="1"/>
  <c r="AP112" i="12"/>
  <c r="AQ112" i="12" s="1"/>
  <c r="AR112" i="12" s="1"/>
  <c r="AX46" i="12"/>
  <c r="BB334" i="12"/>
  <c r="AP164" i="12"/>
  <c r="AQ164" i="12" s="1"/>
  <c r="AR164" i="12" s="1"/>
  <c r="BD193" i="12"/>
  <c r="AH193" i="12" s="1"/>
  <c r="BD344" i="12"/>
  <c r="AX331" i="12"/>
  <c r="BJ164" i="12"/>
  <c r="AZ76" i="12"/>
  <c r="BF193" i="12"/>
  <c r="BH66" i="12"/>
  <c r="AP344" i="12"/>
  <c r="AQ344" i="12" s="1"/>
  <c r="AR344" i="12" s="1"/>
  <c r="AS356" i="12"/>
  <c r="AT356" i="12" s="1"/>
  <c r="AU356" i="12" s="1"/>
  <c r="BB331" i="12"/>
  <c r="AZ260" i="12"/>
  <c r="BB171" i="12"/>
  <c r="AX80" i="12"/>
  <c r="AJ334" i="12"/>
  <c r="AK334" i="12" s="1"/>
  <c r="BD120" i="12"/>
  <c r="AX40" i="12"/>
  <c r="BJ342" i="12"/>
  <c r="AS130" i="12"/>
  <c r="AT130" i="12" s="1"/>
  <c r="AU130" i="12" s="1"/>
  <c r="BH226" i="12"/>
  <c r="BB159" i="12"/>
  <c r="BH201" i="12"/>
  <c r="BF85" i="12"/>
  <c r="AS112" i="12"/>
  <c r="AT112" i="12" s="1"/>
  <c r="AU112" i="12" s="1"/>
  <c r="BF286" i="12"/>
  <c r="BF322" i="12"/>
  <c r="BJ53" i="12"/>
  <c r="AI53" i="12" s="1"/>
  <c r="D43" i="12"/>
  <c r="H43" i="12" s="1"/>
  <c r="C140" i="8"/>
  <c r="D139" i="12" s="1"/>
  <c r="C169" i="8"/>
  <c r="D168" i="12" s="1"/>
  <c r="BB120" i="12"/>
  <c r="BF226" i="12"/>
  <c r="AM112" i="12"/>
  <c r="AN112" i="12" s="1"/>
  <c r="AO112" i="12" s="1"/>
  <c r="C91" i="8"/>
  <c r="AP286" i="12"/>
  <c r="AQ286" i="12" s="1"/>
  <c r="AR286" i="12" s="1"/>
  <c r="AM66" i="12"/>
  <c r="AN66" i="12" s="1"/>
  <c r="AO66" i="12" s="1"/>
  <c r="BB76" i="12"/>
  <c r="C186" i="8"/>
  <c r="D185" i="12" s="1"/>
  <c r="BA185" i="12" s="1"/>
  <c r="C88" i="8"/>
  <c r="D87" i="12" s="1"/>
  <c r="AW87" i="12" s="1"/>
  <c r="C174" i="8"/>
  <c r="D173" i="12" s="1"/>
  <c r="D194" i="12"/>
  <c r="BA194" i="12" s="1"/>
  <c r="D196" i="1"/>
  <c r="J196" i="1" s="1"/>
  <c r="BJ178" i="12"/>
  <c r="BH178" i="12"/>
  <c r="BF178" i="12"/>
  <c r="AV178" i="12"/>
  <c r="BP178" i="12" s="1"/>
  <c r="AS178" i="12"/>
  <c r="AT178" i="12" s="1"/>
  <c r="AU178" i="12" s="1"/>
  <c r="BD178" i="12"/>
  <c r="AH178" i="12" s="1"/>
  <c r="AM178" i="12"/>
  <c r="AN178" i="12" s="1"/>
  <c r="AO178" i="12" s="1"/>
  <c r="BB178" i="12"/>
  <c r="AZ178" i="12"/>
  <c r="AJ178" i="12"/>
  <c r="AK178" i="12" s="1"/>
  <c r="AP178" i="12"/>
  <c r="AQ178" i="12" s="1"/>
  <c r="AR178" i="12" s="1"/>
  <c r="BG197" i="12"/>
  <c r="AX178" i="12"/>
  <c r="D6" i="12"/>
  <c r="BI6" i="12" s="1"/>
  <c r="D8" i="1"/>
  <c r="D27" i="12"/>
  <c r="BM27" i="12" s="1"/>
  <c r="D29" i="1"/>
  <c r="J29" i="1" s="1"/>
  <c r="BC353" i="12"/>
  <c r="AM196" i="12"/>
  <c r="AN196" i="12" s="1"/>
  <c r="AO196" i="12" s="1"/>
  <c r="BB196" i="12"/>
  <c r="BD196" i="12"/>
  <c r="BQ196" i="12" s="1"/>
  <c r="BH196" i="12"/>
  <c r="BF196" i="12"/>
  <c r="AY353" i="12"/>
  <c r="C84" i="8"/>
  <c r="C182" i="8"/>
  <c r="C89" i="8"/>
  <c r="D90" i="1" s="1"/>
  <c r="D9" i="1"/>
  <c r="D7" i="12"/>
  <c r="U7" i="12" s="1"/>
  <c r="V7" i="12" s="1"/>
  <c r="AY197" i="12"/>
  <c r="BI197" i="12"/>
  <c r="D356" i="12"/>
  <c r="D358" i="1"/>
  <c r="BI353" i="12"/>
  <c r="BA197" i="12"/>
  <c r="D199" i="1"/>
  <c r="C201" i="8"/>
  <c r="AL197" i="12"/>
  <c r="D26" i="12"/>
  <c r="D28" i="1"/>
  <c r="D107" i="12"/>
  <c r="AW107" i="12" s="1"/>
  <c r="D109" i="1"/>
  <c r="D16" i="12"/>
  <c r="BG16" i="12" s="1"/>
  <c r="D18" i="1"/>
  <c r="BC197" i="12"/>
  <c r="D11" i="12"/>
  <c r="AW11" i="12" s="1"/>
  <c r="D13" i="1"/>
  <c r="C185" i="8"/>
  <c r="BG353" i="12"/>
  <c r="D97" i="12"/>
  <c r="BK97" i="12" s="1"/>
  <c r="D99" i="1"/>
  <c r="D103" i="12"/>
  <c r="D105" i="1"/>
  <c r="C56" i="8"/>
  <c r="D35" i="12"/>
  <c r="BM35" i="12" s="1"/>
  <c r="D37" i="1"/>
  <c r="D44" i="12"/>
  <c r="D46" i="1"/>
  <c r="D39" i="12"/>
  <c r="AY39" i="12" s="1"/>
  <c r="D41" i="1"/>
  <c r="BA353" i="12"/>
  <c r="D33" i="12"/>
  <c r="BI33" i="12" s="1"/>
  <c r="D35" i="1"/>
  <c r="BN2" i="12"/>
  <c r="AG2" i="12"/>
  <c r="BP2" i="12"/>
  <c r="BP59" i="12"/>
  <c r="AG59" i="12"/>
  <c r="BN59" i="12"/>
  <c r="BP82" i="12"/>
  <c r="AG82" i="12"/>
  <c r="BN82" i="12"/>
  <c r="BR4" i="12"/>
  <c r="AI4" i="12"/>
  <c r="D351" i="12"/>
  <c r="BK351" i="12" s="1"/>
  <c r="D353" i="1"/>
  <c r="AH293" i="12"/>
  <c r="BQ293" i="12"/>
  <c r="D32" i="12"/>
  <c r="D34" i="1"/>
  <c r="AI182" i="12"/>
  <c r="BR182" i="12"/>
  <c r="BP29" i="12"/>
  <c r="BN29" i="12"/>
  <c r="AG29" i="12"/>
  <c r="BQ60" i="12"/>
  <c r="AH60" i="12"/>
  <c r="AH253" i="12"/>
  <c r="BQ253" i="12"/>
  <c r="AH137" i="12"/>
  <c r="BQ137" i="12"/>
  <c r="BP182" i="12"/>
  <c r="BN182" i="12"/>
  <c r="AG182" i="12"/>
  <c r="BP136" i="12"/>
  <c r="AG136" i="12"/>
  <c r="BN136" i="12"/>
  <c r="BP94" i="12"/>
  <c r="AG94" i="12"/>
  <c r="BN94" i="12"/>
  <c r="BQ10" i="12"/>
  <c r="AH10" i="12"/>
  <c r="AG252" i="12"/>
  <c r="BP252" i="12"/>
  <c r="BN252" i="12"/>
  <c r="BR290" i="12"/>
  <c r="AI290" i="12"/>
  <c r="BQ67" i="12"/>
  <c r="AH67" i="12"/>
  <c r="D355" i="12"/>
  <c r="BC355" i="12" s="1"/>
  <c r="D357" i="1"/>
  <c r="AG348" i="12"/>
  <c r="BP348" i="12"/>
  <c r="BN348" i="12"/>
  <c r="BR78" i="12"/>
  <c r="AI78" i="12"/>
  <c r="AI262" i="12"/>
  <c r="BR262" i="12"/>
  <c r="AI233" i="12"/>
  <c r="BR233" i="12"/>
  <c r="BP84" i="12"/>
  <c r="AG84" i="12"/>
  <c r="BN84" i="12"/>
  <c r="BQ64" i="12"/>
  <c r="AH64" i="12"/>
  <c r="BP188" i="12"/>
  <c r="BN188" i="12"/>
  <c r="AG188" i="12"/>
  <c r="D30" i="12"/>
  <c r="BC30" i="12" s="1"/>
  <c r="D32" i="1"/>
  <c r="BR315" i="12"/>
  <c r="AI315" i="12"/>
  <c r="AI70" i="12"/>
  <c r="BR70" i="12"/>
  <c r="BR255" i="12"/>
  <c r="AI255" i="12"/>
  <c r="BQ181" i="12"/>
  <c r="AH181" i="12"/>
  <c r="BR242" i="12"/>
  <c r="AI242" i="12"/>
  <c r="BP143" i="12"/>
  <c r="AG143" i="12"/>
  <c r="BN143" i="12"/>
  <c r="BQ91" i="12"/>
  <c r="AH91" i="12"/>
  <c r="D45" i="12"/>
  <c r="BK45" i="12" s="1"/>
  <c r="D47" i="1"/>
  <c r="BP326" i="12"/>
  <c r="AG326" i="12"/>
  <c r="BN326" i="12"/>
  <c r="AI293" i="12"/>
  <c r="BR293" i="12"/>
  <c r="BN279" i="12"/>
  <c r="AG279" i="12"/>
  <c r="BP279" i="12"/>
  <c r="BQ220" i="12"/>
  <c r="AH220" i="12"/>
  <c r="BQ140" i="12"/>
  <c r="AH140" i="12"/>
  <c r="BQ81" i="12"/>
  <c r="AH81" i="12"/>
  <c r="BR253" i="12"/>
  <c r="AI253" i="12"/>
  <c r="BQ237" i="12"/>
  <c r="AH237" i="12"/>
  <c r="BQ217" i="12"/>
  <c r="AH217" i="12"/>
  <c r="AI34" i="12"/>
  <c r="BR34" i="12"/>
  <c r="AG316" i="12"/>
  <c r="BP316" i="12"/>
  <c r="BN316" i="12"/>
  <c r="BR198" i="12"/>
  <c r="AI198" i="12"/>
  <c r="BR95" i="12"/>
  <c r="AI95" i="12"/>
  <c r="AI41" i="12"/>
  <c r="BR41" i="12"/>
  <c r="AI179" i="12"/>
  <c r="BR179" i="12"/>
  <c r="BP48" i="12"/>
  <c r="AG48" i="12"/>
  <c r="BN48" i="12"/>
  <c r="BR11" i="12"/>
  <c r="AI11" i="12"/>
  <c r="AI72" i="12"/>
  <c r="BR72" i="12"/>
  <c r="D28" i="12"/>
  <c r="AW28" i="12" s="1"/>
  <c r="D30" i="1"/>
  <c r="AT2" i="12"/>
  <c r="BR84" i="12"/>
  <c r="AI84" i="12"/>
  <c r="BQ172" i="12"/>
  <c r="AH172" i="12"/>
  <c r="BR166" i="12"/>
  <c r="AI166" i="12"/>
  <c r="AH225" i="12"/>
  <c r="BQ225" i="12"/>
  <c r="AH74" i="12"/>
  <c r="BQ74" i="12"/>
  <c r="AI128" i="12"/>
  <c r="BR128" i="12"/>
  <c r="AH61" i="12"/>
  <c r="BQ61" i="12"/>
  <c r="BQ292" i="12"/>
  <c r="AH292" i="12"/>
  <c r="BR155" i="12"/>
  <c r="AI155" i="12"/>
  <c r="BP284" i="12"/>
  <c r="BN284" i="12"/>
  <c r="AG284" i="12"/>
  <c r="AH323" i="12"/>
  <c r="BQ323" i="12"/>
  <c r="BP155" i="12"/>
  <c r="AG155" i="12"/>
  <c r="BN155" i="12"/>
  <c r="BP281" i="12"/>
  <c r="BN281" i="12"/>
  <c r="AG281" i="12"/>
  <c r="AH113" i="12"/>
  <c r="BQ113" i="12"/>
  <c r="BN70" i="12"/>
  <c r="AG70" i="12"/>
  <c r="BP70" i="12"/>
  <c r="AI323" i="12"/>
  <c r="BR323" i="12"/>
  <c r="AI276" i="12"/>
  <c r="BR276" i="12"/>
  <c r="BN247" i="12"/>
  <c r="AG247" i="12"/>
  <c r="BP247" i="12"/>
  <c r="AH197" i="12"/>
  <c r="BE197" i="12"/>
  <c r="BQ197" i="12"/>
  <c r="AH77" i="12"/>
  <c r="BQ77" i="12"/>
  <c r="D21" i="12"/>
  <c r="D23" i="1"/>
  <c r="BQ194" i="12"/>
  <c r="AH194" i="12"/>
  <c r="BR74" i="12"/>
  <c r="AI74" i="12"/>
  <c r="BP10" i="12"/>
  <c r="AG10" i="12"/>
  <c r="BN10" i="12"/>
  <c r="BP124" i="12"/>
  <c r="AG124" i="12"/>
  <c r="BN124" i="12"/>
  <c r="AI44" i="12"/>
  <c r="BR44" i="12"/>
  <c r="BQ7" i="12"/>
  <c r="AH7" i="12"/>
  <c r="AI321" i="12"/>
  <c r="BR321" i="12"/>
  <c r="AH288" i="12"/>
  <c r="BQ288" i="12"/>
  <c r="BQ134" i="12"/>
  <c r="AH134" i="12"/>
  <c r="BP78" i="12"/>
  <c r="BN78" i="12"/>
  <c r="AG78" i="12"/>
  <c r="AH277" i="12"/>
  <c r="BQ277" i="12"/>
  <c r="BP179" i="12"/>
  <c r="BN179" i="12"/>
  <c r="AG179" i="12"/>
  <c r="D158" i="12"/>
  <c r="D160" i="1"/>
  <c r="BQ131" i="12"/>
  <c r="AH131" i="12"/>
  <c r="BQ75" i="12"/>
  <c r="AH75" i="12"/>
  <c r="BQ52" i="12"/>
  <c r="AH52" i="12"/>
  <c r="BQ6" i="12"/>
  <c r="AH6" i="12"/>
  <c r="BN72" i="12"/>
  <c r="AG72" i="12"/>
  <c r="BP72" i="12"/>
  <c r="BR24" i="12"/>
  <c r="AI24" i="12"/>
  <c r="BP8" i="12"/>
  <c r="AG8" i="12"/>
  <c r="BN8" i="12"/>
  <c r="D13" i="12"/>
  <c r="BE13" i="12" s="1"/>
  <c r="D15" i="1"/>
  <c r="G357" i="12"/>
  <c r="F12" i="7" s="1"/>
  <c r="BP76" i="12"/>
  <c r="AG76" i="12"/>
  <c r="BN83" i="12"/>
  <c r="AG83" i="12"/>
  <c r="BP83" i="12"/>
  <c r="BQ216" i="12"/>
  <c r="AH216" i="12"/>
  <c r="BP323" i="12"/>
  <c r="BN323" i="12"/>
  <c r="AG323" i="12"/>
  <c r="AH308" i="12"/>
  <c r="BQ308" i="12"/>
  <c r="BN250" i="12"/>
  <c r="AG250" i="12"/>
  <c r="BP250" i="12"/>
  <c r="AI345" i="12"/>
  <c r="BR345" i="12"/>
  <c r="BP253" i="12"/>
  <c r="BN253" i="12"/>
  <c r="AG253" i="12"/>
  <c r="AG134" i="12"/>
  <c r="BP134" i="12"/>
  <c r="BN134" i="12"/>
  <c r="BQ324" i="12"/>
  <c r="AH324" i="12"/>
  <c r="AH38" i="12"/>
  <c r="BQ38" i="12"/>
  <c r="BN6" i="12"/>
  <c r="AG6" i="12"/>
  <c r="BP6" i="12"/>
  <c r="AH262" i="12"/>
  <c r="BQ262" i="12"/>
  <c r="AI236" i="12"/>
  <c r="BR236" i="12"/>
  <c r="BQ313" i="12"/>
  <c r="AH313" i="12"/>
  <c r="D202" i="12"/>
  <c r="D204" i="1"/>
  <c r="AG329" i="12"/>
  <c r="BP329" i="12"/>
  <c r="BN329" i="12"/>
  <c r="BP71" i="12"/>
  <c r="AG71" i="12"/>
  <c r="BN71" i="12"/>
  <c r="AI55" i="12"/>
  <c r="BR55" i="12"/>
  <c r="BP145" i="12"/>
  <c r="BN145" i="12"/>
  <c r="AG145" i="12"/>
  <c r="BR187" i="12"/>
  <c r="AI187" i="12"/>
  <c r="D105" i="12"/>
  <c r="BC105" i="12" s="1"/>
  <c r="D107" i="1"/>
  <c r="BR308" i="12"/>
  <c r="AI308" i="12"/>
  <c r="BN146" i="12"/>
  <c r="AG146" i="12"/>
  <c r="BP146" i="12"/>
  <c r="BQ143" i="12"/>
  <c r="AH143" i="12"/>
  <c r="BR248" i="12"/>
  <c r="AI248" i="12"/>
  <c r="BQ163" i="12"/>
  <c r="AH163" i="12"/>
  <c r="AH190" i="12"/>
  <c r="BQ190" i="12"/>
  <c r="AI114" i="12"/>
  <c r="BR114" i="12"/>
  <c r="BR108" i="12"/>
  <c r="AI108" i="12"/>
  <c r="BQ261" i="12"/>
  <c r="AH261" i="12"/>
  <c r="BP153" i="12"/>
  <c r="AG153" i="12"/>
  <c r="BN153" i="12"/>
  <c r="D42" i="12"/>
  <c r="BK42" i="12" s="1"/>
  <c r="D44" i="1"/>
  <c r="AI343" i="12"/>
  <c r="BR343" i="12"/>
  <c r="AI333" i="12"/>
  <c r="BR333" i="12"/>
  <c r="BP164" i="12"/>
  <c r="AG164" i="12"/>
  <c r="BP184" i="12"/>
  <c r="BN184" i="12"/>
  <c r="AG184" i="12"/>
  <c r="BR57" i="12"/>
  <c r="AI57" i="12"/>
  <c r="BR143" i="12"/>
  <c r="AI143" i="12"/>
  <c r="BR10" i="12"/>
  <c r="AI10" i="12"/>
  <c r="AH279" i="12"/>
  <c r="BQ279" i="12"/>
  <c r="BP131" i="12"/>
  <c r="AG131" i="12"/>
  <c r="BN131" i="12"/>
  <c r="AH312" i="12"/>
  <c r="BQ312" i="12"/>
  <c r="BQ93" i="12"/>
  <c r="AH93" i="12"/>
  <c r="BQ353" i="12"/>
  <c r="AH353" i="12"/>
  <c r="BE353" i="12"/>
  <c r="BR287" i="12"/>
  <c r="AI287" i="12"/>
  <c r="D41" i="12"/>
  <c r="BG41" i="12" s="1"/>
  <c r="D43" i="1"/>
  <c r="BN303" i="12"/>
  <c r="AG303" i="12"/>
  <c r="BP303" i="12"/>
  <c r="BR247" i="12"/>
  <c r="AI247" i="12"/>
  <c r="BP114" i="12"/>
  <c r="BN114" i="12"/>
  <c r="AG114" i="12"/>
  <c r="BQ12" i="12"/>
  <c r="AH12" i="12"/>
  <c r="BN225" i="12"/>
  <c r="AG225" i="12"/>
  <c r="BP225" i="12"/>
  <c r="AH56" i="12"/>
  <c r="BQ56" i="12"/>
  <c r="AH126" i="12"/>
  <c r="BQ126" i="12"/>
  <c r="BR110" i="12"/>
  <c r="AI110" i="12"/>
  <c r="AH219" i="12"/>
  <c r="BQ219" i="12"/>
  <c r="BQ123" i="12"/>
  <c r="AH123" i="12"/>
  <c r="BP103" i="12"/>
  <c r="BN103" i="12"/>
  <c r="AG103" i="12"/>
  <c r="BN325" i="12"/>
  <c r="AG325" i="12"/>
  <c r="BP325" i="12"/>
  <c r="AH241" i="12"/>
  <c r="BQ241" i="12"/>
  <c r="BQ19" i="12"/>
  <c r="AH19" i="12"/>
  <c r="D354" i="12"/>
  <c r="BE354" i="12" s="1"/>
  <c r="D356" i="1"/>
  <c r="BN278" i="12"/>
  <c r="AG278" i="12"/>
  <c r="BP278" i="12"/>
  <c r="AI265" i="12"/>
  <c r="BR265" i="12"/>
  <c r="AI222" i="12"/>
  <c r="BR222" i="12"/>
  <c r="BQ206" i="12"/>
  <c r="AH206" i="12"/>
  <c r="BP110" i="12"/>
  <c r="BN110" i="12"/>
  <c r="AG110" i="12"/>
  <c r="AG73" i="12"/>
  <c r="BP73" i="12"/>
  <c r="BN73" i="12"/>
  <c r="AI328" i="12"/>
  <c r="BR328" i="12"/>
  <c r="BR300" i="12"/>
  <c r="AI300" i="12"/>
  <c r="AG287" i="12"/>
  <c r="BP287" i="12"/>
  <c r="BN287" i="12"/>
  <c r="BR216" i="12"/>
  <c r="AI216" i="12"/>
  <c r="BP33" i="12"/>
  <c r="AG33" i="12"/>
  <c r="BN33" i="12"/>
  <c r="AI149" i="12"/>
  <c r="BR149" i="12"/>
  <c r="BR298" i="12"/>
  <c r="AI298" i="12"/>
  <c r="BP175" i="12"/>
  <c r="BN175" i="12"/>
  <c r="AG175" i="12"/>
  <c r="BP293" i="12"/>
  <c r="AG293" i="12"/>
  <c r="BN293" i="12"/>
  <c r="BQ124" i="12"/>
  <c r="AH124" i="12"/>
  <c r="AG321" i="12"/>
  <c r="BP321" i="12"/>
  <c r="BN321" i="12"/>
  <c r="AI261" i="12"/>
  <c r="BR261" i="12"/>
  <c r="BR237" i="12"/>
  <c r="AI237" i="12"/>
  <c r="BQ51" i="12"/>
  <c r="AH51" i="12"/>
  <c r="AI348" i="12"/>
  <c r="BR348" i="12"/>
  <c r="BP311" i="12"/>
  <c r="AG311" i="12"/>
  <c r="BN311" i="12"/>
  <c r="BQ214" i="12"/>
  <c r="AH214" i="12"/>
  <c r="BP68" i="12"/>
  <c r="AG68" i="12"/>
  <c r="BN68" i="12"/>
  <c r="BQ45" i="12"/>
  <c r="AH45" i="12"/>
  <c r="BR32" i="12"/>
  <c r="AI32" i="12"/>
  <c r="BQ289" i="12"/>
  <c r="AH289" i="12"/>
  <c r="BR36" i="12"/>
  <c r="AI36" i="12"/>
  <c r="AH302" i="12"/>
  <c r="BQ302" i="12"/>
  <c r="BR69" i="12"/>
  <c r="AI69" i="12"/>
  <c r="AH14" i="12"/>
  <c r="BQ14" i="12"/>
  <c r="BP249" i="12"/>
  <c r="AG249" i="12"/>
  <c r="BN249" i="12"/>
  <c r="BP93" i="12"/>
  <c r="AG93" i="12"/>
  <c r="BN93" i="12"/>
  <c r="AI73" i="12"/>
  <c r="BR73" i="12"/>
  <c r="AI258" i="12"/>
  <c r="BR258" i="12"/>
  <c r="BQ166" i="12"/>
  <c r="AH166" i="12"/>
  <c r="AH278" i="12"/>
  <c r="BQ278" i="12"/>
  <c r="BR239" i="12"/>
  <c r="AI239" i="12"/>
  <c r="AH198" i="12"/>
  <c r="BQ198" i="12"/>
  <c r="BQ343" i="12"/>
  <c r="AH343" i="12"/>
  <c r="BN336" i="12"/>
  <c r="AG336" i="12"/>
  <c r="BP336" i="12"/>
  <c r="BP206" i="12"/>
  <c r="BN206" i="12"/>
  <c r="AG206" i="12"/>
  <c r="BR67" i="12"/>
  <c r="AI67" i="12"/>
  <c r="BR271" i="12"/>
  <c r="AI271" i="12"/>
  <c r="BP81" i="12"/>
  <c r="BN81" i="12"/>
  <c r="AG81" i="12"/>
  <c r="BR153" i="12"/>
  <c r="AI153" i="12"/>
  <c r="BN55" i="12"/>
  <c r="BP55" i="12"/>
  <c r="AG55" i="12"/>
  <c r="AG180" i="12"/>
  <c r="BP180" i="12"/>
  <c r="BN180" i="12"/>
  <c r="AI132" i="12"/>
  <c r="BR132" i="12"/>
  <c r="BP241" i="12"/>
  <c r="BN241" i="12"/>
  <c r="AG241" i="12"/>
  <c r="AH328" i="12"/>
  <c r="BQ328" i="12"/>
  <c r="BR94" i="12"/>
  <c r="AI94" i="12"/>
  <c r="BP204" i="12"/>
  <c r="BN204" i="12"/>
  <c r="AG204" i="12"/>
  <c r="AH17" i="12"/>
  <c r="BQ17" i="12"/>
  <c r="BP49" i="12"/>
  <c r="BN49" i="12"/>
  <c r="AG49" i="12"/>
  <c r="AH305" i="12"/>
  <c r="BQ305" i="12"/>
  <c r="BQ107" i="12"/>
  <c r="AH107" i="12"/>
  <c r="BQ87" i="12"/>
  <c r="AH87" i="12"/>
  <c r="AG276" i="12"/>
  <c r="BP276" i="12"/>
  <c r="BN276" i="12"/>
  <c r="BP262" i="12"/>
  <c r="BN262" i="12"/>
  <c r="AG262" i="12"/>
  <c r="BR325" i="12"/>
  <c r="AI325" i="12"/>
  <c r="AH349" i="12"/>
  <c r="BQ349" i="12"/>
  <c r="BQ148" i="12"/>
  <c r="AH148" i="12"/>
  <c r="BQ209" i="12"/>
  <c r="AH209" i="12"/>
  <c r="D10" i="12"/>
  <c r="BC10" i="12" s="1"/>
  <c r="D12" i="1"/>
  <c r="BP265" i="12"/>
  <c r="AG265" i="12"/>
  <c r="BN265" i="12"/>
  <c r="D108" i="12"/>
  <c r="D110" i="1"/>
  <c r="AH331" i="12"/>
  <c r="BQ331" i="12"/>
  <c r="BP328" i="12"/>
  <c r="BN328" i="12"/>
  <c r="AG328" i="12"/>
  <c r="AG228" i="12"/>
  <c r="BP228" i="12"/>
  <c r="BN228" i="12"/>
  <c r="AI203" i="12"/>
  <c r="BR203" i="12"/>
  <c r="BQ187" i="12"/>
  <c r="AH187" i="12"/>
  <c r="BN123" i="12"/>
  <c r="AG123" i="12"/>
  <c r="BP123" i="12"/>
  <c r="BP107" i="12"/>
  <c r="BN107" i="12"/>
  <c r="AG107" i="12"/>
  <c r="AI284" i="12"/>
  <c r="BR284" i="12"/>
  <c r="AH200" i="12"/>
  <c r="BQ200" i="12"/>
  <c r="AI136" i="12"/>
  <c r="BR136" i="12"/>
  <c r="BR97" i="12"/>
  <c r="AI97" i="12"/>
  <c r="BR87" i="12"/>
  <c r="AI87" i="12"/>
  <c r="BP255" i="12"/>
  <c r="BN255" i="12"/>
  <c r="AG255" i="12"/>
  <c r="BR231" i="12"/>
  <c r="AI231" i="12"/>
  <c r="AH337" i="12"/>
  <c r="BQ337" i="12"/>
  <c r="BQ94" i="12"/>
  <c r="AH94" i="12"/>
  <c r="BN318" i="12"/>
  <c r="AG318" i="12"/>
  <c r="BP318" i="12"/>
  <c r="AG298" i="12"/>
  <c r="BP298" i="12"/>
  <c r="BN298" i="12"/>
  <c r="BP242" i="12"/>
  <c r="BN242" i="12"/>
  <c r="AG242" i="12"/>
  <c r="BQ234" i="12"/>
  <c r="AH234" i="12"/>
  <c r="BQ207" i="12"/>
  <c r="AH207" i="12"/>
  <c r="BR220" i="12"/>
  <c r="AI220" i="12"/>
  <c r="AH204" i="12"/>
  <c r="BQ204" i="12"/>
  <c r="BQ108" i="12"/>
  <c r="AH108" i="12"/>
  <c r="BP44" i="12"/>
  <c r="AG44" i="12"/>
  <c r="BN44" i="12"/>
  <c r="BR332" i="12"/>
  <c r="AI332" i="12"/>
  <c r="BQ301" i="12"/>
  <c r="AH301" i="12"/>
  <c r="BP34" i="12"/>
  <c r="AG34" i="12"/>
  <c r="BN34" i="12"/>
  <c r="BQ348" i="12"/>
  <c r="AH348" i="12"/>
  <c r="AI102" i="12"/>
  <c r="BR102" i="12"/>
  <c r="BN38" i="12"/>
  <c r="AG38" i="12"/>
  <c r="BP38" i="12"/>
  <c r="AG299" i="12"/>
  <c r="BP299" i="12"/>
  <c r="BN299" i="12"/>
  <c r="BN327" i="12"/>
  <c r="BP327" i="12"/>
  <c r="AG327" i="12"/>
  <c r="BP289" i="12"/>
  <c r="BN289" i="12"/>
  <c r="AG289" i="12"/>
  <c r="BN36" i="12"/>
  <c r="BP36" i="12"/>
  <c r="AG36" i="12"/>
  <c r="AI23" i="12"/>
  <c r="BR23" i="12"/>
  <c r="AH307" i="12"/>
  <c r="BQ307" i="12"/>
  <c r="BQ99" i="12"/>
  <c r="AH99" i="12"/>
  <c r="BQ79" i="12"/>
  <c r="AH79" i="12"/>
  <c r="AI281" i="12"/>
  <c r="BR281" i="12"/>
  <c r="D106" i="12"/>
  <c r="H106" i="12" s="1"/>
  <c r="D108" i="1"/>
  <c r="BQ336" i="12"/>
  <c r="AH336" i="12"/>
  <c r="AI145" i="12"/>
  <c r="BR145" i="12"/>
  <c r="BR104" i="12"/>
  <c r="AI104" i="12"/>
  <c r="BP148" i="12"/>
  <c r="AG148" i="12"/>
  <c r="BN148" i="12"/>
  <c r="AG56" i="12"/>
  <c r="BP56" i="12"/>
  <c r="BN56" i="12"/>
  <c r="AH298" i="12"/>
  <c r="BQ298" i="12"/>
  <c r="BQ185" i="12"/>
  <c r="AH185" i="12"/>
  <c r="AG43" i="12"/>
  <c r="BP43" i="12"/>
  <c r="BN43" i="12"/>
  <c r="AI349" i="12"/>
  <c r="BR349" i="12"/>
  <c r="AI341" i="12"/>
  <c r="BR341" i="12"/>
  <c r="D146" i="12"/>
  <c r="AW146" i="12" s="1"/>
  <c r="D148" i="1"/>
  <c r="AH86" i="12"/>
  <c r="BQ86" i="12"/>
  <c r="BP312" i="12"/>
  <c r="BN312" i="12"/>
  <c r="AG312" i="12"/>
  <c r="AI113" i="12"/>
  <c r="BR113" i="12"/>
  <c r="AK2" i="12"/>
  <c r="AI305" i="12"/>
  <c r="BR305" i="12"/>
  <c r="BP292" i="12"/>
  <c r="BN292" i="12"/>
  <c r="AG292" i="12"/>
  <c r="BP222" i="12"/>
  <c r="AG222" i="12"/>
  <c r="BN222" i="12"/>
  <c r="AH158" i="12"/>
  <c r="BQ158" i="12"/>
  <c r="BP300" i="12"/>
  <c r="AG300" i="12"/>
  <c r="BN300" i="12"/>
  <c r="BQ244" i="12"/>
  <c r="AH244" i="12"/>
  <c r="BR219" i="12"/>
  <c r="AI219" i="12"/>
  <c r="BN139" i="12"/>
  <c r="AG139" i="12"/>
  <c r="BP139" i="12"/>
  <c r="BQ184" i="12"/>
  <c r="AH184" i="12"/>
  <c r="BN97" i="12"/>
  <c r="AG97" i="12"/>
  <c r="BP97" i="12"/>
  <c r="BN87" i="12"/>
  <c r="BP87" i="12"/>
  <c r="AG87" i="12"/>
  <c r="BR33" i="12"/>
  <c r="AI33" i="12"/>
  <c r="BQ213" i="12"/>
  <c r="AH213" i="12"/>
  <c r="BP165" i="12"/>
  <c r="AG165" i="12"/>
  <c r="BN165" i="12"/>
  <c r="AH149" i="12"/>
  <c r="BQ149" i="12"/>
  <c r="BR133" i="12"/>
  <c r="AI133" i="12"/>
  <c r="AG77" i="12"/>
  <c r="BP77" i="12"/>
  <c r="BN77" i="12"/>
  <c r="BQ13" i="12"/>
  <c r="AH13" i="12"/>
  <c r="BR263" i="12"/>
  <c r="AI263" i="12"/>
  <c r="BR234" i="12"/>
  <c r="AI234" i="12"/>
  <c r="BR326" i="12"/>
  <c r="AI326" i="12"/>
  <c r="AG266" i="12"/>
  <c r="BP266" i="12"/>
  <c r="BN266" i="12"/>
  <c r="BP220" i="12"/>
  <c r="AG220" i="12"/>
  <c r="BN220" i="12"/>
  <c r="BR17" i="12"/>
  <c r="AI17" i="12"/>
  <c r="AH354" i="12"/>
  <c r="BQ354" i="12"/>
  <c r="BP261" i="12"/>
  <c r="AG261" i="12"/>
  <c r="BN261" i="12"/>
  <c r="BR137" i="12"/>
  <c r="AI137" i="12"/>
  <c r="BP121" i="12"/>
  <c r="AG121" i="12"/>
  <c r="BN121" i="12"/>
  <c r="BR335" i="12"/>
  <c r="AI335" i="12"/>
  <c r="AH316" i="12"/>
  <c r="BQ316" i="12"/>
  <c r="BQ311" i="12"/>
  <c r="AH311" i="12"/>
  <c r="BP309" i="12"/>
  <c r="AG309" i="12"/>
  <c r="BN309" i="12"/>
  <c r="BP291" i="12"/>
  <c r="AG291" i="12"/>
  <c r="BN291" i="12"/>
  <c r="BR176" i="12"/>
  <c r="AI176" i="12"/>
  <c r="BQ42" i="12"/>
  <c r="AH42" i="12"/>
  <c r="AG319" i="12"/>
  <c r="BP319" i="12"/>
  <c r="BN319" i="12"/>
  <c r="BR322" i="12"/>
  <c r="AI322" i="12"/>
  <c r="AG20" i="12"/>
  <c r="BP20" i="12"/>
  <c r="BN20" i="12"/>
  <c r="AI89" i="12"/>
  <c r="BR89" i="12"/>
  <c r="BN209" i="12"/>
  <c r="AG209" i="12"/>
  <c r="BP209" i="12"/>
  <c r="BR268" i="12"/>
  <c r="AI268" i="12"/>
  <c r="BR318" i="12"/>
  <c r="AI318" i="12"/>
  <c r="BQ175" i="12"/>
  <c r="AH175" i="12"/>
  <c r="AH222" i="12"/>
  <c r="BQ222" i="12"/>
  <c r="AI197" i="12"/>
  <c r="BR197" i="12"/>
  <c r="BK197" i="12"/>
  <c r="AI264" i="12"/>
  <c r="BR264" i="12"/>
  <c r="D36" i="12"/>
  <c r="BC36" i="12" s="1"/>
  <c r="D38" i="1"/>
  <c r="D40" i="12"/>
  <c r="D42" i="1"/>
  <c r="BQ8" i="12"/>
  <c r="AH8" i="12"/>
  <c r="BR25" i="12"/>
  <c r="AI25" i="12"/>
  <c r="BR184" i="12"/>
  <c r="AI184" i="12"/>
  <c r="BP277" i="12"/>
  <c r="BN277" i="12"/>
  <c r="AG277" i="12"/>
  <c r="BR58" i="12"/>
  <c r="AI58" i="12"/>
  <c r="BP98" i="12"/>
  <c r="AG98" i="12"/>
  <c r="BN98" i="12"/>
  <c r="BR212" i="12"/>
  <c r="AI212" i="12"/>
  <c r="AG308" i="12"/>
  <c r="BP308" i="12"/>
  <c r="BN308" i="12"/>
  <c r="BP140" i="12"/>
  <c r="AG140" i="12"/>
  <c r="BN140" i="12"/>
  <c r="BR59" i="12"/>
  <c r="AI59" i="12"/>
  <c r="BP297" i="12"/>
  <c r="AG297" i="12"/>
  <c r="BN297" i="12"/>
  <c r="BP349" i="12"/>
  <c r="AG349" i="12"/>
  <c r="BN349" i="12"/>
  <c r="AG212" i="12"/>
  <c r="BP212" i="12"/>
  <c r="BN212" i="12"/>
  <c r="BQ116" i="12"/>
  <c r="AH116" i="12"/>
  <c r="AH103" i="12"/>
  <c r="BQ103" i="12"/>
  <c r="AH233" i="12"/>
  <c r="BQ233" i="12"/>
  <c r="BQ129" i="12"/>
  <c r="AH129" i="12"/>
  <c r="BN113" i="12"/>
  <c r="AG113" i="12"/>
  <c r="BP113" i="12"/>
  <c r="BR29" i="12"/>
  <c r="AI29" i="12"/>
  <c r="AN2" i="12"/>
  <c r="AI310" i="12"/>
  <c r="BR310" i="12"/>
  <c r="AG305" i="12"/>
  <c r="BN305" i="12"/>
  <c r="BP305" i="12"/>
  <c r="BR273" i="12"/>
  <c r="AI273" i="12"/>
  <c r="BR142" i="12"/>
  <c r="AI142" i="12"/>
  <c r="BP244" i="12"/>
  <c r="AG244" i="12"/>
  <c r="BN244" i="12"/>
  <c r="AG219" i="12"/>
  <c r="BP219" i="12"/>
  <c r="BN219" i="12"/>
  <c r="BK353" i="12"/>
  <c r="BR353" i="12"/>
  <c r="AI353" i="12"/>
  <c r="BQ268" i="12"/>
  <c r="AH268" i="12"/>
  <c r="BN216" i="12"/>
  <c r="AG216" i="12"/>
  <c r="BP216" i="12"/>
  <c r="AI200" i="12"/>
  <c r="BR200" i="12"/>
  <c r="BQ152" i="12"/>
  <c r="AH152" i="12"/>
  <c r="BP60" i="12"/>
  <c r="AG60" i="12"/>
  <c r="BN60" i="12"/>
  <c r="BQ255" i="12"/>
  <c r="AH255" i="12"/>
  <c r="BN231" i="12"/>
  <c r="AG231" i="12"/>
  <c r="BP231" i="12"/>
  <c r="BR181" i="12"/>
  <c r="AI181" i="12"/>
  <c r="BP149" i="12"/>
  <c r="AG149" i="12"/>
  <c r="BN149" i="12"/>
  <c r="BP104" i="12"/>
  <c r="BN104" i="12"/>
  <c r="AG104" i="12"/>
  <c r="BR337" i="12"/>
  <c r="AI337" i="12"/>
  <c r="BR194" i="12"/>
  <c r="AI194" i="12"/>
  <c r="AH114" i="12"/>
  <c r="BQ114" i="12"/>
  <c r="AI47" i="12"/>
  <c r="BR47" i="12"/>
  <c r="AH250" i="12"/>
  <c r="BQ250" i="12"/>
  <c r="BR207" i="12"/>
  <c r="AI207" i="12"/>
  <c r="BR111" i="12"/>
  <c r="AI111" i="12"/>
  <c r="BR91" i="12"/>
  <c r="AI91" i="12"/>
  <c r="BR64" i="12"/>
  <c r="AI64" i="12"/>
  <c r="AH266" i="12"/>
  <c r="BQ266" i="12"/>
  <c r="BR140" i="12"/>
  <c r="AI140" i="12"/>
  <c r="AI124" i="12"/>
  <c r="BR124" i="12"/>
  <c r="BQ54" i="12"/>
  <c r="AH54" i="12"/>
  <c r="BN332" i="12"/>
  <c r="AG332" i="12"/>
  <c r="BP332" i="12"/>
  <c r="BQ321" i="12"/>
  <c r="AH321" i="12"/>
  <c r="AI272" i="12"/>
  <c r="BR272" i="12"/>
  <c r="AH192" i="12"/>
  <c r="BQ192" i="12"/>
  <c r="BN176" i="12"/>
  <c r="AG176" i="12"/>
  <c r="BP176" i="12"/>
  <c r="AI38" i="12"/>
  <c r="BR38" i="12"/>
  <c r="D17" i="12"/>
  <c r="BE17" i="12" s="1"/>
  <c r="D19" i="1"/>
  <c r="BR26" i="12"/>
  <c r="AI26" i="12"/>
  <c r="BQ31" i="12"/>
  <c r="AH31" i="12"/>
  <c r="BP347" i="12"/>
  <c r="BN347" i="12"/>
  <c r="AG347" i="12"/>
  <c r="BP91" i="12"/>
  <c r="BN91" i="12"/>
  <c r="AG91" i="12"/>
  <c r="AG116" i="12"/>
  <c r="BP116" i="12"/>
  <c r="BN116" i="12"/>
  <c r="BQ273" i="12"/>
  <c r="AH273" i="12"/>
  <c r="AH100" i="12"/>
  <c r="BQ100" i="12"/>
  <c r="BR228" i="12"/>
  <c r="AI228" i="12"/>
  <c r="AI148" i="12"/>
  <c r="BR148" i="12"/>
  <c r="BR266" i="12"/>
  <c r="AI266" i="12"/>
  <c r="BN301" i="12"/>
  <c r="AG301" i="12"/>
  <c r="BP301" i="12"/>
  <c r="BQ203" i="12"/>
  <c r="AH203" i="12"/>
  <c r="BQ284" i="12"/>
  <c r="AH284" i="12"/>
  <c r="BQ139" i="12"/>
  <c r="AH139" i="12"/>
  <c r="BR213" i="12"/>
  <c r="AI213" i="12"/>
  <c r="BQ345" i="12"/>
  <c r="AH345" i="12"/>
  <c r="BP132" i="12"/>
  <c r="AG132" i="12"/>
  <c r="BN132" i="12"/>
  <c r="BR12" i="12"/>
  <c r="AI12" i="12"/>
  <c r="BQ325" i="12"/>
  <c r="AH325" i="12"/>
  <c r="AH249" i="12"/>
  <c r="BQ249" i="12"/>
  <c r="BQ83" i="12"/>
  <c r="AH83" i="12"/>
  <c r="BQ29" i="12"/>
  <c r="AH29" i="12"/>
  <c r="AQ2" i="12"/>
  <c r="BP310" i="12"/>
  <c r="AG310" i="12"/>
  <c r="BN310" i="12"/>
  <c r="BR292" i="12"/>
  <c r="AI292" i="12"/>
  <c r="BR174" i="12"/>
  <c r="AI174" i="12"/>
  <c r="AG142" i="12"/>
  <c r="BP142" i="12"/>
  <c r="BN142" i="12"/>
  <c r="AH73" i="12"/>
  <c r="BQ73" i="12"/>
  <c r="AI347" i="12"/>
  <c r="BR347" i="12"/>
  <c r="BQ295" i="12"/>
  <c r="AH295" i="12"/>
  <c r="AH276" i="12"/>
  <c r="BQ276" i="12"/>
  <c r="AI165" i="12"/>
  <c r="BR165" i="12"/>
  <c r="BP67" i="12"/>
  <c r="AG67" i="12"/>
  <c r="BN67" i="12"/>
  <c r="BN337" i="12"/>
  <c r="AG337" i="12"/>
  <c r="BP337" i="12"/>
  <c r="AH263" i="12"/>
  <c r="BQ263" i="12"/>
  <c r="AG57" i="12"/>
  <c r="BP57" i="12"/>
  <c r="BN57" i="12"/>
  <c r="BN313" i="12"/>
  <c r="BP313" i="12"/>
  <c r="AG313" i="12"/>
  <c r="AG258" i="12"/>
  <c r="BP258" i="12"/>
  <c r="BN258" i="12"/>
  <c r="BQ242" i="12"/>
  <c r="AH242" i="12"/>
  <c r="AG223" i="12"/>
  <c r="BP223" i="12"/>
  <c r="BN223" i="12"/>
  <c r="BP207" i="12"/>
  <c r="BN207" i="12"/>
  <c r="AG207" i="12"/>
  <c r="AI127" i="12"/>
  <c r="BR127" i="12"/>
  <c r="BN111" i="12"/>
  <c r="AG111" i="12"/>
  <c r="BP111" i="12"/>
  <c r="AI27" i="12"/>
  <c r="BR27" i="12"/>
  <c r="D8" i="12"/>
  <c r="BC8" i="12" s="1"/>
  <c r="D10" i="1"/>
  <c r="BR204" i="12"/>
  <c r="AI204" i="12"/>
  <c r="AI172" i="12"/>
  <c r="BR172" i="12"/>
  <c r="BP272" i="12"/>
  <c r="AG272" i="12"/>
  <c r="BN272" i="12"/>
  <c r="BQ224" i="12"/>
  <c r="AH224" i="12"/>
  <c r="AG128" i="12"/>
  <c r="BP128" i="12"/>
  <c r="BN128" i="12"/>
  <c r="AI28" i="12"/>
  <c r="BR28" i="12"/>
  <c r="BR45" i="12"/>
  <c r="AI45" i="12"/>
  <c r="BR62" i="12"/>
  <c r="AI62" i="12"/>
  <c r="AI14" i="12"/>
  <c r="BR14" i="12"/>
  <c r="D22" i="12"/>
  <c r="D24" i="1"/>
  <c r="BQ174" i="12"/>
  <c r="AH174" i="12"/>
  <c r="BP340" i="12"/>
  <c r="BN340" i="12"/>
  <c r="AG340" i="12"/>
  <c r="BR68" i="12"/>
  <c r="AI68" i="12"/>
  <c r="BQ341" i="12"/>
  <c r="AH341" i="12"/>
  <c r="D156" i="12"/>
  <c r="D158" i="1"/>
  <c r="BQ315" i="12"/>
  <c r="AH315" i="12"/>
  <c r="BQ319" i="12"/>
  <c r="AH319" i="12"/>
  <c r="D20" i="12"/>
  <c r="BE20" i="12" s="1"/>
  <c r="D22" i="1"/>
  <c r="BP236" i="12"/>
  <c r="AG236" i="12"/>
  <c r="BN236" i="12"/>
  <c r="AH117" i="12"/>
  <c r="BQ117" i="12"/>
  <c r="BP127" i="12"/>
  <c r="AG127" i="12"/>
  <c r="BN127" i="12"/>
  <c r="BR285" i="12"/>
  <c r="AI285" i="12"/>
  <c r="BP51" i="12"/>
  <c r="AG51" i="12"/>
  <c r="BN51" i="12"/>
  <c r="AH142" i="12"/>
  <c r="BQ142" i="12"/>
  <c r="AH133" i="12"/>
  <c r="BQ133" i="12"/>
  <c r="AG101" i="12"/>
  <c r="BP101" i="12"/>
  <c r="BN101" i="12"/>
  <c r="BQ180" i="12"/>
  <c r="AH180" i="12"/>
  <c r="BQ297" i="12"/>
  <c r="AH297" i="12"/>
  <c r="AI86" i="12"/>
  <c r="BR86" i="12"/>
  <c r="AI39" i="12"/>
  <c r="BR39" i="12"/>
  <c r="BP12" i="12"/>
  <c r="AG12" i="12"/>
  <c r="BN12" i="12"/>
  <c r="BR161" i="12"/>
  <c r="AI161" i="12"/>
  <c r="D101" i="12"/>
  <c r="BK101" i="12" s="1"/>
  <c r="D103" i="1"/>
  <c r="BP273" i="12"/>
  <c r="BN273" i="12"/>
  <c r="AG273" i="12"/>
  <c r="BQ265" i="12"/>
  <c r="AH265" i="12"/>
  <c r="AI100" i="12"/>
  <c r="BR100" i="12"/>
  <c r="AH155" i="12"/>
  <c r="BQ155" i="12"/>
  <c r="BQ287" i="12"/>
  <c r="AH287" i="12"/>
  <c r="BP200" i="12"/>
  <c r="BN200" i="12"/>
  <c r="AG200" i="12"/>
  <c r="AI152" i="12"/>
  <c r="BR152" i="12"/>
  <c r="AI60" i="12"/>
  <c r="BR60" i="12"/>
  <c r="BQ33" i="12"/>
  <c r="AH33" i="12"/>
  <c r="BQ290" i="12"/>
  <c r="AH290" i="12"/>
  <c r="BQ271" i="12"/>
  <c r="AH271" i="12"/>
  <c r="BN194" i="12"/>
  <c r="AG194" i="12"/>
  <c r="BP194" i="12"/>
  <c r="BR162" i="12"/>
  <c r="AI162" i="12"/>
  <c r="BP47" i="12"/>
  <c r="AG47" i="12"/>
  <c r="BN47" i="12"/>
  <c r="AH318" i="12"/>
  <c r="BQ318" i="12"/>
  <c r="BR313" i="12"/>
  <c r="AI313" i="12"/>
  <c r="AH309" i="12"/>
  <c r="BQ309" i="12"/>
  <c r="AH291" i="12"/>
  <c r="BQ291" i="12"/>
  <c r="BP112" i="12"/>
  <c r="AG112" i="12"/>
  <c r="BN28" i="12"/>
  <c r="AG28" i="12"/>
  <c r="BP28" i="12"/>
  <c r="BQ299" i="12"/>
  <c r="AH299" i="12"/>
  <c r="BP52" i="12"/>
  <c r="AG52" i="12"/>
  <c r="BN52" i="12"/>
  <c r="D4" i="12"/>
  <c r="BA4" i="12" s="1"/>
  <c r="D6" i="1"/>
  <c r="AI294" i="12"/>
  <c r="BR294" i="12"/>
  <c r="AI289" i="12"/>
  <c r="BR289" i="12"/>
  <c r="BQ59" i="12"/>
  <c r="AH59" i="12"/>
  <c r="AH30" i="12"/>
  <c r="BQ30" i="12"/>
  <c r="BQ24" i="12"/>
  <c r="AH24" i="12"/>
  <c r="BN14" i="12"/>
  <c r="AG14" i="12"/>
  <c r="BP14" i="12"/>
  <c r="AI223" i="12"/>
  <c r="BR223" i="12"/>
  <c r="BR214" i="12"/>
  <c r="AI214" i="12"/>
  <c r="AH39" i="12"/>
  <c r="BQ39" i="12"/>
  <c r="BP233" i="12"/>
  <c r="AG233" i="12"/>
  <c r="BN233" i="12"/>
  <c r="BP152" i="12"/>
  <c r="AG152" i="12"/>
  <c r="BN152" i="12"/>
  <c r="AG290" i="12"/>
  <c r="BP290" i="12"/>
  <c r="BN290" i="12"/>
  <c r="BR50" i="12"/>
  <c r="AI50" i="12"/>
  <c r="BQ118" i="12"/>
  <c r="AH118" i="12"/>
  <c r="BQ161" i="12"/>
  <c r="AH161" i="12"/>
  <c r="BR2" i="12"/>
  <c r="AI2" i="12"/>
  <c r="D109" i="12"/>
  <c r="D111" i="1"/>
  <c r="BR229" i="12"/>
  <c r="AI229" i="12"/>
  <c r="BQ147" i="12"/>
  <c r="AH147" i="12"/>
  <c r="AI144" i="12"/>
  <c r="BR144" i="12"/>
  <c r="BR244" i="12"/>
  <c r="AI244" i="12"/>
  <c r="AH162" i="12"/>
  <c r="BQ162" i="12"/>
  <c r="BR175" i="12"/>
  <c r="AI175" i="12"/>
  <c r="AH27" i="12"/>
  <c r="BQ27" i="12"/>
  <c r="BP118" i="12"/>
  <c r="BN118" i="12"/>
  <c r="AG118" i="12"/>
  <c r="BN295" i="12"/>
  <c r="BP295" i="12"/>
  <c r="AG295" i="12"/>
  <c r="BP50" i="12"/>
  <c r="AG50" i="12"/>
  <c r="BN50" i="12"/>
  <c r="D352" i="12"/>
  <c r="D354" i="1"/>
  <c r="AI30" i="12"/>
  <c r="BR30" i="12"/>
  <c r="BQ132" i="12"/>
  <c r="AH132" i="12"/>
  <c r="AI116" i="12"/>
  <c r="BR116" i="12"/>
  <c r="BP86" i="12"/>
  <c r="BN86" i="12"/>
  <c r="AG86" i="12"/>
  <c r="BP39" i="12"/>
  <c r="BN39" i="12"/>
  <c r="AG39" i="12"/>
  <c r="AI225" i="12"/>
  <c r="BR225" i="12"/>
  <c r="BP161" i="12"/>
  <c r="AG161" i="12"/>
  <c r="BN161" i="12"/>
  <c r="AI129" i="12"/>
  <c r="BR129" i="12"/>
  <c r="BR93" i="12"/>
  <c r="AI93" i="12"/>
  <c r="BR83" i="12"/>
  <c r="AI83" i="12"/>
  <c r="AI56" i="12"/>
  <c r="BR56" i="12"/>
  <c r="BP190" i="12"/>
  <c r="AG190" i="12"/>
  <c r="BN190" i="12"/>
  <c r="AG100" i="12"/>
  <c r="BN100" i="12"/>
  <c r="BP100" i="12"/>
  <c r="BR252" i="12"/>
  <c r="AI252" i="12"/>
  <c r="BQ236" i="12"/>
  <c r="AH236" i="12"/>
  <c r="AH228" i="12"/>
  <c r="BQ228" i="12"/>
  <c r="BP353" i="12"/>
  <c r="BN353" i="12"/>
  <c r="AW353" i="12"/>
  <c r="AG353" i="12"/>
  <c r="BQ347" i="12"/>
  <c r="AH347" i="12"/>
  <c r="BQ70" i="12"/>
  <c r="AH70" i="12"/>
  <c r="BP213" i="12"/>
  <c r="BN213" i="12"/>
  <c r="AG213" i="12"/>
  <c r="BP181" i="12"/>
  <c r="AG181" i="12"/>
  <c r="BN181" i="12"/>
  <c r="AI117" i="12"/>
  <c r="BR117" i="12"/>
  <c r="AH104" i="12"/>
  <c r="BQ104" i="12"/>
  <c r="AH258" i="12"/>
  <c r="BQ258" i="12"/>
  <c r="AH326" i="12"/>
  <c r="BQ326" i="12"/>
  <c r="BP61" i="12"/>
  <c r="AG61" i="12"/>
  <c r="BN61" i="12"/>
  <c r="AI340" i="12"/>
  <c r="BR340" i="12"/>
  <c r="AH282" i="12"/>
  <c r="BQ282" i="12"/>
  <c r="BR118" i="12"/>
  <c r="AI118" i="12"/>
  <c r="BQ78" i="12"/>
  <c r="AH78" i="12"/>
  <c r="AG41" i="12"/>
  <c r="BP41" i="12"/>
  <c r="BN41" i="12"/>
  <c r="BN163" i="12"/>
  <c r="BP163" i="12"/>
  <c r="AG163" i="12"/>
  <c r="BP32" i="12"/>
  <c r="AG32" i="12"/>
  <c r="BN32" i="12"/>
  <c r="BP42" i="12"/>
  <c r="BN42" i="12"/>
  <c r="AG42" i="12"/>
  <c r="BQ36" i="12"/>
  <c r="AH36" i="12"/>
  <c r="BQ20" i="12"/>
  <c r="AH20" i="12"/>
  <c r="AI330" i="12"/>
  <c r="BR330" i="12"/>
  <c r="BQ82" i="12"/>
  <c r="AH82" i="12"/>
  <c r="AI63" i="12"/>
  <c r="BR63" i="12"/>
  <c r="AI103" i="12"/>
  <c r="BR103" i="12"/>
  <c r="BQ84" i="12"/>
  <c r="AH84" i="12"/>
  <c r="BP229" i="12"/>
  <c r="AG229" i="12"/>
  <c r="BN229" i="12"/>
  <c r="BP9" i="12"/>
  <c r="AG9" i="12"/>
  <c r="BN9" i="12"/>
  <c r="BP156" i="12"/>
  <c r="AG156" i="12"/>
  <c r="BN156" i="12"/>
  <c r="BP115" i="12"/>
  <c r="BN115" i="12"/>
  <c r="AG115" i="12"/>
  <c r="AI303" i="12"/>
  <c r="BR303" i="12"/>
  <c r="AI146" i="12"/>
  <c r="BR146" i="12"/>
  <c r="AG172" i="12"/>
  <c r="BP172" i="12"/>
  <c r="BN172" i="12"/>
  <c r="AI180" i="12"/>
  <c r="BR180" i="12"/>
  <c r="AI49" i="12"/>
  <c r="BR49" i="12"/>
  <c r="AI241" i="12"/>
  <c r="BR241" i="12"/>
  <c r="BQ145" i="12"/>
  <c r="AH145" i="12"/>
  <c r="BP129" i="12"/>
  <c r="BN129" i="12"/>
  <c r="AG129" i="12"/>
  <c r="AI19" i="12"/>
  <c r="BR19" i="12"/>
  <c r="BR206" i="12"/>
  <c r="AI206" i="12"/>
  <c r="BP174" i="12"/>
  <c r="BN174" i="12"/>
  <c r="AG174" i="12"/>
  <c r="AI158" i="12"/>
  <c r="BR158" i="12"/>
  <c r="AH300" i="12"/>
  <c r="BQ300" i="12"/>
  <c r="BQ252" i="12"/>
  <c r="AH252" i="12"/>
  <c r="BR171" i="12"/>
  <c r="AI171" i="12"/>
  <c r="BR139" i="12"/>
  <c r="AI139" i="12"/>
  <c r="BR123" i="12"/>
  <c r="AI123" i="12"/>
  <c r="BR107" i="12"/>
  <c r="AI107" i="12"/>
  <c r="AG315" i="12"/>
  <c r="BP315" i="12"/>
  <c r="BN315" i="12"/>
  <c r="BR295" i="12"/>
  <c r="AI295" i="12"/>
  <c r="BQ97" i="12"/>
  <c r="AH97" i="12"/>
  <c r="AH239" i="12"/>
  <c r="BQ239" i="12"/>
  <c r="BN197" i="12"/>
  <c r="AW197" i="12"/>
  <c r="AG197" i="12"/>
  <c r="BP197" i="12"/>
  <c r="AG263" i="12"/>
  <c r="BP263" i="12"/>
  <c r="BN263" i="12"/>
  <c r="BP162" i="12"/>
  <c r="BN162" i="12"/>
  <c r="AG162" i="12"/>
  <c r="AH146" i="12"/>
  <c r="BQ146" i="12"/>
  <c r="BQ47" i="12"/>
  <c r="AH47" i="12"/>
  <c r="BR150" i="12"/>
  <c r="AI150" i="12"/>
  <c r="AH95" i="12"/>
  <c r="BQ95" i="12"/>
  <c r="AH41" i="12"/>
  <c r="BQ41" i="12"/>
  <c r="BQ248" i="12"/>
  <c r="AH248" i="12"/>
  <c r="BQ232" i="12"/>
  <c r="AH232" i="12"/>
  <c r="BQ58" i="12"/>
  <c r="AH58" i="12"/>
  <c r="AI48" i="12"/>
  <c r="BR48" i="12"/>
  <c r="BP343" i="12"/>
  <c r="BN343" i="12"/>
  <c r="AG343" i="12"/>
  <c r="BN264" i="12"/>
  <c r="AG264" i="12"/>
  <c r="BP264" i="12"/>
  <c r="D100" i="12"/>
  <c r="D102" i="1"/>
  <c r="D9" i="12"/>
  <c r="D11" i="1"/>
  <c r="D24" i="12"/>
  <c r="D26" i="1"/>
  <c r="AI3" i="12"/>
  <c r="BR3" i="12"/>
  <c r="BN307" i="12"/>
  <c r="AG307" i="12"/>
  <c r="BP307" i="12"/>
  <c r="BR301" i="12"/>
  <c r="AI301" i="12"/>
  <c r="BP203" i="12"/>
  <c r="BN203" i="12"/>
  <c r="AG203" i="12"/>
  <c r="AG268" i="12"/>
  <c r="BP268" i="12"/>
  <c r="BN268" i="12"/>
  <c r="AH303" i="12"/>
  <c r="BQ303" i="12"/>
  <c r="AH165" i="12"/>
  <c r="BQ165" i="12"/>
  <c r="BQ332" i="12"/>
  <c r="AH332" i="12"/>
  <c r="AG239" i="12"/>
  <c r="BP239" i="12"/>
  <c r="BN239" i="12"/>
  <c r="BP271" i="12"/>
  <c r="AG271" i="12"/>
  <c r="BN271" i="12"/>
  <c r="AH49" i="12"/>
  <c r="BQ49" i="12"/>
  <c r="AG341" i="12"/>
  <c r="BP341" i="12"/>
  <c r="BN341" i="12"/>
  <c r="AI336" i="12"/>
  <c r="BR336" i="12"/>
  <c r="BR317" i="12"/>
  <c r="AI317" i="12"/>
  <c r="BR297" i="12"/>
  <c r="AI297" i="12"/>
  <c r="BQ212" i="12"/>
  <c r="AH212" i="12"/>
  <c r="AI312" i="12"/>
  <c r="BR312" i="12"/>
  <c r="BR249" i="12"/>
  <c r="AI249" i="12"/>
  <c r="AI209" i="12"/>
  <c r="BR209" i="12"/>
  <c r="D37" i="12"/>
  <c r="D39" i="1"/>
  <c r="BP19" i="12"/>
  <c r="AG19" i="12"/>
  <c r="BN19" i="12"/>
  <c r="AH2" i="12"/>
  <c r="BQ2" i="12"/>
  <c r="BQ310" i="12"/>
  <c r="AH310" i="12"/>
  <c r="AI278" i="12"/>
  <c r="BR278" i="12"/>
  <c r="BR190" i="12"/>
  <c r="AI190" i="12"/>
  <c r="BN158" i="12"/>
  <c r="AG158" i="12"/>
  <c r="BP158" i="12"/>
  <c r="BQ110" i="12"/>
  <c r="AH110" i="12"/>
  <c r="BN187" i="12"/>
  <c r="AG187" i="12"/>
  <c r="BP187" i="12"/>
  <c r="D98" i="12"/>
  <c r="BI98" i="12" s="1"/>
  <c r="D100" i="1"/>
  <c r="AH281" i="12"/>
  <c r="BQ281" i="12"/>
  <c r="AH136" i="12"/>
  <c r="BQ136" i="12"/>
  <c r="BQ247" i="12"/>
  <c r="AH247" i="12"/>
  <c r="BQ231" i="12"/>
  <c r="AH231" i="12"/>
  <c r="AG133" i="12"/>
  <c r="BP133" i="12"/>
  <c r="BN133" i="12"/>
  <c r="BR77" i="12"/>
  <c r="AI77" i="12"/>
  <c r="BQ50" i="12"/>
  <c r="AH50" i="12"/>
  <c r="AI13" i="12"/>
  <c r="BR13" i="12"/>
  <c r="AI250" i="12"/>
  <c r="BR250" i="12"/>
  <c r="BP234" i="12"/>
  <c r="AG234" i="12"/>
  <c r="BN234" i="12"/>
  <c r="AH223" i="12"/>
  <c r="BQ223" i="12"/>
  <c r="AH127" i="12"/>
  <c r="BQ127" i="12"/>
  <c r="AH111" i="12"/>
  <c r="BQ111" i="12"/>
  <c r="BR329" i="12"/>
  <c r="AI329" i="12"/>
  <c r="BR279" i="12"/>
  <c r="AI279" i="12"/>
  <c r="BQ188" i="12"/>
  <c r="AH188" i="12"/>
  <c r="BN108" i="12"/>
  <c r="AG108" i="12"/>
  <c r="BP108" i="12"/>
  <c r="BN54" i="12"/>
  <c r="AG54" i="12"/>
  <c r="BP54" i="12"/>
  <c r="BR7" i="12"/>
  <c r="AI7" i="12"/>
  <c r="BP354" i="12"/>
  <c r="AG354" i="12"/>
  <c r="BN354" i="12"/>
  <c r="BP285" i="12"/>
  <c r="AG285" i="12"/>
  <c r="BN285" i="12"/>
  <c r="BP217" i="12"/>
  <c r="AG217" i="12"/>
  <c r="BN217" i="12"/>
  <c r="BQ153" i="12"/>
  <c r="AH153" i="12"/>
  <c r="BP214" i="12"/>
  <c r="AG214" i="12"/>
  <c r="BN214" i="12"/>
  <c r="BP105" i="12"/>
  <c r="AG105" i="12"/>
  <c r="BN105" i="12"/>
  <c r="BR256" i="12"/>
  <c r="AI256" i="12"/>
  <c r="AH195" i="12"/>
  <c r="BQ195" i="12"/>
  <c r="AI147" i="12"/>
  <c r="BR147" i="12"/>
  <c r="BR131" i="12"/>
  <c r="AI131" i="12"/>
  <c r="BQ11" i="12"/>
  <c r="AH11" i="12"/>
  <c r="BR309" i="12"/>
  <c r="AI309" i="12"/>
  <c r="BR9" i="12"/>
  <c r="AI9" i="12"/>
  <c r="BQ314" i="12"/>
  <c r="AH314" i="12"/>
  <c r="D14" i="12"/>
  <c r="BG14" i="12" s="1"/>
  <c r="D16" i="1"/>
  <c r="AG294" i="12"/>
  <c r="BP294" i="12"/>
  <c r="BN294" i="12"/>
  <c r="D34" i="12"/>
  <c r="BE34" i="12" s="1"/>
  <c r="D36" i="1"/>
  <c r="BQ18" i="12"/>
  <c r="AH18" i="12"/>
  <c r="BN15" i="12"/>
  <c r="BP15" i="12"/>
  <c r="AG15" i="12"/>
  <c r="BR188" i="12"/>
  <c r="AI188" i="12"/>
  <c r="AI156" i="12"/>
  <c r="BR156" i="12"/>
  <c r="BR81" i="12"/>
  <c r="AI81" i="12"/>
  <c r="BR71" i="12"/>
  <c r="AI71" i="12"/>
  <c r="AG17" i="12"/>
  <c r="BP17" i="12"/>
  <c r="BN17" i="12"/>
  <c r="BP7" i="12"/>
  <c r="BN7" i="12"/>
  <c r="AG7" i="12"/>
  <c r="AG288" i="12"/>
  <c r="BP288" i="12"/>
  <c r="BN288" i="12"/>
  <c r="BR245" i="12"/>
  <c r="AI245" i="12"/>
  <c r="BR217" i="12"/>
  <c r="AI217" i="12"/>
  <c r="BQ121" i="12"/>
  <c r="AH121" i="12"/>
  <c r="BR51" i="12"/>
  <c r="AI51" i="12"/>
  <c r="AG198" i="12"/>
  <c r="BN198" i="12"/>
  <c r="BP198" i="12"/>
  <c r="AH264" i="12"/>
  <c r="BQ264" i="12"/>
  <c r="AH176" i="12"/>
  <c r="BQ176" i="12"/>
  <c r="BR319" i="12"/>
  <c r="AI319" i="12"/>
  <c r="AI327" i="12"/>
  <c r="BR327" i="12"/>
  <c r="AH23" i="12"/>
  <c r="BQ23" i="12"/>
  <c r="BQ63" i="12"/>
  <c r="AH63" i="12"/>
  <c r="AH333" i="12"/>
  <c r="BQ333" i="12"/>
  <c r="BP5" i="12"/>
  <c r="BN5" i="12"/>
  <c r="AG5" i="12"/>
  <c r="BQ221" i="12"/>
  <c r="AH221" i="12"/>
  <c r="BQ167" i="12"/>
  <c r="AH167" i="12"/>
  <c r="BN355" i="12"/>
  <c r="AG355" i="12"/>
  <c r="BP355" i="12"/>
  <c r="BD199" i="12"/>
  <c r="AM199" i="12"/>
  <c r="AN199" i="12" s="1"/>
  <c r="AO199" i="12" s="1"/>
  <c r="AV199" i="12"/>
  <c r="AS199" i="12"/>
  <c r="AT199" i="12" s="1"/>
  <c r="AU199" i="12" s="1"/>
  <c r="BJ199" i="12"/>
  <c r="BH199" i="12"/>
  <c r="AP199" i="12"/>
  <c r="AQ199" i="12" s="1"/>
  <c r="AR199" i="12" s="1"/>
  <c r="BB199" i="12"/>
  <c r="AJ199" i="12"/>
  <c r="AK199" i="12" s="1"/>
  <c r="BF199" i="12"/>
  <c r="AZ199" i="12"/>
  <c r="AX199" i="12"/>
  <c r="BR15" i="12"/>
  <c r="AI15" i="12"/>
  <c r="BQ25" i="12"/>
  <c r="AH25" i="12"/>
  <c r="AH35" i="12"/>
  <c r="BQ35" i="12"/>
  <c r="AM280" i="12"/>
  <c r="AN280" i="12" s="1"/>
  <c r="AO280" i="12" s="1"/>
  <c r="AV280" i="12"/>
  <c r="AX280" i="12"/>
  <c r="AS280" i="12"/>
  <c r="AT280" i="12" s="1"/>
  <c r="AU280" i="12" s="1"/>
  <c r="BJ280" i="12"/>
  <c r="BF280" i="12"/>
  <c r="BD280" i="12"/>
  <c r="BB280" i="12"/>
  <c r="AZ280" i="12"/>
  <c r="AP280" i="12"/>
  <c r="AQ280" i="12" s="1"/>
  <c r="AR280" i="12" s="1"/>
  <c r="AJ280" i="12"/>
  <c r="AK280" i="12" s="1"/>
  <c r="BH280" i="12"/>
  <c r="R12" i="2"/>
  <c r="S10" i="2"/>
  <c r="AV189" i="12"/>
  <c r="BJ189" i="12"/>
  <c r="AS189" i="12"/>
  <c r="AT189" i="12" s="1"/>
  <c r="AU189" i="12" s="1"/>
  <c r="BH189" i="12"/>
  <c r="BF189" i="12"/>
  <c r="AP189" i="12"/>
  <c r="AQ189" i="12" s="1"/>
  <c r="AR189" i="12" s="1"/>
  <c r="BD189" i="12"/>
  <c r="AM189" i="12"/>
  <c r="AN189" i="12" s="1"/>
  <c r="AO189" i="12" s="1"/>
  <c r="AX189" i="12"/>
  <c r="AJ189" i="12"/>
  <c r="AK189" i="12" s="1"/>
  <c r="BB189" i="12"/>
  <c r="AZ189" i="12"/>
  <c r="BD202" i="12"/>
  <c r="BH202" i="12"/>
  <c r="AP202" i="12"/>
  <c r="AQ202" i="12" s="1"/>
  <c r="AR202" i="12" s="1"/>
  <c r="AM202" i="12"/>
  <c r="AN202" i="12" s="1"/>
  <c r="AO202" i="12" s="1"/>
  <c r="BF202" i="12"/>
  <c r="BB202" i="12"/>
  <c r="AJ202" i="12"/>
  <c r="AK202" i="12" s="1"/>
  <c r="AZ202" i="12"/>
  <c r="AV202" i="12"/>
  <c r="AX202" i="12"/>
  <c r="AS202" i="12"/>
  <c r="AT202" i="12" s="1"/>
  <c r="AU202" i="12" s="1"/>
  <c r="BJ202" i="12"/>
  <c r="BJ183" i="12"/>
  <c r="AS183" i="12"/>
  <c r="AT183" i="12" s="1"/>
  <c r="AU183" i="12" s="1"/>
  <c r="BH183" i="12"/>
  <c r="BF183" i="12"/>
  <c r="AP183" i="12"/>
  <c r="AQ183" i="12" s="1"/>
  <c r="AR183" i="12" s="1"/>
  <c r="BD183" i="12"/>
  <c r="BB183" i="12"/>
  <c r="AZ183" i="12"/>
  <c r="AX183" i="12"/>
  <c r="AM183" i="12"/>
  <c r="AN183" i="12" s="1"/>
  <c r="AO183" i="12" s="1"/>
  <c r="AJ183" i="12"/>
  <c r="AK183" i="12" s="1"/>
  <c r="AV183" i="12"/>
  <c r="AS338" i="12"/>
  <c r="AT338" i="12" s="1"/>
  <c r="AU338" i="12" s="1"/>
  <c r="AV338" i="12"/>
  <c r="BJ338" i="12"/>
  <c r="BH338" i="12"/>
  <c r="AP338" i="12"/>
  <c r="AQ338" i="12" s="1"/>
  <c r="AR338" i="12" s="1"/>
  <c r="BF338" i="12"/>
  <c r="AJ338" i="12"/>
  <c r="AK338" i="12" s="1"/>
  <c r="BD338" i="12"/>
  <c r="BB338" i="12"/>
  <c r="AZ338" i="12"/>
  <c r="AX338" i="12"/>
  <c r="AM338" i="12"/>
  <c r="AN338" i="12" s="1"/>
  <c r="AO338" i="12" s="1"/>
  <c r="AM218" i="12"/>
  <c r="AN218" i="12" s="1"/>
  <c r="AO218" i="12" s="1"/>
  <c r="BD218" i="12"/>
  <c r="BB218" i="12"/>
  <c r="AJ218" i="12"/>
  <c r="AK218" i="12" s="1"/>
  <c r="AZ218" i="12"/>
  <c r="AX218" i="12"/>
  <c r="AV218" i="12"/>
  <c r="BF218" i="12"/>
  <c r="AS218" i="12"/>
  <c r="AT218" i="12" s="1"/>
  <c r="AU218" i="12" s="1"/>
  <c r="AP218" i="12"/>
  <c r="AQ218" i="12" s="1"/>
  <c r="AR218" i="12" s="1"/>
  <c r="BJ218" i="12"/>
  <c r="BH218" i="12"/>
  <c r="AZ109" i="12"/>
  <c r="AJ109" i="12"/>
  <c r="AK109" i="12" s="1"/>
  <c r="AL109" i="12" s="1"/>
  <c r="AX109" i="12"/>
  <c r="AV109" i="12"/>
  <c r="BH109" i="12"/>
  <c r="BD109" i="12"/>
  <c r="BB109" i="12"/>
  <c r="AS109" i="12"/>
  <c r="AT109" i="12" s="1"/>
  <c r="AU109" i="12" s="1"/>
  <c r="AP109" i="12"/>
  <c r="AQ109" i="12" s="1"/>
  <c r="AR109" i="12" s="1"/>
  <c r="AM109" i="12"/>
  <c r="AN109" i="12" s="1"/>
  <c r="AO109" i="12" s="1"/>
  <c r="BJ109" i="12"/>
  <c r="BF109" i="12"/>
  <c r="AM125" i="12"/>
  <c r="AN125" i="12" s="1"/>
  <c r="AO125" i="12" s="1"/>
  <c r="AZ125" i="12"/>
  <c r="AX125" i="12"/>
  <c r="BH125" i="12"/>
  <c r="BF125" i="12"/>
  <c r="AJ125" i="12"/>
  <c r="AK125" i="12" s="1"/>
  <c r="BD125" i="12"/>
  <c r="BB125" i="12"/>
  <c r="AS125" i="12"/>
  <c r="AT125" i="12" s="1"/>
  <c r="AU125" i="12" s="1"/>
  <c r="BJ125" i="12"/>
  <c r="AP125" i="12"/>
  <c r="AQ125" i="12" s="1"/>
  <c r="AR125" i="12" s="1"/>
  <c r="AV125" i="12"/>
  <c r="AE353" i="12"/>
  <c r="AF353" i="12" s="1"/>
  <c r="O353" i="12"/>
  <c r="P353" i="12" s="1"/>
  <c r="AA353" i="12"/>
  <c r="AB353" i="12" s="1"/>
  <c r="K353" i="12"/>
  <c r="U353" i="12"/>
  <c r="V353" i="12" s="1"/>
  <c r="S353" i="12"/>
  <c r="T353" i="12" s="1"/>
  <c r="BO353" i="12"/>
  <c r="Q353" i="12"/>
  <c r="R353" i="12" s="1"/>
  <c r="Y353" i="12"/>
  <c r="Z353" i="12" s="1"/>
  <c r="M353" i="12"/>
  <c r="N353" i="12" s="1"/>
  <c r="L353" i="12"/>
  <c r="BM353" i="12"/>
  <c r="W353" i="12"/>
  <c r="X353" i="12" s="1"/>
  <c r="AC353" i="12"/>
  <c r="AD353" i="12" s="1"/>
  <c r="I353" i="12"/>
  <c r="J353" i="12"/>
  <c r="F353" i="12"/>
  <c r="AM141" i="12"/>
  <c r="AN141" i="12" s="1"/>
  <c r="AO141" i="12" s="1"/>
  <c r="AJ141" i="12"/>
  <c r="AK141" i="12" s="1"/>
  <c r="AZ141" i="12"/>
  <c r="AX141" i="12"/>
  <c r="AV141" i="12"/>
  <c r="BH141" i="12"/>
  <c r="AS141" i="12"/>
  <c r="AT141" i="12" s="1"/>
  <c r="AU141" i="12" s="1"/>
  <c r="AP141" i="12"/>
  <c r="AQ141" i="12" s="1"/>
  <c r="AR141" i="12" s="1"/>
  <c r="BJ141" i="12"/>
  <c r="BB141" i="12"/>
  <c r="BD141" i="12"/>
  <c r="BF141" i="12"/>
  <c r="AV186" i="12"/>
  <c r="BJ186" i="12"/>
  <c r="AS186" i="12"/>
  <c r="AT186" i="12" s="1"/>
  <c r="AU186" i="12" s="1"/>
  <c r="BH186" i="12"/>
  <c r="BF186" i="12"/>
  <c r="AP186" i="12"/>
  <c r="AQ186" i="12" s="1"/>
  <c r="AR186" i="12" s="1"/>
  <c r="AM186" i="12"/>
  <c r="AN186" i="12" s="1"/>
  <c r="AO186" i="12" s="1"/>
  <c r="BB186" i="12"/>
  <c r="BD186" i="12"/>
  <c r="AZ186" i="12"/>
  <c r="AX186" i="12"/>
  <c r="AJ186" i="12"/>
  <c r="AK186" i="12" s="1"/>
  <c r="AH230" i="12"/>
  <c r="BQ230" i="12"/>
  <c r="BR167" i="12"/>
  <c r="AI167" i="12"/>
  <c r="AZ352" i="12"/>
  <c r="AJ352" i="12"/>
  <c r="AK352" i="12" s="1"/>
  <c r="AL352" i="12" s="1"/>
  <c r="AV352" i="12"/>
  <c r="AS352" i="12"/>
  <c r="AT352" i="12" s="1"/>
  <c r="AU352" i="12" s="1"/>
  <c r="BF352" i="12"/>
  <c r="AP352" i="12"/>
  <c r="AQ352" i="12" s="1"/>
  <c r="AR352" i="12" s="1"/>
  <c r="BD352" i="12"/>
  <c r="AM352" i="12"/>
  <c r="AN352" i="12" s="1"/>
  <c r="AO352" i="12" s="1"/>
  <c r="BB352" i="12"/>
  <c r="BH352" i="12"/>
  <c r="AX352" i="12"/>
  <c r="BJ352" i="12"/>
  <c r="AX267" i="12"/>
  <c r="AS267" i="12"/>
  <c r="AT267" i="12" s="1"/>
  <c r="AU267" i="12" s="1"/>
  <c r="BJ267" i="12"/>
  <c r="BH267" i="12"/>
  <c r="AP267" i="12"/>
  <c r="AQ267" i="12" s="1"/>
  <c r="AR267" i="12" s="1"/>
  <c r="BF267" i="12"/>
  <c r="AM267" i="12"/>
  <c r="AN267" i="12" s="1"/>
  <c r="AO267" i="12" s="1"/>
  <c r="BB267" i="12"/>
  <c r="AJ267" i="12"/>
  <c r="AK267" i="12" s="1"/>
  <c r="AV267" i="12"/>
  <c r="AZ267" i="12"/>
  <c r="BD267" i="12"/>
  <c r="J352" i="1"/>
  <c r="G352" i="1"/>
  <c r="BP167" i="12"/>
  <c r="AG167" i="12"/>
  <c r="BN167" i="12"/>
  <c r="BQ355" i="12"/>
  <c r="AH355" i="12"/>
  <c r="BR121" i="12"/>
  <c r="AI121" i="12"/>
  <c r="AH351" i="12"/>
  <c r="BQ351" i="12"/>
  <c r="AG211" i="12"/>
  <c r="BP211" i="12"/>
  <c r="BN211" i="12"/>
  <c r="BR195" i="12"/>
  <c r="AI195" i="12"/>
  <c r="AH179" i="12"/>
  <c r="BQ179" i="12"/>
  <c r="BN147" i="12"/>
  <c r="BP147" i="12"/>
  <c r="AG147" i="12"/>
  <c r="D29" i="12"/>
  <c r="BA29" i="12" s="1"/>
  <c r="D31" i="1"/>
  <c r="BQ102" i="12"/>
  <c r="AH102" i="12"/>
  <c r="BR65" i="12"/>
  <c r="AI65" i="12"/>
  <c r="BQ55" i="12"/>
  <c r="AH55" i="12"/>
  <c r="BQ9" i="12"/>
  <c r="AH9" i="12"/>
  <c r="BR42" i="12"/>
  <c r="AI42" i="12"/>
  <c r="AI16" i="12"/>
  <c r="BR16" i="12"/>
  <c r="BR52" i="12"/>
  <c r="AI52" i="12"/>
  <c r="BP26" i="12"/>
  <c r="AG26" i="12"/>
  <c r="BN26" i="12"/>
  <c r="BR6" i="12"/>
  <c r="AI6" i="12"/>
  <c r="BR302" i="12"/>
  <c r="AI302" i="12"/>
  <c r="AH43" i="12"/>
  <c r="BQ43" i="12"/>
  <c r="BR20" i="12"/>
  <c r="AI20" i="12"/>
  <c r="BR82" i="12"/>
  <c r="AI82" i="12"/>
  <c r="BP69" i="12"/>
  <c r="AG69" i="12"/>
  <c r="BN69" i="12"/>
  <c r="BP333" i="12"/>
  <c r="BN333" i="12"/>
  <c r="AG333" i="12"/>
  <c r="AG31" i="12"/>
  <c r="BP31" i="12"/>
  <c r="BN31" i="12"/>
  <c r="D38" i="12"/>
  <c r="BI38" i="12" s="1"/>
  <c r="D40" i="1"/>
  <c r="BR18" i="12"/>
  <c r="AI18" i="12"/>
  <c r="AH5" i="12"/>
  <c r="BQ5" i="12"/>
  <c r="BP25" i="12"/>
  <c r="AG25" i="12"/>
  <c r="BN25" i="12"/>
  <c r="BH135" i="12"/>
  <c r="AP135" i="12"/>
  <c r="AQ135" i="12" s="1"/>
  <c r="AR135" i="12" s="1"/>
  <c r="BF135" i="12"/>
  <c r="BD135" i="12"/>
  <c r="AM135" i="12"/>
  <c r="AN135" i="12" s="1"/>
  <c r="AO135" i="12" s="1"/>
  <c r="BB135" i="12"/>
  <c r="AJ135" i="12"/>
  <c r="AK135" i="12" s="1"/>
  <c r="AX135" i="12"/>
  <c r="AZ135" i="12"/>
  <c r="BJ135" i="12"/>
  <c r="AS135" i="12"/>
  <c r="AT135" i="12" s="1"/>
  <c r="AU135" i="12" s="1"/>
  <c r="AV135" i="12"/>
  <c r="AV96" i="12"/>
  <c r="BF96" i="12"/>
  <c r="BD96" i="12"/>
  <c r="AM96" i="12"/>
  <c r="AN96" i="12" s="1"/>
  <c r="AO96" i="12" s="1"/>
  <c r="BB96" i="12"/>
  <c r="AJ96" i="12"/>
  <c r="AK96" i="12" s="1"/>
  <c r="AZ96" i="12"/>
  <c r="AX96" i="12"/>
  <c r="AS96" i="12"/>
  <c r="AT96" i="12" s="1"/>
  <c r="AU96" i="12" s="1"/>
  <c r="AP96" i="12"/>
  <c r="AQ96" i="12" s="1"/>
  <c r="AR96" i="12" s="1"/>
  <c r="BH96" i="12"/>
  <c r="BJ96" i="12"/>
  <c r="BF170" i="12"/>
  <c r="AP170" i="12"/>
  <c r="AQ170" i="12" s="1"/>
  <c r="AR170" i="12" s="1"/>
  <c r="AJ170" i="12"/>
  <c r="AK170" i="12" s="1"/>
  <c r="AZ170" i="12"/>
  <c r="AX170" i="12"/>
  <c r="AV170" i="12"/>
  <c r="BH170" i="12"/>
  <c r="BJ170" i="12"/>
  <c r="BD170" i="12"/>
  <c r="AM170" i="12"/>
  <c r="AN170" i="12" s="1"/>
  <c r="AO170" i="12" s="1"/>
  <c r="AS170" i="12"/>
  <c r="AT170" i="12" s="1"/>
  <c r="AU170" i="12" s="1"/>
  <c r="BB170" i="12"/>
  <c r="G358" i="3"/>
  <c r="H358" i="3"/>
  <c r="F359" i="3"/>
  <c r="BD283" i="12"/>
  <c r="BH283" i="12"/>
  <c r="AP283" i="12"/>
  <c r="AQ283" i="12" s="1"/>
  <c r="AR283" i="12" s="1"/>
  <c r="BB283" i="12"/>
  <c r="AJ283" i="12"/>
  <c r="AK283" i="12" s="1"/>
  <c r="AS283" i="12"/>
  <c r="AT283" i="12" s="1"/>
  <c r="AU283" i="12" s="1"/>
  <c r="AM283" i="12"/>
  <c r="AN283" i="12" s="1"/>
  <c r="AO283" i="12" s="1"/>
  <c r="BJ283" i="12"/>
  <c r="BF283" i="12"/>
  <c r="AZ283" i="12"/>
  <c r="AX283" i="12"/>
  <c r="AV283" i="12"/>
  <c r="AV205" i="12"/>
  <c r="BJ205" i="12"/>
  <c r="AS205" i="12"/>
  <c r="AT205" i="12" s="1"/>
  <c r="AU205" i="12" s="1"/>
  <c r="BH205" i="12"/>
  <c r="BF205" i="12"/>
  <c r="AP205" i="12"/>
  <c r="AQ205" i="12" s="1"/>
  <c r="AR205" i="12" s="1"/>
  <c r="BD205" i="12"/>
  <c r="AX205" i="12"/>
  <c r="AM205" i="12"/>
  <c r="AN205" i="12" s="1"/>
  <c r="AO205" i="12" s="1"/>
  <c r="AJ205" i="12"/>
  <c r="AK205" i="12" s="1"/>
  <c r="BB205" i="12"/>
  <c r="AZ205" i="12"/>
  <c r="BB122" i="12"/>
  <c r="BD122" i="12"/>
  <c r="AM122" i="12"/>
  <c r="AN122" i="12" s="1"/>
  <c r="AO122" i="12" s="1"/>
  <c r="AJ122" i="12"/>
  <c r="AK122" i="12" s="1"/>
  <c r="AZ122" i="12"/>
  <c r="AS122" i="12"/>
  <c r="AT122" i="12" s="1"/>
  <c r="AU122" i="12" s="1"/>
  <c r="AP122" i="12"/>
  <c r="AQ122" i="12" s="1"/>
  <c r="AR122" i="12" s="1"/>
  <c r="BJ122" i="12"/>
  <c r="BH122" i="12"/>
  <c r="BF122" i="12"/>
  <c r="AX122" i="12"/>
  <c r="AV122" i="12"/>
  <c r="BQ229" i="12"/>
  <c r="AH229" i="12"/>
  <c r="BR98" i="12"/>
  <c r="AI98" i="12"/>
  <c r="BR61" i="12"/>
  <c r="AI61" i="12"/>
  <c r="BP351" i="12"/>
  <c r="BN351" i="12"/>
  <c r="AG351" i="12"/>
  <c r="AG335" i="12"/>
  <c r="BP335" i="12"/>
  <c r="BN335" i="12"/>
  <c r="BR311" i="12"/>
  <c r="AI311" i="12"/>
  <c r="BQ150" i="12"/>
  <c r="AH150" i="12"/>
  <c r="BQ105" i="12"/>
  <c r="AH105" i="12"/>
  <c r="BQ68" i="12"/>
  <c r="AH68" i="12"/>
  <c r="BR324" i="12"/>
  <c r="AI324" i="12"/>
  <c r="BP248" i="12"/>
  <c r="AG248" i="12"/>
  <c r="BN248" i="12"/>
  <c r="BR232" i="12"/>
  <c r="AI232" i="12"/>
  <c r="BQ115" i="12"/>
  <c r="AH115" i="12"/>
  <c r="BR224" i="12"/>
  <c r="AI224" i="12"/>
  <c r="BP65" i="12"/>
  <c r="AG65" i="12"/>
  <c r="BN65" i="12"/>
  <c r="AI286" i="12"/>
  <c r="BR286" i="12"/>
  <c r="BP3" i="12"/>
  <c r="AG3" i="12"/>
  <c r="BN3" i="12"/>
  <c r="AI307" i="12"/>
  <c r="BR307" i="12"/>
  <c r="BN62" i="12"/>
  <c r="AG62" i="12"/>
  <c r="BP62" i="12"/>
  <c r="BP30" i="12"/>
  <c r="AG30" i="12"/>
  <c r="BN30" i="12"/>
  <c r="BQ330" i="12"/>
  <c r="AH330" i="12"/>
  <c r="BQ4" i="12"/>
  <c r="AH4" i="12"/>
  <c r="AX346" i="12"/>
  <c r="AZ346" i="12"/>
  <c r="AJ346" i="12"/>
  <c r="AK346" i="12" s="1"/>
  <c r="AS346" i="12"/>
  <c r="AT346" i="12" s="1"/>
  <c r="AU346" i="12" s="1"/>
  <c r="BJ346" i="12"/>
  <c r="AV346" i="12"/>
  <c r="AP346" i="12"/>
  <c r="AQ346" i="12" s="1"/>
  <c r="AR346" i="12" s="1"/>
  <c r="BH346" i="12"/>
  <c r="BF346" i="12"/>
  <c r="BD346" i="12"/>
  <c r="BB346" i="12"/>
  <c r="AM346" i="12"/>
  <c r="AN346" i="12" s="1"/>
  <c r="AO346" i="12" s="1"/>
  <c r="BF154" i="12"/>
  <c r="AP154" i="12"/>
  <c r="AQ154" i="12" s="1"/>
  <c r="AR154" i="12" s="1"/>
  <c r="AZ154" i="12"/>
  <c r="AX154" i="12"/>
  <c r="AV154" i="12"/>
  <c r="BJ154" i="12"/>
  <c r="AS154" i="12"/>
  <c r="AT154" i="12" s="1"/>
  <c r="AU154" i="12" s="1"/>
  <c r="BH154" i="12"/>
  <c r="BD154" i="12"/>
  <c r="BB154" i="12"/>
  <c r="AJ154" i="12"/>
  <c r="AK154" i="12" s="1"/>
  <c r="AM154" i="12"/>
  <c r="AN154" i="12" s="1"/>
  <c r="AO154" i="12" s="1"/>
  <c r="V371" i="3"/>
  <c r="W369" i="3" s="1"/>
  <c r="J377" i="3" s="1"/>
  <c r="BR355" i="12"/>
  <c r="AI355" i="12"/>
  <c r="BF119" i="12"/>
  <c r="BD119" i="12"/>
  <c r="AM119" i="12"/>
  <c r="AN119" i="12" s="1"/>
  <c r="AO119" i="12" s="1"/>
  <c r="BH119" i="12"/>
  <c r="AJ119" i="12"/>
  <c r="AK119" i="12" s="1"/>
  <c r="BB119" i="12"/>
  <c r="AZ119" i="12"/>
  <c r="AV119" i="12"/>
  <c r="BJ119" i="12"/>
  <c r="AX119" i="12"/>
  <c r="AS119" i="12"/>
  <c r="AT119" i="12" s="1"/>
  <c r="AU119" i="12" s="1"/>
  <c r="AP119" i="12"/>
  <c r="AQ119" i="12" s="1"/>
  <c r="AR119" i="12" s="1"/>
  <c r="BF259" i="12"/>
  <c r="AP259" i="12"/>
  <c r="AQ259" i="12" s="1"/>
  <c r="AR259" i="12" s="1"/>
  <c r="AM259" i="12"/>
  <c r="AN259" i="12" s="1"/>
  <c r="AO259" i="12" s="1"/>
  <c r="BD259" i="12"/>
  <c r="BB259" i="12"/>
  <c r="AJ259" i="12"/>
  <c r="AK259" i="12" s="1"/>
  <c r="AZ259" i="12"/>
  <c r="AX259" i="12"/>
  <c r="BH259" i="12"/>
  <c r="AV259" i="12"/>
  <c r="AS259" i="12"/>
  <c r="AT259" i="12" s="1"/>
  <c r="AU259" i="12" s="1"/>
  <c r="BJ259" i="12"/>
  <c r="AS173" i="12"/>
  <c r="AT173" i="12" s="1"/>
  <c r="AU173" i="12" s="1"/>
  <c r="AV173" i="12"/>
  <c r="AP173" i="12"/>
  <c r="AQ173" i="12" s="1"/>
  <c r="AR173" i="12" s="1"/>
  <c r="BJ173" i="12"/>
  <c r="BH173" i="12"/>
  <c r="AM173" i="12"/>
  <c r="AN173" i="12" s="1"/>
  <c r="AO173" i="12" s="1"/>
  <c r="BF173" i="12"/>
  <c r="BD173" i="12"/>
  <c r="AJ173" i="12"/>
  <c r="AK173" i="12" s="1"/>
  <c r="BB173" i="12"/>
  <c r="AZ173" i="12"/>
  <c r="AX173" i="12"/>
  <c r="BH275" i="12"/>
  <c r="BD275" i="12"/>
  <c r="AM275" i="12"/>
  <c r="AN275" i="12" s="1"/>
  <c r="AO275" i="12" s="1"/>
  <c r="BB275" i="12"/>
  <c r="AJ275" i="12"/>
  <c r="AK275" i="12" s="1"/>
  <c r="AX275" i="12"/>
  <c r="AV275" i="12"/>
  <c r="BJ275" i="12"/>
  <c r="BF275" i="12"/>
  <c r="AZ275" i="12"/>
  <c r="AS275" i="12"/>
  <c r="AT275" i="12" s="1"/>
  <c r="AU275" i="12" s="1"/>
  <c r="AP275" i="12"/>
  <c r="AQ275" i="12" s="1"/>
  <c r="AR275" i="12" s="1"/>
  <c r="AZ106" i="12"/>
  <c r="AJ106" i="12"/>
  <c r="AK106" i="12" s="1"/>
  <c r="AL106" i="12" s="1"/>
  <c r="AX106" i="12"/>
  <c r="AV106" i="12"/>
  <c r="BJ106" i="12"/>
  <c r="AS106" i="12"/>
  <c r="AT106" i="12" s="1"/>
  <c r="AU106" i="12" s="1"/>
  <c r="AP106" i="12"/>
  <c r="AQ106" i="12" s="1"/>
  <c r="AR106" i="12" s="1"/>
  <c r="AM106" i="12"/>
  <c r="AN106" i="12" s="1"/>
  <c r="AO106" i="12" s="1"/>
  <c r="BH106" i="12"/>
  <c r="BF106" i="12"/>
  <c r="BD106" i="12"/>
  <c r="BB106" i="12"/>
  <c r="AS251" i="12"/>
  <c r="AT251" i="12" s="1"/>
  <c r="AU251" i="12" s="1"/>
  <c r="AV251" i="12"/>
  <c r="BJ251" i="12"/>
  <c r="BH251" i="12"/>
  <c r="AP251" i="12"/>
  <c r="AQ251" i="12" s="1"/>
  <c r="AR251" i="12" s="1"/>
  <c r="BF251" i="12"/>
  <c r="BB251" i="12"/>
  <c r="BD251" i="12"/>
  <c r="AZ251" i="12"/>
  <c r="AX251" i="12"/>
  <c r="AJ251" i="12"/>
  <c r="AK251" i="12" s="1"/>
  <c r="AL251" i="12" s="1"/>
  <c r="AM251" i="12"/>
  <c r="AN251" i="12" s="1"/>
  <c r="AO251" i="12" s="1"/>
  <c r="BR221" i="12"/>
  <c r="AI221" i="12"/>
  <c r="BB138" i="12"/>
  <c r="BF138" i="12"/>
  <c r="BD138" i="12"/>
  <c r="AM138" i="12"/>
  <c r="AN138" i="12" s="1"/>
  <c r="AO138" i="12" s="1"/>
  <c r="AJ138" i="12"/>
  <c r="AK138" i="12" s="1"/>
  <c r="AZ138" i="12"/>
  <c r="AV138" i="12"/>
  <c r="AP138" i="12"/>
  <c r="AQ138" i="12" s="1"/>
  <c r="AR138" i="12" s="1"/>
  <c r="BH138" i="12"/>
  <c r="AX138" i="12"/>
  <c r="BJ138" i="12"/>
  <c r="AS138" i="12"/>
  <c r="AT138" i="12" s="1"/>
  <c r="AU138" i="12" s="1"/>
  <c r="AI35" i="12"/>
  <c r="BR35" i="12"/>
  <c r="BB246" i="12"/>
  <c r="AJ246" i="12"/>
  <c r="AK246" i="12" s="1"/>
  <c r="AL246" i="12" s="1"/>
  <c r="AZ246" i="12"/>
  <c r="AX246" i="12"/>
  <c r="AV246" i="12"/>
  <c r="BJ246" i="12"/>
  <c r="AS246" i="12"/>
  <c r="AT246" i="12" s="1"/>
  <c r="AU246" i="12" s="1"/>
  <c r="BH246" i="12"/>
  <c r="BF246" i="12"/>
  <c r="BD246" i="12"/>
  <c r="AP246" i="12"/>
  <c r="AQ246" i="12" s="1"/>
  <c r="AR246" i="12" s="1"/>
  <c r="AM246" i="12"/>
  <c r="AN246" i="12" s="1"/>
  <c r="AO246" i="12" s="1"/>
  <c r="BO197" i="12"/>
  <c r="Q197" i="12"/>
  <c r="R197" i="12" s="1"/>
  <c r="U197" i="12"/>
  <c r="V197" i="12" s="1"/>
  <c r="S197" i="12"/>
  <c r="T197" i="12" s="1"/>
  <c r="O197" i="12"/>
  <c r="P197" i="12" s="1"/>
  <c r="AE197" i="12"/>
  <c r="AF197" i="12" s="1"/>
  <c r="M197" i="12"/>
  <c r="N197" i="12" s="1"/>
  <c r="AC197" i="12"/>
  <c r="AD197" i="12" s="1"/>
  <c r="K197" i="12"/>
  <c r="J197" i="12"/>
  <c r="AA197" i="12"/>
  <c r="AB197" i="12" s="1"/>
  <c r="Y197" i="12"/>
  <c r="Z197" i="12" s="1"/>
  <c r="L197" i="12"/>
  <c r="I197" i="12"/>
  <c r="W197" i="12"/>
  <c r="X197" i="12" s="1"/>
  <c r="F197" i="12"/>
  <c r="BB151" i="12"/>
  <c r="AJ151" i="12"/>
  <c r="AK151" i="12" s="1"/>
  <c r="AZ151" i="12"/>
  <c r="AX151" i="12"/>
  <c r="AV151" i="12"/>
  <c r="AS151" i="12"/>
  <c r="AT151" i="12" s="1"/>
  <c r="AU151" i="12" s="1"/>
  <c r="AP151" i="12"/>
  <c r="AQ151" i="12" s="1"/>
  <c r="AR151" i="12" s="1"/>
  <c r="AM151" i="12"/>
  <c r="AN151" i="12" s="1"/>
  <c r="AO151" i="12" s="1"/>
  <c r="BJ151" i="12"/>
  <c r="BH151" i="12"/>
  <c r="BF151" i="12"/>
  <c r="BD151" i="12"/>
  <c r="AV157" i="12"/>
  <c r="BJ157" i="12"/>
  <c r="AS157" i="12"/>
  <c r="AT157" i="12" s="1"/>
  <c r="AU157" i="12" s="1"/>
  <c r="BH157" i="12"/>
  <c r="AP157" i="12"/>
  <c r="AQ157" i="12" s="1"/>
  <c r="AR157" i="12" s="1"/>
  <c r="BF157" i="12"/>
  <c r="BD157" i="12"/>
  <c r="AM157" i="12"/>
  <c r="AN157" i="12" s="1"/>
  <c r="AO157" i="12" s="1"/>
  <c r="BB157" i="12"/>
  <c r="AX157" i="12"/>
  <c r="AZ157" i="12"/>
  <c r="AJ157" i="12"/>
  <c r="AK157" i="12" s="1"/>
  <c r="BP117" i="12"/>
  <c r="AG117" i="12"/>
  <c r="BN117" i="12"/>
  <c r="BR101" i="12"/>
  <c r="AI101" i="12"/>
  <c r="AG74" i="12"/>
  <c r="BN74" i="12"/>
  <c r="BP74" i="12"/>
  <c r="BN27" i="12"/>
  <c r="AG27" i="12"/>
  <c r="BP27" i="12"/>
  <c r="BP345" i="12"/>
  <c r="AG345" i="12"/>
  <c r="BN345" i="12"/>
  <c r="AH156" i="12"/>
  <c r="BQ156" i="12"/>
  <c r="AH44" i="12"/>
  <c r="BQ44" i="12"/>
  <c r="BQ285" i="12"/>
  <c r="AH285" i="12"/>
  <c r="BP237" i="12"/>
  <c r="AG237" i="12"/>
  <c r="BN237" i="12"/>
  <c r="BR185" i="12"/>
  <c r="AI185" i="12"/>
  <c r="AG282" i="12"/>
  <c r="BN282" i="12"/>
  <c r="BP282" i="12"/>
  <c r="BP232" i="12"/>
  <c r="AG232" i="12"/>
  <c r="BN232" i="12"/>
  <c r="AH211" i="12"/>
  <c r="BQ211" i="12"/>
  <c r="AG195" i="12"/>
  <c r="BP195" i="12"/>
  <c r="BN195" i="12"/>
  <c r="BR115" i="12"/>
  <c r="AI115" i="12"/>
  <c r="AH48" i="12"/>
  <c r="BQ48" i="12"/>
  <c r="BP144" i="12"/>
  <c r="AG144" i="12"/>
  <c r="BN144" i="12"/>
  <c r="AH128" i="12"/>
  <c r="BQ128" i="12"/>
  <c r="BP102" i="12"/>
  <c r="BN102" i="12"/>
  <c r="AG102" i="12"/>
  <c r="BQ32" i="12"/>
  <c r="AH32" i="12"/>
  <c r="AI299" i="12"/>
  <c r="BR299" i="12"/>
  <c r="AH72" i="12"/>
  <c r="BQ72" i="12"/>
  <c r="BR43" i="12"/>
  <c r="AI43" i="12"/>
  <c r="BP63" i="12"/>
  <c r="AG63" i="12"/>
  <c r="BN63" i="12"/>
  <c r="D12" i="12"/>
  <c r="AW12" i="12" s="1"/>
  <c r="D14" i="1"/>
  <c r="AI79" i="12"/>
  <c r="BR79" i="12"/>
  <c r="BP221" i="12"/>
  <c r="AG221" i="12"/>
  <c r="BN221" i="12"/>
  <c r="AV254" i="12"/>
  <c r="BJ254" i="12"/>
  <c r="BH254" i="12"/>
  <c r="BF254" i="12"/>
  <c r="AP254" i="12"/>
  <c r="AQ254" i="12" s="1"/>
  <c r="AR254" i="12" s="1"/>
  <c r="AM254" i="12"/>
  <c r="AN254" i="12" s="1"/>
  <c r="AO254" i="12" s="1"/>
  <c r="AJ254" i="12"/>
  <c r="AK254" i="12" s="1"/>
  <c r="AL254" i="12" s="1"/>
  <c r="BD254" i="12"/>
  <c r="AZ254" i="12"/>
  <c r="AX254" i="12"/>
  <c r="BB254" i="12"/>
  <c r="AS254" i="12"/>
  <c r="AT254" i="12" s="1"/>
  <c r="AU254" i="12" s="1"/>
  <c r="BP35" i="12"/>
  <c r="AG35" i="12"/>
  <c r="BN35" i="12"/>
  <c r="BF238" i="12"/>
  <c r="AP238" i="12"/>
  <c r="AQ238" i="12" s="1"/>
  <c r="AR238" i="12" s="1"/>
  <c r="AJ238" i="12"/>
  <c r="AK238" i="12" s="1"/>
  <c r="AL238" i="12" s="1"/>
  <c r="AZ238" i="12"/>
  <c r="AX238" i="12"/>
  <c r="AV238" i="12"/>
  <c r="BH238" i="12"/>
  <c r="BD238" i="12"/>
  <c r="BB238" i="12"/>
  <c r="AS238" i="12"/>
  <c r="AT238" i="12" s="1"/>
  <c r="AU238" i="12" s="1"/>
  <c r="AM238" i="12"/>
  <c r="AN238" i="12" s="1"/>
  <c r="AO238" i="12" s="1"/>
  <c r="BJ238" i="12"/>
  <c r="BD243" i="12"/>
  <c r="AM243" i="12"/>
  <c r="AN243" i="12" s="1"/>
  <c r="AO243" i="12" s="1"/>
  <c r="BB243" i="12"/>
  <c r="AJ243" i="12"/>
  <c r="AK243" i="12" s="1"/>
  <c r="AL243" i="12" s="1"/>
  <c r="AZ243" i="12"/>
  <c r="AX243" i="12"/>
  <c r="BJ243" i="12"/>
  <c r="BH243" i="12"/>
  <c r="BF243" i="12"/>
  <c r="AS243" i="12"/>
  <c r="AT243" i="12" s="1"/>
  <c r="AU243" i="12" s="1"/>
  <c r="AV243" i="12"/>
  <c r="AP243" i="12"/>
  <c r="AQ243" i="12" s="1"/>
  <c r="AR243" i="12" s="1"/>
  <c r="BQ71" i="12"/>
  <c r="AH71" i="12"/>
  <c r="AI288" i="12"/>
  <c r="BR288" i="12"/>
  <c r="BP245" i="12"/>
  <c r="AG245" i="12"/>
  <c r="BN245" i="12"/>
  <c r="BP185" i="12"/>
  <c r="BN185" i="12"/>
  <c r="AG185" i="12"/>
  <c r="BQ98" i="12"/>
  <c r="AH98" i="12"/>
  <c r="BR351" i="12"/>
  <c r="AI351" i="12"/>
  <c r="AH340" i="12"/>
  <c r="BQ340" i="12"/>
  <c r="AH335" i="12"/>
  <c r="BQ335" i="12"/>
  <c r="BP166" i="12"/>
  <c r="AG166" i="12"/>
  <c r="BN166" i="12"/>
  <c r="BP150" i="12"/>
  <c r="AG150" i="12"/>
  <c r="BN150" i="12"/>
  <c r="BR134" i="12"/>
  <c r="AI134" i="12"/>
  <c r="BN95" i="12"/>
  <c r="AG95" i="12"/>
  <c r="BP95" i="12"/>
  <c r="AI291" i="12"/>
  <c r="BR291" i="12"/>
  <c r="BN224" i="12"/>
  <c r="BP224" i="12"/>
  <c r="AG224" i="12"/>
  <c r="BP192" i="12"/>
  <c r="AG192" i="12"/>
  <c r="BN192" i="12"/>
  <c r="D99" i="12"/>
  <c r="BK99" i="12" s="1"/>
  <c r="D101" i="1"/>
  <c r="AH327" i="12"/>
  <c r="BQ327" i="12"/>
  <c r="BQ294" i="12"/>
  <c r="AH294" i="12"/>
  <c r="BQ62" i="12"/>
  <c r="AH62" i="12"/>
  <c r="D31" i="12"/>
  <c r="BA31" i="12" s="1"/>
  <c r="D33" i="1"/>
  <c r="BN330" i="12"/>
  <c r="AG330" i="12"/>
  <c r="BP330" i="12"/>
  <c r="AH89" i="12"/>
  <c r="BQ89" i="12"/>
  <c r="BN24" i="12"/>
  <c r="AG24" i="12"/>
  <c r="BP24" i="12"/>
  <c r="BR99" i="12"/>
  <c r="AI99" i="12"/>
  <c r="BP18" i="12"/>
  <c r="AG18" i="12"/>
  <c r="BN18" i="12"/>
  <c r="BQ15" i="12"/>
  <c r="AH15" i="12"/>
  <c r="BP13" i="12"/>
  <c r="AG13" i="12"/>
  <c r="BN13" i="12"/>
  <c r="BQ342" i="12"/>
  <c r="AH342" i="12"/>
  <c r="BP130" i="12"/>
  <c r="AG130" i="12"/>
  <c r="D102" i="12"/>
  <c r="D104" i="1"/>
  <c r="AH57" i="12"/>
  <c r="BQ57" i="12"/>
  <c r="BQ101" i="12"/>
  <c r="AH101" i="12"/>
  <c r="BP64" i="12"/>
  <c r="AG64" i="12"/>
  <c r="BN64" i="12"/>
  <c r="D18" i="12"/>
  <c r="AY18" i="12" s="1"/>
  <c r="D20" i="1"/>
  <c r="BQ329" i="12"/>
  <c r="AH329" i="12"/>
  <c r="AI54" i="12"/>
  <c r="BR54" i="12"/>
  <c r="D25" i="12"/>
  <c r="AW25" i="12" s="1"/>
  <c r="D27" i="1"/>
  <c r="AI354" i="12"/>
  <c r="BR354" i="12"/>
  <c r="BQ245" i="12"/>
  <c r="AH245" i="12"/>
  <c r="AG201" i="12"/>
  <c r="BP201" i="12"/>
  <c r="BN137" i="12"/>
  <c r="AG137" i="12"/>
  <c r="BP137" i="12"/>
  <c r="BQ34" i="12"/>
  <c r="AH34" i="12"/>
  <c r="BR282" i="12"/>
  <c r="AI282" i="12"/>
  <c r="BR105" i="12"/>
  <c r="AI105" i="12"/>
  <c r="BP324" i="12"/>
  <c r="BN324" i="12"/>
  <c r="AG324" i="12"/>
  <c r="AI277" i="12"/>
  <c r="BR277" i="12"/>
  <c r="BQ256" i="12"/>
  <c r="AH256" i="12"/>
  <c r="AG58" i="12"/>
  <c r="BP58" i="12"/>
  <c r="BN58" i="12"/>
  <c r="BP11" i="12"/>
  <c r="AG11" i="12"/>
  <c r="BN11" i="12"/>
  <c r="AI192" i="12"/>
  <c r="BR192" i="12"/>
  <c r="AH144" i="12"/>
  <c r="BQ144" i="12"/>
  <c r="BQ65" i="12"/>
  <c r="AH65" i="12"/>
  <c r="BQ28" i="12"/>
  <c r="AH28" i="12"/>
  <c r="AG45" i="12"/>
  <c r="BN45" i="12"/>
  <c r="BP45" i="12"/>
  <c r="AH16" i="12"/>
  <c r="BQ16" i="12"/>
  <c r="BR314" i="12"/>
  <c r="AI314" i="12"/>
  <c r="BP23" i="12"/>
  <c r="AG23" i="12"/>
  <c r="BN23" i="12"/>
  <c r="AG302" i="12"/>
  <c r="BP302" i="12"/>
  <c r="BN302" i="12"/>
  <c r="BQ69" i="12"/>
  <c r="AH69" i="12"/>
  <c r="BP4" i="12"/>
  <c r="BN4" i="12"/>
  <c r="AG4" i="12"/>
  <c r="BN99" i="12"/>
  <c r="AG99" i="12"/>
  <c r="BP99" i="12"/>
  <c r="BP79" i="12"/>
  <c r="BN79" i="12"/>
  <c r="AG79" i="12"/>
  <c r="BP53" i="12"/>
  <c r="AG53" i="12"/>
  <c r="BR8" i="12"/>
  <c r="AI8" i="12"/>
  <c r="BB215" i="12"/>
  <c r="BH215" i="12"/>
  <c r="AP215" i="12"/>
  <c r="AQ215" i="12" s="1"/>
  <c r="AR215" i="12" s="1"/>
  <c r="BF215" i="12"/>
  <c r="BD215" i="12"/>
  <c r="AM215" i="12"/>
  <c r="AN215" i="12" s="1"/>
  <c r="AO215" i="12" s="1"/>
  <c r="AJ215" i="12"/>
  <c r="AK215" i="12" s="1"/>
  <c r="AZ215" i="12"/>
  <c r="AX215" i="12"/>
  <c r="BJ215" i="12"/>
  <c r="AV215" i="12"/>
  <c r="AS215" i="12"/>
  <c r="AT215" i="12" s="1"/>
  <c r="AU215" i="12" s="1"/>
  <c r="J45" i="1"/>
  <c r="G45" i="1"/>
  <c r="BR230" i="12"/>
  <c r="AI230" i="12"/>
  <c r="BB235" i="12"/>
  <c r="AJ235" i="12"/>
  <c r="AK235" i="12" s="1"/>
  <c r="AL235" i="12" s="1"/>
  <c r="AZ235" i="12"/>
  <c r="AX235" i="12"/>
  <c r="AV235" i="12"/>
  <c r="BJ235" i="12"/>
  <c r="AS235" i="12"/>
  <c r="AT235" i="12" s="1"/>
  <c r="AU235" i="12" s="1"/>
  <c r="BF235" i="12"/>
  <c r="BD235" i="12"/>
  <c r="AP235" i="12"/>
  <c r="AQ235" i="12" s="1"/>
  <c r="AR235" i="12" s="1"/>
  <c r="AM235" i="12"/>
  <c r="AN235" i="12" s="1"/>
  <c r="AO235" i="12" s="1"/>
  <c r="BH235" i="12"/>
  <c r="BJ227" i="12"/>
  <c r="AS227" i="12"/>
  <c r="AT227" i="12" s="1"/>
  <c r="AU227" i="12" s="1"/>
  <c r="BH227" i="12"/>
  <c r="AP227" i="12"/>
  <c r="AQ227" i="12" s="1"/>
  <c r="AR227" i="12" s="1"/>
  <c r="BF227" i="12"/>
  <c r="BD227" i="12"/>
  <c r="AM227" i="12"/>
  <c r="AN227" i="12" s="1"/>
  <c r="AO227" i="12" s="1"/>
  <c r="AJ227" i="12"/>
  <c r="AK227" i="12" s="1"/>
  <c r="AL227" i="12" s="1"/>
  <c r="BB227" i="12"/>
  <c r="AZ227" i="12"/>
  <c r="AX227" i="12"/>
  <c r="AV227" i="12"/>
  <c r="AI316" i="12"/>
  <c r="BR316" i="12"/>
  <c r="BQ182" i="12"/>
  <c r="AH182" i="12"/>
  <c r="BP256" i="12"/>
  <c r="BN256" i="12"/>
  <c r="AG256" i="12"/>
  <c r="BR211" i="12"/>
  <c r="AI211" i="12"/>
  <c r="BR163" i="12"/>
  <c r="AI163" i="12"/>
  <c r="D2" i="12"/>
  <c r="AW2" i="12" s="1"/>
  <c r="D4" i="1"/>
  <c r="BQ272" i="12"/>
  <c r="AH272" i="12"/>
  <c r="AG16" i="12"/>
  <c r="BP16" i="12"/>
  <c r="BN16" i="12"/>
  <c r="BN314" i="12"/>
  <c r="BP314" i="12"/>
  <c r="AG314" i="12"/>
  <c r="BQ26" i="12"/>
  <c r="AH26" i="12"/>
  <c r="BQ3" i="12"/>
  <c r="AH3" i="12"/>
  <c r="BP89" i="12"/>
  <c r="AG89" i="12"/>
  <c r="BN89" i="12"/>
  <c r="BR31" i="12"/>
  <c r="AI31" i="12"/>
  <c r="AI5" i="12"/>
  <c r="BR5" i="12"/>
  <c r="BP230" i="12"/>
  <c r="BN230" i="12"/>
  <c r="AG230" i="12"/>
  <c r="D53" i="12" l="1"/>
  <c r="BK53" i="12" s="1"/>
  <c r="D60" i="12"/>
  <c r="BI60" i="12" s="1"/>
  <c r="D51" i="1"/>
  <c r="J51" i="1" s="1"/>
  <c r="D113" i="1"/>
  <c r="G113" i="1" s="1"/>
  <c r="D120" i="12"/>
  <c r="AE120" i="12" s="1"/>
  <c r="AF120" i="12" s="1"/>
  <c r="D50" i="1"/>
  <c r="J50" i="1" s="1"/>
  <c r="D135" i="12"/>
  <c r="BE135" i="12" s="1"/>
  <c r="BG21" i="12"/>
  <c r="D216" i="1"/>
  <c r="G216" i="1" s="1"/>
  <c r="D46" i="12"/>
  <c r="U46" i="12" s="1"/>
  <c r="V46" i="12" s="1"/>
  <c r="BE182" i="12"/>
  <c r="D155" i="1"/>
  <c r="J155" i="1" s="1"/>
  <c r="AG22" i="12"/>
  <c r="AG126" i="12"/>
  <c r="D134" i="12"/>
  <c r="BI134" i="12" s="1"/>
  <c r="BQ160" i="12"/>
  <c r="D150" i="1"/>
  <c r="J150" i="1" s="1"/>
  <c r="BP322" i="12"/>
  <c r="BR126" i="12"/>
  <c r="D66" i="12"/>
  <c r="U66" i="12" s="1"/>
  <c r="V66" i="12" s="1"/>
  <c r="D116" i="12"/>
  <c r="BM116" i="12" s="1"/>
  <c r="I118" i="1" s="1"/>
  <c r="I373" i="3"/>
  <c r="C373" i="3" s="1"/>
  <c r="C389" i="3" s="1"/>
  <c r="D154" i="12"/>
  <c r="BA154" i="12" s="1"/>
  <c r="BP90" i="12"/>
  <c r="D172" i="12"/>
  <c r="AY172" i="12" s="1"/>
  <c r="AH322" i="12"/>
  <c r="AG92" i="12"/>
  <c r="D72" i="1"/>
  <c r="J72" i="1" s="1"/>
  <c r="F60" i="9" a="1"/>
  <c r="F60" i="9" s="1"/>
  <c r="F239" i="8" s="1"/>
  <c r="C239" i="8" s="1"/>
  <c r="BR350" i="12"/>
  <c r="D96" i="12"/>
  <c r="BI96" i="12" s="1"/>
  <c r="BI109" i="12"/>
  <c r="BA117" i="12"/>
  <c r="AE117" i="12"/>
  <c r="AF117" i="12" s="1"/>
  <c r="H260" i="8"/>
  <c r="C260" i="8" s="1"/>
  <c r="D259" i="12" s="1"/>
  <c r="AY259" i="12" s="1"/>
  <c r="AL117" i="12"/>
  <c r="BG133" i="12"/>
  <c r="BM194" i="12"/>
  <c r="I196" i="1" s="1"/>
  <c r="BK133" i="12"/>
  <c r="BQ317" i="12"/>
  <c r="Y133" i="12"/>
  <c r="Z133" i="12" s="1"/>
  <c r="D147" i="1"/>
  <c r="G147" i="1" s="1"/>
  <c r="D152" i="1"/>
  <c r="J152" i="1" s="1"/>
  <c r="BA177" i="12"/>
  <c r="I133" i="12"/>
  <c r="AH274" i="12"/>
  <c r="O43" i="12"/>
  <c r="P43" i="12" s="1"/>
  <c r="BR339" i="12"/>
  <c r="D190" i="1"/>
  <c r="J190" i="1" s="1"/>
  <c r="AW3" i="12"/>
  <c r="L152" i="12"/>
  <c r="D162" i="1"/>
  <c r="G162" i="1" s="1"/>
  <c r="BC117" i="12"/>
  <c r="D212" i="12"/>
  <c r="W212" i="12" s="1"/>
  <c r="X212" i="12" s="1"/>
  <c r="AG85" i="12"/>
  <c r="J104" i="12"/>
  <c r="D206" i="12"/>
  <c r="AY206" i="12" s="1"/>
  <c r="L133" i="12"/>
  <c r="K104" i="12"/>
  <c r="D133" i="1"/>
  <c r="G133" i="1" s="1"/>
  <c r="M133" i="12"/>
  <c r="N133" i="12" s="1"/>
  <c r="BR85" i="12"/>
  <c r="J11" i="2"/>
  <c r="K11" i="2" s="1"/>
  <c r="AA104" i="12"/>
  <c r="AB104" i="12" s="1"/>
  <c r="AG334" i="12"/>
  <c r="D182" i="1"/>
  <c r="G182" i="1" s="1"/>
  <c r="L104" i="12"/>
  <c r="D183" i="12"/>
  <c r="U183" i="12" s="1"/>
  <c r="V183" i="12" s="1"/>
  <c r="BR46" i="12"/>
  <c r="AC117" i="12"/>
  <c r="AD117" i="12" s="1"/>
  <c r="BM133" i="12"/>
  <c r="I135" i="1" s="1"/>
  <c r="K117" i="12"/>
  <c r="F133" i="12"/>
  <c r="F15" i="12"/>
  <c r="M104" i="12"/>
  <c r="N104" i="12" s="1"/>
  <c r="O117" i="12"/>
  <c r="P117" i="12" s="1"/>
  <c r="W133" i="12"/>
  <c r="X133" i="12" s="1"/>
  <c r="AC104" i="12"/>
  <c r="AD104" i="12" s="1"/>
  <c r="AA71" i="12"/>
  <c r="AB71" i="12" s="1"/>
  <c r="BN160" i="12"/>
  <c r="F51" i="9" a="1"/>
  <c r="F51" i="9" s="1"/>
  <c r="H273" i="8" s="1"/>
  <c r="C273" i="8" s="1"/>
  <c r="BN334" i="12"/>
  <c r="AH296" i="12"/>
  <c r="F104" i="12"/>
  <c r="D215" i="12"/>
  <c r="H215" i="12" s="1"/>
  <c r="D114" i="12"/>
  <c r="H114" i="12" s="1"/>
  <c r="W3" i="12"/>
  <c r="X3" i="12" s="1"/>
  <c r="BM104" i="12"/>
  <c r="I106" i="1" s="1"/>
  <c r="D57" i="12"/>
  <c r="BA57" i="12" s="1"/>
  <c r="BR168" i="12"/>
  <c r="H3" i="12"/>
  <c r="BO104" i="12"/>
  <c r="AW104" i="12"/>
  <c r="AH90" i="12"/>
  <c r="BR130" i="12"/>
  <c r="BE350" i="12"/>
  <c r="D192" i="12"/>
  <c r="BA192" i="12" s="1"/>
  <c r="O104" i="12"/>
  <c r="P104" i="12" s="1"/>
  <c r="BO117" i="12"/>
  <c r="D198" i="1"/>
  <c r="J198" i="1" s="1"/>
  <c r="Y3" i="12"/>
  <c r="Z3" i="12" s="1"/>
  <c r="U104" i="12"/>
  <c r="V104" i="12" s="1"/>
  <c r="D67" i="1"/>
  <c r="G67" i="1" s="1"/>
  <c r="D146" i="1"/>
  <c r="J146" i="1" s="1"/>
  <c r="BI104" i="12"/>
  <c r="BG202" i="12"/>
  <c r="D124" i="1"/>
  <c r="G124" i="1" s="1"/>
  <c r="AW117" i="12"/>
  <c r="I104" i="12"/>
  <c r="D115" i="1"/>
  <c r="G115" i="1" s="1"/>
  <c r="D159" i="1"/>
  <c r="J159" i="1" s="1"/>
  <c r="AY104" i="12"/>
  <c r="J12" i="2"/>
  <c r="K12" i="2" s="1"/>
  <c r="AL202" i="12"/>
  <c r="G167" i="1"/>
  <c r="S104" i="12"/>
  <c r="T104" i="12" s="1"/>
  <c r="F117" i="12"/>
  <c r="J117" i="12"/>
  <c r="Y104" i="12"/>
  <c r="Z104" i="12" s="1"/>
  <c r="D89" i="12"/>
  <c r="AY89" i="12" s="1"/>
  <c r="D132" i="1"/>
  <c r="G132" i="1" s="1"/>
  <c r="BC52" i="12"/>
  <c r="BA52" i="12"/>
  <c r="AW13" i="12"/>
  <c r="D81" i="1"/>
  <c r="J81" i="1" s="1"/>
  <c r="BC13" i="12"/>
  <c r="R371" i="3"/>
  <c r="AH171" i="12"/>
  <c r="BI13" i="12"/>
  <c r="BA13" i="12"/>
  <c r="O3" i="12"/>
  <c r="P3" i="12" s="1"/>
  <c r="BR274" i="12"/>
  <c r="Q3" i="12"/>
  <c r="R3" i="12" s="1"/>
  <c r="AI296" i="12"/>
  <c r="AI208" i="12"/>
  <c r="BP171" i="12"/>
  <c r="BG169" i="12"/>
  <c r="BE3" i="12"/>
  <c r="BM3" i="12"/>
  <c r="I5" i="1" s="1"/>
  <c r="AY13" i="12"/>
  <c r="D206" i="1"/>
  <c r="G206" i="1" s="1"/>
  <c r="AE3" i="12"/>
  <c r="AF3" i="12" s="1"/>
  <c r="BK3" i="12"/>
  <c r="D200" i="1"/>
  <c r="G200" i="1" s="1"/>
  <c r="S3" i="12"/>
  <c r="T3" i="12" s="1"/>
  <c r="BQ210" i="12"/>
  <c r="BQ257" i="12"/>
  <c r="M3" i="12"/>
  <c r="N3" i="12" s="1"/>
  <c r="AH339" i="12"/>
  <c r="D203" i="1"/>
  <c r="J203" i="1" s="1"/>
  <c r="BG3" i="12"/>
  <c r="F58" i="9" a="1"/>
  <c r="F58" i="9" s="1"/>
  <c r="N308" i="8" s="1"/>
  <c r="C308" i="8" s="1"/>
  <c r="D309" i="1" s="1"/>
  <c r="AC3" i="12"/>
  <c r="AD3" i="12" s="1"/>
  <c r="BN317" i="12"/>
  <c r="D117" i="1"/>
  <c r="J117" i="1" s="1"/>
  <c r="AI160" i="12"/>
  <c r="BP317" i="12"/>
  <c r="D54" i="1"/>
  <c r="J54" i="1" s="1"/>
  <c r="BK160" i="12"/>
  <c r="BN270" i="12"/>
  <c r="J3" i="12"/>
  <c r="BK13" i="12"/>
  <c r="BG13" i="12"/>
  <c r="Q71" i="12"/>
  <c r="R71" i="12" s="1"/>
  <c r="S43" i="12"/>
  <c r="T43" i="12" s="1"/>
  <c r="D219" i="1"/>
  <c r="J219" i="1" s="1"/>
  <c r="BI105" i="12"/>
  <c r="AG226" i="12"/>
  <c r="D123" i="1"/>
  <c r="J123" i="1" s="1"/>
  <c r="AE71" i="12"/>
  <c r="AF71" i="12" s="1"/>
  <c r="AL71" i="12"/>
  <c r="W71" i="12"/>
  <c r="X71" i="12" s="1"/>
  <c r="AY71" i="12"/>
  <c r="BP226" i="12"/>
  <c r="BK117" i="12"/>
  <c r="BM71" i="12"/>
  <c r="I73" i="1" s="1"/>
  <c r="D205" i="12"/>
  <c r="AL205" i="12" s="1"/>
  <c r="AC71" i="12"/>
  <c r="AD71" i="12" s="1"/>
  <c r="F69" i="9" a="1"/>
  <c r="F69" i="9" s="1"/>
  <c r="F248" i="8" s="1"/>
  <c r="C248" i="8" s="1"/>
  <c r="D247" i="12" s="1"/>
  <c r="AW247" i="12" s="1"/>
  <c r="AW42" i="12"/>
  <c r="BC71" i="12"/>
  <c r="Q117" i="12"/>
  <c r="R117" i="12" s="1"/>
  <c r="U133" i="12"/>
  <c r="V133" i="12" s="1"/>
  <c r="BK71" i="12"/>
  <c r="D120" i="1"/>
  <c r="J120" i="1" s="1"/>
  <c r="D169" i="1"/>
  <c r="J169" i="1" s="1"/>
  <c r="BN164" i="12"/>
  <c r="D73" i="1"/>
  <c r="J73" i="1" s="1"/>
  <c r="D144" i="1"/>
  <c r="J144" i="1" s="1"/>
  <c r="BK8" i="12"/>
  <c r="AC133" i="12"/>
  <c r="AD133" i="12" s="1"/>
  <c r="BE133" i="12"/>
  <c r="D119" i="1"/>
  <c r="J119" i="1" s="1"/>
  <c r="F72" i="9" a="1"/>
  <c r="F72" i="9" s="1"/>
  <c r="F251" i="8" s="1"/>
  <c r="C251" i="8" s="1"/>
  <c r="D250" i="12" s="1"/>
  <c r="Q250" i="12" s="1"/>
  <c r="R250" i="12" s="1"/>
  <c r="BA71" i="12"/>
  <c r="O71" i="12"/>
  <c r="P71" i="12" s="1"/>
  <c r="BI21" i="12"/>
  <c r="U117" i="12"/>
  <c r="V117" i="12" s="1"/>
  <c r="BO133" i="12"/>
  <c r="BE71" i="12"/>
  <c r="AL133" i="12"/>
  <c r="D218" i="1"/>
  <c r="G218" i="1" s="1"/>
  <c r="BI71" i="12"/>
  <c r="S117" i="12"/>
  <c r="T117" i="12" s="1"/>
  <c r="I117" i="12"/>
  <c r="S133" i="12"/>
  <c r="T133" i="12" s="1"/>
  <c r="BE117" i="12"/>
  <c r="D126" i="1"/>
  <c r="G126" i="1" s="1"/>
  <c r="BI117" i="12"/>
  <c r="D142" i="1"/>
  <c r="G142" i="1" s="1"/>
  <c r="AG120" i="12"/>
  <c r="AI37" i="12"/>
  <c r="AG296" i="12"/>
  <c r="AW71" i="12"/>
  <c r="AY40" i="12"/>
  <c r="BG71" i="12"/>
  <c r="M71" i="12"/>
  <c r="N71" i="12" s="1"/>
  <c r="BI3" i="12"/>
  <c r="J71" i="12"/>
  <c r="Y71" i="12"/>
  <c r="Z71" i="12" s="1"/>
  <c r="D199" i="12"/>
  <c r="BA199" i="12" s="1"/>
  <c r="D177" i="1"/>
  <c r="J177" i="1" s="1"/>
  <c r="BP296" i="12"/>
  <c r="AG344" i="12"/>
  <c r="BO71" i="12"/>
  <c r="BN171" i="12"/>
  <c r="S71" i="12"/>
  <c r="T71" i="12" s="1"/>
  <c r="W117" i="12"/>
  <c r="X117" i="12" s="1"/>
  <c r="BO43" i="12"/>
  <c r="K133" i="12"/>
  <c r="AW214" i="12"/>
  <c r="D171" i="1"/>
  <c r="G171" i="1" s="1"/>
  <c r="D226" i="1"/>
  <c r="G226" i="1" s="1"/>
  <c r="BN344" i="12"/>
  <c r="AY117" i="12"/>
  <c r="AY133" i="12"/>
  <c r="I71" i="12"/>
  <c r="D75" i="1"/>
  <c r="G75" i="1" s="1"/>
  <c r="J133" i="12"/>
  <c r="M117" i="12"/>
  <c r="N117" i="12" s="1"/>
  <c r="AA133" i="12"/>
  <c r="AB133" i="12" s="1"/>
  <c r="O133" i="12"/>
  <c r="P133" i="12" s="1"/>
  <c r="D130" i="1"/>
  <c r="G130" i="1" s="1"/>
  <c r="D145" i="1"/>
  <c r="G145" i="1" s="1"/>
  <c r="D149" i="1"/>
  <c r="J149" i="1" s="1"/>
  <c r="BG152" i="12"/>
  <c r="H71" i="12"/>
  <c r="L71" i="12"/>
  <c r="F71" i="12"/>
  <c r="L117" i="12"/>
  <c r="I43" i="12"/>
  <c r="Y117" i="12"/>
  <c r="Z117" i="12" s="1"/>
  <c r="M43" i="12"/>
  <c r="N43" i="12" s="1"/>
  <c r="AA117" i="12"/>
  <c r="AB117" i="12" s="1"/>
  <c r="AE43" i="12"/>
  <c r="AF43" i="12" s="1"/>
  <c r="Q133" i="12"/>
  <c r="R133" i="12" s="1"/>
  <c r="AE133" i="12"/>
  <c r="AF133" i="12" s="1"/>
  <c r="AW133" i="12"/>
  <c r="BG27" i="12"/>
  <c r="BG117" i="12"/>
  <c r="K71" i="12"/>
  <c r="AY3" i="12"/>
  <c r="F70" i="9" a="1"/>
  <c r="F70" i="9" s="1"/>
  <c r="F249" i="8" s="1"/>
  <c r="C249" i="8" s="1"/>
  <c r="D250" i="1" s="1"/>
  <c r="F50" i="9" a="1"/>
  <c r="F50" i="9" s="1"/>
  <c r="H272" i="8" s="1"/>
  <c r="C272" i="8" s="1"/>
  <c r="D271" i="12" s="1"/>
  <c r="AY112" i="12"/>
  <c r="AW112" i="12"/>
  <c r="D51" i="12"/>
  <c r="AL51" i="12" s="1"/>
  <c r="BQ306" i="12"/>
  <c r="BG138" i="12"/>
  <c r="D114" i="1"/>
  <c r="G114" i="1" s="1"/>
  <c r="BE42" i="12"/>
  <c r="BC182" i="12"/>
  <c r="BM204" i="12"/>
  <c r="I206" i="1" s="1"/>
  <c r="AW40" i="12"/>
  <c r="D127" i="1"/>
  <c r="G127" i="1" s="1"/>
  <c r="AL194" i="12"/>
  <c r="F73" i="9" a="1"/>
  <c r="F73" i="9" s="1"/>
  <c r="F252" i="8" s="1"/>
  <c r="C252" i="8" s="1"/>
  <c r="D251" i="12" s="1"/>
  <c r="F75" i="9" a="1"/>
  <c r="F75" i="9" s="1"/>
  <c r="F254" i="8" s="1"/>
  <c r="C254" i="8" s="1"/>
  <c r="D253" i="12" s="1"/>
  <c r="D174" i="12"/>
  <c r="H174" i="12" s="1"/>
  <c r="AI22" i="12"/>
  <c r="U15" i="12"/>
  <c r="V15" i="12" s="1"/>
  <c r="BA142" i="12"/>
  <c r="BP196" i="12"/>
  <c r="AG160" i="12"/>
  <c r="C384" i="3"/>
  <c r="C385" i="3" s="1"/>
  <c r="D82" i="12"/>
  <c r="BA82" i="12" s="1"/>
  <c r="C386" i="3"/>
  <c r="AH320" i="12"/>
  <c r="AI210" i="12"/>
  <c r="BQ260" i="12"/>
  <c r="AL125" i="12"/>
  <c r="BG125" i="12"/>
  <c r="BN286" i="12"/>
  <c r="G17" i="1"/>
  <c r="D140" i="1"/>
  <c r="G140" i="1" s="1"/>
  <c r="F74" i="9" a="1"/>
  <c r="F74" i="9" s="1"/>
  <c r="F253" i="8" s="1"/>
  <c r="C253" i="8" s="1"/>
  <c r="D252" i="12" s="1"/>
  <c r="BG252" i="12" s="1"/>
  <c r="D128" i="1"/>
  <c r="G128" i="1" s="1"/>
  <c r="BG224" i="12"/>
  <c r="AW194" i="12"/>
  <c r="AI75" i="12"/>
  <c r="BC43" i="12"/>
  <c r="J7" i="1"/>
  <c r="BA19" i="12"/>
  <c r="F64" i="9" a="1"/>
  <c r="F64" i="9" s="1"/>
  <c r="F243" i="8" s="1"/>
  <c r="C243" i="8" s="1"/>
  <c r="D242" i="12" s="1"/>
  <c r="BG119" i="12"/>
  <c r="D53" i="1"/>
  <c r="G53" i="1" s="1"/>
  <c r="AH92" i="12"/>
  <c r="D165" i="12"/>
  <c r="K165" i="12" s="1"/>
  <c r="D121" i="1"/>
  <c r="G121" i="1" s="1"/>
  <c r="BP40" i="12"/>
  <c r="BC224" i="12"/>
  <c r="BP193" i="12"/>
  <c r="D84" i="12"/>
  <c r="O84" i="12" s="1"/>
  <c r="P84" i="12" s="1"/>
  <c r="BG112" i="12"/>
  <c r="AH40" i="12"/>
  <c r="AY42" i="12"/>
  <c r="AG356" i="12"/>
  <c r="AH270" i="12"/>
  <c r="BM60" i="12"/>
  <c r="I62" i="1" s="1"/>
  <c r="AW6" i="12"/>
  <c r="BA112" i="12"/>
  <c r="BN53" i="12"/>
  <c r="BG5" i="12"/>
  <c r="BP286" i="12"/>
  <c r="BA202" i="12"/>
  <c r="AL87" i="12"/>
  <c r="F62" i="9" a="1"/>
  <c r="F62" i="9" s="1"/>
  <c r="F241" i="8" s="1"/>
  <c r="C241" i="8" s="1"/>
  <c r="D240" i="12" s="1"/>
  <c r="AY240" i="12" s="1"/>
  <c r="BA80" i="12"/>
  <c r="BI80" i="12"/>
  <c r="AL61" i="12"/>
  <c r="BC61" i="12"/>
  <c r="AL163" i="12"/>
  <c r="BG163" i="12"/>
  <c r="BC167" i="12"/>
  <c r="BI167" i="12"/>
  <c r="S77" i="12"/>
  <c r="T77" i="12" s="1"/>
  <c r="I77" i="12"/>
  <c r="BO77" i="12"/>
  <c r="K77" i="12"/>
  <c r="F77" i="12"/>
  <c r="BI77" i="12"/>
  <c r="AY77" i="12"/>
  <c r="M77" i="12"/>
  <c r="N77" i="12" s="1"/>
  <c r="BG77" i="12"/>
  <c r="AE77" i="12"/>
  <c r="AF77" i="12" s="1"/>
  <c r="Y77" i="12"/>
  <c r="Z77" i="12" s="1"/>
  <c r="U77" i="12"/>
  <c r="V77" i="12" s="1"/>
  <c r="L77" i="12"/>
  <c r="BC77" i="12"/>
  <c r="AA77" i="12"/>
  <c r="AB77" i="12" s="1"/>
  <c r="Q77" i="12"/>
  <c r="R77" i="12" s="1"/>
  <c r="AW77" i="12"/>
  <c r="BM77" i="12"/>
  <c r="I79" i="1" s="1"/>
  <c r="H77" i="12"/>
  <c r="AC77" i="12"/>
  <c r="AD77" i="12" s="1"/>
  <c r="O77" i="12"/>
  <c r="P77" i="12" s="1"/>
  <c r="AL77" i="12"/>
  <c r="BE77" i="12"/>
  <c r="BK77" i="12"/>
  <c r="J77" i="12"/>
  <c r="BA77" i="12"/>
  <c r="W77" i="12"/>
  <c r="X77" i="12" s="1"/>
  <c r="BG80" i="12"/>
  <c r="BE43" i="12"/>
  <c r="BQ80" i="12"/>
  <c r="D94" i="1"/>
  <c r="J94" i="1" s="1"/>
  <c r="BI22" i="12"/>
  <c r="BA7" i="12"/>
  <c r="Y5" i="12"/>
  <c r="Z5" i="12" s="1"/>
  <c r="AL180" i="12"/>
  <c r="D192" i="1"/>
  <c r="G192" i="1" s="1"/>
  <c r="D61" i="1"/>
  <c r="J61" i="1" s="1"/>
  <c r="AY80" i="12"/>
  <c r="D162" i="12"/>
  <c r="BC162" i="12" s="1"/>
  <c r="F71" i="9" a="1"/>
  <c r="F71" i="9" s="1"/>
  <c r="F250" i="8" s="1"/>
  <c r="C250" i="8" s="1"/>
  <c r="D249" i="12" s="1"/>
  <c r="F53" i="9" a="1"/>
  <c r="F53" i="9" s="1"/>
  <c r="F55" i="9" a="1"/>
  <c r="F55" i="9" s="1"/>
  <c r="J332" i="8" s="1"/>
  <c r="C332" i="8" s="1"/>
  <c r="D331" i="12" s="1"/>
  <c r="BK354" i="12"/>
  <c r="J164" i="1"/>
  <c r="G355" i="1"/>
  <c r="D95" i="1"/>
  <c r="G95" i="1" s="1"/>
  <c r="D191" i="1"/>
  <c r="J191" i="1" s="1"/>
  <c r="BC106" i="12"/>
  <c r="BC202" i="12"/>
  <c r="BR120" i="12"/>
  <c r="D63" i="1"/>
  <c r="J63" i="1" s="1"/>
  <c r="BR306" i="12"/>
  <c r="J5" i="12"/>
  <c r="D74" i="1"/>
  <c r="J74" i="1" s="1"/>
  <c r="AH85" i="12"/>
  <c r="AG270" i="12"/>
  <c r="BC133" i="12"/>
  <c r="BC218" i="12"/>
  <c r="F76" i="9" a="1"/>
  <c r="F76" i="9" s="1"/>
  <c r="F255" i="8" s="1"/>
  <c r="C255" i="8" s="1"/>
  <c r="D254" i="12" s="1"/>
  <c r="BE254" i="12" s="1"/>
  <c r="D79" i="1"/>
  <c r="G106" i="1"/>
  <c r="BC354" i="12"/>
  <c r="BQ208" i="12"/>
  <c r="BC5" i="12"/>
  <c r="BR196" i="12"/>
  <c r="BA180" i="12"/>
  <c r="BG213" i="12"/>
  <c r="F67" i="9" a="1"/>
  <c r="F67" i="9" s="1"/>
  <c r="F246" i="8" s="1"/>
  <c r="C246" i="8" s="1"/>
  <c r="D245" i="12" s="1"/>
  <c r="D195" i="12"/>
  <c r="BE195" i="12" s="1"/>
  <c r="L5" i="12"/>
  <c r="BQ193" i="12"/>
  <c r="F65" i="9" a="1"/>
  <c r="F65" i="9" s="1"/>
  <c r="F244" i="8" s="1"/>
  <c r="C244" i="8" s="1"/>
  <c r="D243" i="12" s="1"/>
  <c r="BI243" i="12" s="1"/>
  <c r="BP274" i="12"/>
  <c r="AL224" i="12"/>
  <c r="AI66" i="12"/>
  <c r="AI226" i="12"/>
  <c r="Q5" i="12"/>
  <c r="R5" i="12" s="1"/>
  <c r="AG274" i="12"/>
  <c r="D193" i="1"/>
  <c r="G193" i="1" s="1"/>
  <c r="D141" i="12"/>
  <c r="BO141" i="12" s="1"/>
  <c r="AY107" i="12"/>
  <c r="D82" i="1"/>
  <c r="G82" i="1" s="1"/>
  <c r="BN193" i="12"/>
  <c r="AA43" i="12"/>
  <c r="AB43" i="12" s="1"/>
  <c r="K213" i="12"/>
  <c r="AY119" i="12"/>
  <c r="AE350" i="12"/>
  <c r="AF350" i="12" s="1"/>
  <c r="I3" i="12"/>
  <c r="BI30" i="12"/>
  <c r="BC42" i="12"/>
  <c r="D227" i="1"/>
  <c r="G227" i="1" s="1"/>
  <c r="AL112" i="12"/>
  <c r="AH350" i="12"/>
  <c r="AY30" i="12"/>
  <c r="AG168" i="12"/>
  <c r="BA224" i="12"/>
  <c r="AH159" i="12"/>
  <c r="S5" i="12"/>
  <c r="T5" i="12" s="1"/>
  <c r="AW43" i="12"/>
  <c r="BG43" i="12"/>
  <c r="J25" i="1"/>
  <c r="D89" i="1"/>
  <c r="G89" i="1" s="1"/>
  <c r="F54" i="9" a="1"/>
  <c r="F54" i="9" s="1"/>
  <c r="H276" i="8" s="1"/>
  <c r="C276" i="8" s="1"/>
  <c r="BG350" i="12"/>
  <c r="F49" i="9" a="1"/>
  <c r="F49" i="9" s="1"/>
  <c r="H279" i="8" s="1"/>
  <c r="C279" i="8" s="1"/>
  <c r="AI257" i="12"/>
  <c r="BG180" i="12"/>
  <c r="BQ350" i="12"/>
  <c r="AH53" i="12"/>
  <c r="BC194" i="12"/>
  <c r="D49" i="1"/>
  <c r="G49" i="1" s="1"/>
  <c r="BN22" i="12"/>
  <c r="BN75" i="12"/>
  <c r="Q43" i="12"/>
  <c r="R43" i="12" s="1"/>
  <c r="BC98" i="12"/>
  <c r="BI43" i="12"/>
  <c r="BA213" i="12"/>
  <c r="I138" i="1"/>
  <c r="BN356" i="12"/>
  <c r="AY350" i="12"/>
  <c r="AY21" i="12"/>
  <c r="J5" i="1"/>
  <c r="F77" i="9" a="1"/>
  <c r="F77" i="9" s="1"/>
  <c r="F256" i="8" s="1"/>
  <c r="C256" i="8" s="1"/>
  <c r="D255" i="12" s="1"/>
  <c r="F59" i="9" a="1"/>
  <c r="F59" i="9" s="1"/>
  <c r="F238" i="8" s="1"/>
  <c r="C238" i="8" s="1"/>
  <c r="D74" i="12"/>
  <c r="AW74" i="12" s="1"/>
  <c r="H316" i="8"/>
  <c r="C316" i="8" s="1"/>
  <c r="D315" i="12" s="1"/>
  <c r="D91" i="12"/>
  <c r="AL91" i="12" s="1"/>
  <c r="BA43" i="12"/>
  <c r="D193" i="12"/>
  <c r="BE193" i="12" s="1"/>
  <c r="AE213" i="12"/>
  <c r="AF213" i="12" s="1"/>
  <c r="L213" i="12"/>
  <c r="BI224" i="12"/>
  <c r="Q213" i="12"/>
  <c r="R213" i="12" s="1"/>
  <c r="BK224" i="12"/>
  <c r="L350" i="12"/>
  <c r="Y43" i="12"/>
  <c r="Z43" i="12" s="1"/>
  <c r="U350" i="12"/>
  <c r="V350" i="12" s="1"/>
  <c r="K3" i="12"/>
  <c r="AG75" i="12"/>
  <c r="BG42" i="12"/>
  <c r="D157" i="1"/>
  <c r="J157" i="1" s="1"/>
  <c r="D165" i="1"/>
  <c r="G165" i="1" s="1"/>
  <c r="D223" i="12"/>
  <c r="AY223" i="12" s="1"/>
  <c r="M7" i="12"/>
  <c r="N7" i="12" s="1"/>
  <c r="BA133" i="12"/>
  <c r="J21" i="2"/>
  <c r="H213" i="12"/>
  <c r="F56" i="9" a="1"/>
  <c r="F56" i="9" s="1"/>
  <c r="F78" i="9" a="1"/>
  <c r="F78" i="9" s="1"/>
  <c r="F257" i="8" s="1"/>
  <c r="C257" i="8" s="1"/>
  <c r="F68" i="9" a="1"/>
  <c r="F68" i="9" s="1"/>
  <c r="F247" i="8" s="1"/>
  <c r="C247" i="8" s="1"/>
  <c r="D248" i="1" s="1"/>
  <c r="BC80" i="12"/>
  <c r="AL222" i="12"/>
  <c r="BN46" i="12"/>
  <c r="F63" i="9" a="1"/>
  <c r="F63" i="9" s="1"/>
  <c r="F242" i="8" s="1"/>
  <c r="C242" i="8" s="1"/>
  <c r="BI214" i="12"/>
  <c r="D223" i="1"/>
  <c r="J223" i="1" s="1"/>
  <c r="AW41" i="12"/>
  <c r="BI5" i="12"/>
  <c r="AC5" i="12"/>
  <c r="AD5" i="12" s="1"/>
  <c r="U43" i="12"/>
  <c r="V43" i="12" s="1"/>
  <c r="W43" i="12"/>
  <c r="X43" i="12" s="1"/>
  <c r="BK194" i="12"/>
  <c r="D47" i="12"/>
  <c r="BM47" i="12" s="1"/>
  <c r="I49" i="1" s="1"/>
  <c r="D175" i="1"/>
  <c r="G175" i="1" s="1"/>
  <c r="W350" i="12"/>
  <c r="X350" i="12" s="1"/>
  <c r="AA3" i="12"/>
  <c r="AB3" i="12" s="1"/>
  <c r="D166" i="1"/>
  <c r="G166" i="1" s="1"/>
  <c r="Q7" i="12"/>
  <c r="R7" i="12" s="1"/>
  <c r="AH130" i="12"/>
  <c r="D220" i="1"/>
  <c r="J220" i="1" s="1"/>
  <c r="BR191" i="12"/>
  <c r="BI133" i="12"/>
  <c r="F61" i="9" a="1"/>
  <c r="F61" i="9" s="1"/>
  <c r="F240" i="8" s="1"/>
  <c r="C240" i="8" s="1"/>
  <c r="F57" i="9" a="1"/>
  <c r="F57" i="9" s="1"/>
  <c r="L342" i="8" s="1"/>
  <c r="C342" i="8" s="1"/>
  <c r="P349" i="8"/>
  <c r="C349" i="8" s="1"/>
  <c r="D348" i="12" s="1"/>
  <c r="AC213" i="12"/>
  <c r="AD213" i="12" s="1"/>
  <c r="AW95" i="12"/>
  <c r="BE224" i="12"/>
  <c r="J350" i="12"/>
  <c r="F43" i="12"/>
  <c r="BI20" i="12"/>
  <c r="BN177" i="12"/>
  <c r="AY354" i="12"/>
  <c r="AC43" i="12"/>
  <c r="AD43" i="12" s="1"/>
  <c r="BR53" i="12"/>
  <c r="AW224" i="12"/>
  <c r="BG214" i="12"/>
  <c r="L43" i="12"/>
  <c r="AH269" i="12"/>
  <c r="AY52" i="12"/>
  <c r="AL214" i="12"/>
  <c r="L3" i="12"/>
  <c r="AC7" i="12"/>
  <c r="AD7" i="12" s="1"/>
  <c r="AG46" i="12"/>
  <c r="D135" i="1"/>
  <c r="J135" i="1" s="1"/>
  <c r="F66" i="9" a="1"/>
  <c r="F66" i="9" s="1"/>
  <c r="F245" i="8" s="1"/>
  <c r="C245" i="8" s="1"/>
  <c r="D246" i="1" s="1"/>
  <c r="J246" i="1" s="1"/>
  <c r="BC131" i="12"/>
  <c r="BK131" i="12"/>
  <c r="BG211" i="12"/>
  <c r="BI211" i="12"/>
  <c r="AL209" i="12"/>
  <c r="BK209" i="12"/>
  <c r="H209" i="12"/>
  <c r="BG209" i="12"/>
  <c r="J125" i="1"/>
  <c r="G125" i="1"/>
  <c r="AW21" i="12"/>
  <c r="AW39" i="12"/>
  <c r="BG22" i="12"/>
  <c r="D166" i="12"/>
  <c r="BK166" i="12" s="1"/>
  <c r="F213" i="12"/>
  <c r="AY75" i="12"/>
  <c r="BN210" i="12"/>
  <c r="M213" i="12"/>
  <c r="N213" i="12" s="1"/>
  <c r="D179" i="1"/>
  <c r="G179" i="1" s="1"/>
  <c r="D187" i="1"/>
  <c r="J187" i="1" s="1"/>
  <c r="D138" i="1"/>
  <c r="G138" i="1" s="1"/>
  <c r="D123" i="12"/>
  <c r="BA123" i="12" s="1"/>
  <c r="D215" i="1"/>
  <c r="BN126" i="12"/>
  <c r="Y15" i="12"/>
  <c r="Z15" i="12" s="1"/>
  <c r="AY61" i="12"/>
  <c r="D170" i="12"/>
  <c r="AE170" i="12" s="1"/>
  <c r="AF170" i="12" s="1"/>
  <c r="AW213" i="12"/>
  <c r="BN320" i="12"/>
  <c r="J7" i="12"/>
  <c r="AY152" i="12"/>
  <c r="D213" i="1"/>
  <c r="J213" i="1" s="1"/>
  <c r="BE152" i="12"/>
  <c r="K18" i="2"/>
  <c r="K21" i="2" s="1"/>
  <c r="H107" i="12"/>
  <c r="AL53" i="12"/>
  <c r="BK163" i="12"/>
  <c r="BG38" i="12"/>
  <c r="BE48" i="12"/>
  <c r="BI354" i="12"/>
  <c r="BA157" i="12"/>
  <c r="AE152" i="12"/>
  <c r="AF152" i="12" s="1"/>
  <c r="AL167" i="12"/>
  <c r="BG61" i="12"/>
  <c r="AW354" i="12"/>
  <c r="BC179" i="12"/>
  <c r="BM97" i="12"/>
  <c r="I99" i="1" s="1"/>
  <c r="BK152" i="12"/>
  <c r="BK39" i="12"/>
  <c r="BA152" i="12"/>
  <c r="BO213" i="12"/>
  <c r="BI163" i="12"/>
  <c r="O152" i="12"/>
  <c r="P152" i="12" s="1"/>
  <c r="O213" i="12"/>
  <c r="P213" i="12" s="1"/>
  <c r="BO152" i="12"/>
  <c r="M23" i="12"/>
  <c r="N23" i="12" s="1"/>
  <c r="AY109" i="12"/>
  <c r="BK180" i="12"/>
  <c r="AW115" i="12"/>
  <c r="BE180" i="12"/>
  <c r="BK27" i="12"/>
  <c r="BN331" i="12"/>
  <c r="BP320" i="12"/>
  <c r="K7" i="12"/>
  <c r="I37" i="1"/>
  <c r="D154" i="1"/>
  <c r="BC3" i="12"/>
  <c r="BI350" i="12"/>
  <c r="Q152" i="12"/>
  <c r="R152" i="12" s="1"/>
  <c r="Q23" i="12"/>
  <c r="R23" i="12" s="1"/>
  <c r="BP331" i="12"/>
  <c r="S152" i="12"/>
  <c r="T152" i="12" s="1"/>
  <c r="D210" i="1"/>
  <c r="J210" i="1" s="1"/>
  <c r="AI80" i="12"/>
  <c r="BA41" i="12"/>
  <c r="D161" i="1"/>
  <c r="G161" i="1" s="1"/>
  <c r="BN260" i="12"/>
  <c r="AH76" i="12"/>
  <c r="W7" i="12"/>
  <c r="X7" i="12" s="1"/>
  <c r="AI270" i="12"/>
  <c r="D112" i="1"/>
  <c r="G112" i="1" s="1"/>
  <c r="D163" i="1"/>
  <c r="J163" i="1" s="1"/>
  <c r="D129" i="12"/>
  <c r="U129" i="12" s="1"/>
  <c r="V129" i="12" s="1"/>
  <c r="N347" i="8"/>
  <c r="C347" i="8" s="1"/>
  <c r="D346" i="12" s="1"/>
  <c r="AW346" i="12" s="1"/>
  <c r="AC152" i="12"/>
  <c r="AD152" i="12" s="1"/>
  <c r="BP21" i="12"/>
  <c r="BC25" i="12"/>
  <c r="D170" i="1"/>
  <c r="G170" i="1" s="1"/>
  <c r="AW23" i="12"/>
  <c r="BC4" i="12"/>
  <c r="BR21" i="12"/>
  <c r="BE213" i="12"/>
  <c r="U213" i="12"/>
  <c r="V213" i="12" s="1"/>
  <c r="BP210" i="12"/>
  <c r="BA37" i="12"/>
  <c r="BI152" i="12"/>
  <c r="BI213" i="12"/>
  <c r="W213" i="12"/>
  <c r="X213" i="12" s="1"/>
  <c r="W152" i="12"/>
  <c r="X152" i="12" s="1"/>
  <c r="BA119" i="12"/>
  <c r="BR331" i="12"/>
  <c r="BG115" i="12"/>
  <c r="BC204" i="12"/>
  <c r="Y152" i="12"/>
  <c r="Z152" i="12" s="1"/>
  <c r="BC119" i="12"/>
  <c r="BG167" i="12"/>
  <c r="BC115" i="12"/>
  <c r="BK107" i="12"/>
  <c r="BE27" i="12"/>
  <c r="D67" i="12"/>
  <c r="AW67" i="12" s="1"/>
  <c r="AA152" i="12"/>
  <c r="AB152" i="12" s="1"/>
  <c r="BE167" i="12"/>
  <c r="AL147" i="12"/>
  <c r="AG260" i="12"/>
  <c r="H274" i="8"/>
  <c r="C274" i="8" s="1"/>
  <c r="D273" i="12" s="1"/>
  <c r="BA107" i="12"/>
  <c r="J43" i="12"/>
  <c r="J213" i="12"/>
  <c r="H152" i="12"/>
  <c r="BI119" i="12"/>
  <c r="BK98" i="12"/>
  <c r="AY182" i="12"/>
  <c r="BI352" i="12"/>
  <c r="BG109" i="12"/>
  <c r="Q104" i="12"/>
  <c r="R104" i="12" s="1"/>
  <c r="BI147" i="12"/>
  <c r="D211" i="1"/>
  <c r="G211" i="1" s="1"/>
  <c r="BE104" i="12"/>
  <c r="AI193" i="12"/>
  <c r="BI180" i="12"/>
  <c r="AI40" i="12"/>
  <c r="D205" i="1"/>
  <c r="J205" i="1" s="1"/>
  <c r="BR334" i="12"/>
  <c r="AH22" i="12"/>
  <c r="D209" i="1"/>
  <c r="G209" i="1" s="1"/>
  <c r="BN257" i="12"/>
  <c r="AI112" i="12"/>
  <c r="BK104" i="12"/>
  <c r="BC351" i="12"/>
  <c r="BM107" i="12"/>
  <c r="I109" i="1" s="1"/>
  <c r="G5" i="2"/>
  <c r="BA204" i="12"/>
  <c r="AL213" i="12"/>
  <c r="BM152" i="12"/>
  <c r="I154" i="1" s="1"/>
  <c r="I355" i="1"/>
  <c r="S213" i="12"/>
  <c r="T213" i="12" s="1"/>
  <c r="BA354" i="12"/>
  <c r="BN169" i="12"/>
  <c r="BI41" i="12"/>
  <c r="BK61" i="12"/>
  <c r="BA167" i="12"/>
  <c r="BK21" i="12"/>
  <c r="D58" i="12"/>
  <c r="BK58" i="12" s="1"/>
  <c r="BG4" i="12"/>
  <c r="I213" i="12"/>
  <c r="D129" i="1"/>
  <c r="G129" i="1" s="1"/>
  <c r="BM43" i="12"/>
  <c r="I45" i="1" s="1"/>
  <c r="AA213" i="12"/>
  <c r="AB213" i="12" s="1"/>
  <c r="AW150" i="12"/>
  <c r="BK43" i="12"/>
  <c r="J152" i="12"/>
  <c r="U3" i="12"/>
  <c r="V3" i="12" s="1"/>
  <c r="BC352" i="12"/>
  <c r="BI202" i="12"/>
  <c r="W104" i="12"/>
  <c r="X104" i="12" s="1"/>
  <c r="BA163" i="12"/>
  <c r="D56" i="1"/>
  <c r="J56" i="1" s="1"/>
  <c r="AG257" i="12"/>
  <c r="AW204" i="12"/>
  <c r="BG104" i="12"/>
  <c r="BC104" i="12"/>
  <c r="AL152" i="12"/>
  <c r="AY213" i="12"/>
  <c r="M152" i="12"/>
  <c r="N152" i="12" s="1"/>
  <c r="AL157" i="12"/>
  <c r="BC39" i="12"/>
  <c r="K152" i="12"/>
  <c r="AW152" i="12"/>
  <c r="U152" i="12"/>
  <c r="V152" i="12" s="1"/>
  <c r="BC213" i="12"/>
  <c r="BA143" i="12"/>
  <c r="AW167" i="12"/>
  <c r="BC7" i="12"/>
  <c r="BG354" i="12"/>
  <c r="BG107" i="12"/>
  <c r="Y213" i="12"/>
  <c r="Z213" i="12" s="1"/>
  <c r="BI61" i="12"/>
  <c r="AY167" i="12"/>
  <c r="BK167" i="12"/>
  <c r="D221" i="1"/>
  <c r="J221" i="1" s="1"/>
  <c r="AL119" i="12"/>
  <c r="AW163" i="12"/>
  <c r="BN201" i="12"/>
  <c r="K43" i="12"/>
  <c r="BA150" i="12"/>
  <c r="BM213" i="12"/>
  <c r="I215" i="1" s="1"/>
  <c r="I152" i="12"/>
  <c r="BO3" i="12"/>
  <c r="BP269" i="12"/>
  <c r="AE104" i="12"/>
  <c r="AF104" i="12" s="1"/>
  <c r="AG177" i="12"/>
  <c r="AI304" i="12"/>
  <c r="BK204" i="12"/>
  <c r="BQ178" i="12"/>
  <c r="BE204" i="12"/>
  <c r="BR88" i="12"/>
  <c r="D139" i="1"/>
  <c r="J139" i="1" s="1"/>
  <c r="BI107" i="12"/>
  <c r="BG204" i="12"/>
  <c r="BA104" i="12"/>
  <c r="BC152" i="12"/>
  <c r="D52" i="1"/>
  <c r="G52" i="1" s="1"/>
  <c r="F48" i="9" a="1"/>
  <c r="F48" i="9" s="1"/>
  <c r="H270" i="8" s="1"/>
  <c r="C270" i="8" s="1"/>
  <c r="BN21" i="12"/>
  <c r="BG121" i="12"/>
  <c r="BK121" i="12"/>
  <c r="BI121" i="12"/>
  <c r="BA121" i="12"/>
  <c r="AY121" i="12"/>
  <c r="G199" i="1"/>
  <c r="J199" i="1"/>
  <c r="AL131" i="12"/>
  <c r="Y350" i="12"/>
  <c r="Z350" i="12" s="1"/>
  <c r="BK115" i="12"/>
  <c r="AY115" i="12"/>
  <c r="BA115" i="12"/>
  <c r="AH334" i="12"/>
  <c r="BI32" i="12"/>
  <c r="BA32" i="12"/>
  <c r="BC33" i="12"/>
  <c r="BE33" i="12"/>
  <c r="AW33" i="12"/>
  <c r="BA33" i="12"/>
  <c r="BM33" i="12"/>
  <c r="I35" i="1" s="1"/>
  <c r="BI23" i="12"/>
  <c r="BM16" i="12"/>
  <c r="I18" i="1" s="1"/>
  <c r="BE16" i="12"/>
  <c r="AW16" i="12"/>
  <c r="F7" i="12"/>
  <c r="S7" i="12"/>
  <c r="T7" i="12" s="1"/>
  <c r="BE7" i="12"/>
  <c r="BO7" i="12"/>
  <c r="BG7" i="12"/>
  <c r="BM7" i="12"/>
  <c r="I9" i="1" s="1"/>
  <c r="AE7" i="12"/>
  <c r="AF7" i="12" s="1"/>
  <c r="O7" i="12"/>
  <c r="P7" i="12" s="1"/>
  <c r="L7" i="12"/>
  <c r="O168" i="12"/>
  <c r="P168" i="12" s="1"/>
  <c r="AE168" i="12"/>
  <c r="AF168" i="12" s="1"/>
  <c r="K168" i="12"/>
  <c r="BM168" i="12"/>
  <c r="M168" i="12"/>
  <c r="N168" i="12" s="1"/>
  <c r="H15" i="12"/>
  <c r="BI15" i="12"/>
  <c r="BO15" i="12"/>
  <c r="L301" i="8"/>
  <c r="C301" i="8" s="1"/>
  <c r="D300" i="12" s="1"/>
  <c r="H321" i="8"/>
  <c r="C321" i="8" s="1"/>
  <c r="D320" i="12" s="1"/>
  <c r="P310" i="8"/>
  <c r="C310" i="8" s="1"/>
  <c r="D309" i="12" s="1"/>
  <c r="N302" i="8"/>
  <c r="C302" i="8" s="1"/>
  <c r="D303" i="1" s="1"/>
  <c r="L294" i="8"/>
  <c r="C294" i="8" s="1"/>
  <c r="D293" i="12" s="1"/>
  <c r="H282" i="8"/>
  <c r="C282" i="8" s="1"/>
  <c r="D281" i="12" s="1"/>
  <c r="D68" i="12"/>
  <c r="U68" i="12" s="1"/>
  <c r="V68" i="12" s="1"/>
  <c r="D70" i="1"/>
  <c r="J70" i="1" s="1"/>
  <c r="D176" i="12"/>
  <c r="BE176" i="12" s="1"/>
  <c r="D178" i="1"/>
  <c r="G178" i="1" s="1"/>
  <c r="BA355" i="12"/>
  <c r="AG210" i="12"/>
  <c r="BA131" i="12"/>
  <c r="AA350" i="12"/>
  <c r="AB350" i="12" s="1"/>
  <c r="BE136" i="12"/>
  <c r="D181" i="1"/>
  <c r="J181" i="1" s="1"/>
  <c r="BE211" i="12"/>
  <c r="BK211" i="12"/>
  <c r="AG37" i="12"/>
  <c r="AA7" i="12"/>
  <c r="AB7" i="12" s="1"/>
  <c r="BI59" i="12"/>
  <c r="BG33" i="12"/>
  <c r="F5" i="12"/>
  <c r="AY5" i="12"/>
  <c r="BO5" i="12"/>
  <c r="AW5" i="12"/>
  <c r="BN168" i="12"/>
  <c r="S216" i="12"/>
  <c r="T216" i="12" s="1"/>
  <c r="BE97" i="12"/>
  <c r="BI52" i="12"/>
  <c r="BK52" i="12"/>
  <c r="AL52" i="12"/>
  <c r="AI269" i="12"/>
  <c r="AG191" i="12"/>
  <c r="BP339" i="12"/>
  <c r="BE222" i="12"/>
  <c r="BN350" i="12"/>
  <c r="I352" i="1" s="1"/>
  <c r="BR76" i="12"/>
  <c r="BK23" i="12"/>
  <c r="AH356" i="12"/>
  <c r="D94" i="12"/>
  <c r="AW94" i="12" s="1"/>
  <c r="BG190" i="12"/>
  <c r="AW190" i="12"/>
  <c r="AG240" i="12"/>
  <c r="BP240" i="12"/>
  <c r="AY95" i="12"/>
  <c r="BI95" i="12"/>
  <c r="BA95" i="12"/>
  <c r="BE95" i="12"/>
  <c r="AL95" i="12"/>
  <c r="BC350" i="12"/>
  <c r="BM23" i="12"/>
  <c r="I25" i="1" s="1"/>
  <c r="BN339" i="12"/>
  <c r="AW216" i="12"/>
  <c r="AL150" i="12"/>
  <c r="BE150" i="12"/>
  <c r="BA190" i="12"/>
  <c r="BP208" i="12"/>
  <c r="AW136" i="12"/>
  <c r="BC136" i="12"/>
  <c r="BN208" i="12"/>
  <c r="O23" i="12"/>
  <c r="P23" i="12" s="1"/>
  <c r="BA179" i="12"/>
  <c r="BI179" i="12"/>
  <c r="BC40" i="12"/>
  <c r="AH168" i="12"/>
  <c r="D86" i="12"/>
  <c r="AY86" i="12" s="1"/>
  <c r="D88" i="1"/>
  <c r="J88" i="1" s="1"/>
  <c r="BG160" i="12"/>
  <c r="Q350" i="12"/>
  <c r="R350" i="12" s="1"/>
  <c r="BG222" i="12"/>
  <c r="D63" i="12"/>
  <c r="S63" i="12" s="1"/>
  <c r="T63" i="12" s="1"/>
  <c r="D65" i="1"/>
  <c r="G65" i="1" s="1"/>
  <c r="BK185" i="12"/>
  <c r="BA40" i="12"/>
  <c r="BQ112" i="12"/>
  <c r="BE112" i="12"/>
  <c r="AH112" i="12"/>
  <c r="BQ240" i="12"/>
  <c r="AH240" i="12"/>
  <c r="AG306" i="12"/>
  <c r="BP306" i="12"/>
  <c r="BN306" i="12"/>
  <c r="BK16" i="12"/>
  <c r="AW355" i="12"/>
  <c r="AI177" i="12"/>
  <c r="BN40" i="12"/>
  <c r="I23" i="12"/>
  <c r="BA125" i="12"/>
  <c r="D187" i="12"/>
  <c r="BA187" i="12" s="1"/>
  <c r="K23" i="12"/>
  <c r="AW38" i="12"/>
  <c r="BA38" i="12"/>
  <c r="AH286" i="12"/>
  <c r="AW7" i="12"/>
  <c r="BK22" i="12"/>
  <c r="BA222" i="12"/>
  <c r="AY146" i="12"/>
  <c r="BI115" i="12"/>
  <c r="BG351" i="12"/>
  <c r="J329" i="8"/>
  <c r="C329" i="8" s="1"/>
  <c r="D330" i="1" s="1"/>
  <c r="AY23" i="12"/>
  <c r="BN76" i="12"/>
  <c r="BI155" i="12"/>
  <c r="BC155" i="12"/>
  <c r="J216" i="12"/>
  <c r="M216" i="12"/>
  <c r="N216" i="12" s="1"/>
  <c r="K216" i="12"/>
  <c r="H216" i="12"/>
  <c r="Y216" i="12"/>
  <c r="Z216" i="12" s="1"/>
  <c r="BI216" i="12"/>
  <c r="BC221" i="12"/>
  <c r="AW221" i="12"/>
  <c r="AL188" i="12"/>
  <c r="BG188" i="12"/>
  <c r="BE188" i="12"/>
  <c r="AW105" i="12"/>
  <c r="BE105" i="12"/>
  <c r="BK105" i="12"/>
  <c r="AY105" i="12"/>
  <c r="S23" i="12"/>
  <c r="T23" i="12" s="1"/>
  <c r="U216" i="12"/>
  <c r="V216" i="12" s="1"/>
  <c r="AW156" i="12"/>
  <c r="BI156" i="12"/>
  <c r="BA216" i="12"/>
  <c r="BR356" i="12"/>
  <c r="AI356" i="12"/>
  <c r="D151" i="12"/>
  <c r="S151" i="12" s="1"/>
  <c r="T151" i="12" s="1"/>
  <c r="D153" i="1"/>
  <c r="G153" i="1" s="1"/>
  <c r="BG157" i="12"/>
  <c r="BQ46" i="12"/>
  <c r="AH46" i="12"/>
  <c r="D50" i="12"/>
  <c r="AH304" i="12"/>
  <c r="BQ304" i="12"/>
  <c r="BN191" i="12"/>
  <c r="AC23" i="12"/>
  <c r="AD23" i="12" s="1"/>
  <c r="BG186" i="12"/>
  <c r="AW350" i="12"/>
  <c r="AG350" i="12"/>
  <c r="BI186" i="12"/>
  <c r="BI7" i="12"/>
  <c r="AE15" i="12"/>
  <c r="AF15" i="12" s="1"/>
  <c r="BK156" i="12"/>
  <c r="AY147" i="12"/>
  <c r="L15" i="12"/>
  <c r="D77" i="1"/>
  <c r="J77" i="1" s="1"/>
  <c r="BI218" i="12"/>
  <c r="D78" i="1"/>
  <c r="J78" i="1" s="1"/>
  <c r="BN120" i="12"/>
  <c r="BK65" i="12"/>
  <c r="BA65" i="12"/>
  <c r="BK33" i="12"/>
  <c r="J284" i="8"/>
  <c r="C284" i="8" s="1"/>
  <c r="D283" i="12" s="1"/>
  <c r="BE283" i="12" s="1"/>
  <c r="BG136" i="12"/>
  <c r="D132" i="12"/>
  <c r="BK132" i="12" s="1"/>
  <c r="D90" i="12"/>
  <c r="I90" i="12" s="1"/>
  <c r="D92" i="1"/>
  <c r="G92" i="1" s="1"/>
  <c r="BQ344" i="12"/>
  <c r="AH344" i="12"/>
  <c r="BG40" i="12"/>
  <c r="BE40" i="12"/>
  <c r="BI92" i="12"/>
  <c r="BN92" i="12"/>
  <c r="F23" i="12"/>
  <c r="BA23" i="12"/>
  <c r="J23" i="12"/>
  <c r="H23" i="12"/>
  <c r="U23" i="12"/>
  <c r="V23" i="12" s="1"/>
  <c r="AA23" i="12"/>
  <c r="AB23" i="12" s="1"/>
  <c r="Y23" i="12"/>
  <c r="Z23" i="12" s="1"/>
  <c r="BG23" i="12"/>
  <c r="BC23" i="12"/>
  <c r="BO23" i="12"/>
  <c r="BC97" i="12"/>
  <c r="AY97" i="12"/>
  <c r="D220" i="12"/>
  <c r="AL220" i="12" s="1"/>
  <c r="D222" i="1"/>
  <c r="G222" i="1" s="1"/>
  <c r="G122" i="1"/>
  <c r="BE23" i="12"/>
  <c r="BG147" i="12"/>
  <c r="F350" i="12"/>
  <c r="S350" i="12"/>
  <c r="T350" i="12" s="1"/>
  <c r="I350" i="12"/>
  <c r="BA350" i="12"/>
  <c r="O350" i="12"/>
  <c r="P350" i="12" s="1"/>
  <c r="K350" i="12"/>
  <c r="M350" i="12"/>
  <c r="N350" i="12" s="1"/>
  <c r="H350" i="12"/>
  <c r="BO350" i="12"/>
  <c r="D188" i="1"/>
  <c r="G188" i="1" s="1"/>
  <c r="D64" i="12"/>
  <c r="Q64" i="12" s="1"/>
  <c r="R64" i="12" s="1"/>
  <c r="D66" i="1"/>
  <c r="J66" i="1" s="1"/>
  <c r="D81" i="12"/>
  <c r="K81" i="12" s="1"/>
  <c r="D83" i="1"/>
  <c r="J83" i="1" s="1"/>
  <c r="BA147" i="12"/>
  <c r="W23" i="12"/>
  <c r="X23" i="12" s="1"/>
  <c r="AY351" i="12"/>
  <c r="BA351" i="12"/>
  <c r="BQ191" i="12"/>
  <c r="BI125" i="12"/>
  <c r="BA155" i="12"/>
  <c r="H7" i="12"/>
  <c r="AG66" i="12"/>
  <c r="BA188" i="12"/>
  <c r="BQ21" i="12"/>
  <c r="AH21" i="12"/>
  <c r="BM15" i="12"/>
  <c r="I17" i="1" s="1"/>
  <c r="AY125" i="12"/>
  <c r="AL115" i="12"/>
  <c r="O15" i="12"/>
  <c r="P15" i="12" s="1"/>
  <c r="AW79" i="12"/>
  <c r="BK355" i="12"/>
  <c r="U168" i="12"/>
  <c r="V168" i="12" s="1"/>
  <c r="AC350" i="12"/>
  <c r="AD350" i="12" s="1"/>
  <c r="L23" i="12"/>
  <c r="AG269" i="12"/>
  <c r="AY352" i="12"/>
  <c r="BE121" i="12"/>
  <c r="BK350" i="12"/>
  <c r="D173" i="1"/>
  <c r="J173" i="1" s="1"/>
  <c r="BK92" i="12"/>
  <c r="AW92" i="12"/>
  <c r="BG92" i="12"/>
  <c r="BR90" i="12"/>
  <c r="AY222" i="12"/>
  <c r="J336" i="8"/>
  <c r="C336" i="8" s="1"/>
  <c r="D337" i="1" s="1"/>
  <c r="BC27" i="12"/>
  <c r="BI27" i="12"/>
  <c r="BA27" i="12"/>
  <c r="AW27" i="12"/>
  <c r="BR342" i="12"/>
  <c r="AI342" i="12"/>
  <c r="BN88" i="12"/>
  <c r="BK6" i="12"/>
  <c r="D64" i="1"/>
  <c r="G64" i="1" s="1"/>
  <c r="AW60" i="12"/>
  <c r="BI159" i="12"/>
  <c r="BC107" i="12"/>
  <c r="BN112" i="12"/>
  <c r="BR320" i="12"/>
  <c r="BI130" i="12"/>
  <c r="D58" i="1"/>
  <c r="J58" i="1" s="1"/>
  <c r="AY53" i="12"/>
  <c r="BN130" i="12"/>
  <c r="AY186" i="12"/>
  <c r="BA186" i="12"/>
  <c r="AY218" i="12"/>
  <c r="BR92" i="12"/>
  <c r="AH177" i="12"/>
  <c r="BE107" i="12"/>
  <c r="BI39" i="12"/>
  <c r="BN90" i="12"/>
  <c r="AG322" i="12"/>
  <c r="AL186" i="12"/>
  <c r="BG218" i="12"/>
  <c r="BK112" i="12"/>
  <c r="D184" i="1"/>
  <c r="G184" i="1" s="1"/>
  <c r="D97" i="1"/>
  <c r="G97" i="1" s="1"/>
  <c r="BG143" i="12"/>
  <c r="D224" i="1"/>
  <c r="G224" i="1" s="1"/>
  <c r="D151" i="1"/>
  <c r="D149" i="12"/>
  <c r="BI53" i="12"/>
  <c r="BC53" i="12"/>
  <c r="BA356" i="12"/>
  <c r="AY204" i="12"/>
  <c r="AY43" i="12"/>
  <c r="BA3" i="12"/>
  <c r="BC103" i="12"/>
  <c r="BA103" i="12"/>
  <c r="BE103" i="12"/>
  <c r="AY103" i="12"/>
  <c r="BC203" i="12"/>
  <c r="BA203" i="12"/>
  <c r="BN342" i="12"/>
  <c r="AG342" i="12"/>
  <c r="BE28" i="12"/>
  <c r="AW8" i="12"/>
  <c r="AY8" i="12"/>
  <c r="BG8" i="12"/>
  <c r="BK127" i="12"/>
  <c r="BA127" i="12"/>
  <c r="BC127" i="12"/>
  <c r="BE127" i="12"/>
  <c r="AL168" i="12"/>
  <c r="AA168" i="12"/>
  <c r="AB168" i="12" s="1"/>
  <c r="AY168" i="12"/>
  <c r="AW168" i="12"/>
  <c r="L168" i="12"/>
  <c r="BE168" i="12"/>
  <c r="J168" i="12"/>
  <c r="AC168" i="12"/>
  <c r="AD168" i="12" s="1"/>
  <c r="Y168" i="12"/>
  <c r="Z168" i="12" s="1"/>
  <c r="W168" i="12"/>
  <c r="X168" i="12" s="1"/>
  <c r="I168" i="12"/>
  <c r="BG168" i="12"/>
  <c r="S168" i="12"/>
  <c r="T168" i="12" s="1"/>
  <c r="BO168" i="12"/>
  <c r="BK168" i="12"/>
  <c r="BI168" i="12"/>
  <c r="Q168" i="12"/>
  <c r="R168" i="12" s="1"/>
  <c r="AG88" i="12"/>
  <c r="BP88" i="12"/>
  <c r="AI201" i="12"/>
  <c r="BR201" i="12"/>
  <c r="J21" i="1"/>
  <c r="G21" i="1"/>
  <c r="AI169" i="12"/>
  <c r="BR169" i="12"/>
  <c r="BI31" i="12"/>
  <c r="BQ37" i="12"/>
  <c r="BM103" i="12"/>
  <c r="I105" i="1" s="1"/>
  <c r="BA207" i="12"/>
  <c r="AY207" i="12"/>
  <c r="BC207" i="12"/>
  <c r="BQ120" i="12"/>
  <c r="AH120" i="12"/>
  <c r="BO19" i="12"/>
  <c r="O19" i="12"/>
  <c r="P19" i="12" s="1"/>
  <c r="K19" i="12"/>
  <c r="AE19" i="12"/>
  <c r="AF19" i="12" s="1"/>
  <c r="S19" i="12"/>
  <c r="T19" i="12" s="1"/>
  <c r="M19" i="12"/>
  <c r="N19" i="12" s="1"/>
  <c r="H19" i="12"/>
  <c r="AA19" i="12"/>
  <c r="AB19" i="12" s="1"/>
  <c r="AC19" i="12"/>
  <c r="AD19" i="12" s="1"/>
  <c r="L19" i="12"/>
  <c r="Q19" i="12"/>
  <c r="R19" i="12" s="1"/>
  <c r="J19" i="12"/>
  <c r="W19" i="12"/>
  <c r="X19" i="12" s="1"/>
  <c r="U19" i="12"/>
  <c r="V19" i="12" s="1"/>
  <c r="I19" i="12"/>
  <c r="F19" i="12"/>
  <c r="Y19" i="12"/>
  <c r="Z19" i="12" s="1"/>
  <c r="BE19" i="12"/>
  <c r="BI19" i="12"/>
  <c r="BC19" i="12"/>
  <c r="AW19" i="12"/>
  <c r="BK19" i="12"/>
  <c r="BG19" i="12"/>
  <c r="AY19" i="12"/>
  <c r="BI140" i="12"/>
  <c r="BA140" i="12"/>
  <c r="D78" i="12"/>
  <c r="AW78" i="12" s="1"/>
  <c r="BC124" i="12"/>
  <c r="AL124" i="12"/>
  <c r="BI150" i="12"/>
  <c r="BG150" i="12"/>
  <c r="BC150" i="12"/>
  <c r="BK150" i="12"/>
  <c r="BK158" i="12"/>
  <c r="BG158" i="12"/>
  <c r="D180" i="1"/>
  <c r="D178" i="12"/>
  <c r="BI178" i="12" s="1"/>
  <c r="AI159" i="12"/>
  <c r="BR159" i="12"/>
  <c r="AL59" i="12"/>
  <c r="AY59" i="12"/>
  <c r="BA59" i="12"/>
  <c r="BC59" i="12"/>
  <c r="BG59" i="12"/>
  <c r="AH88" i="12"/>
  <c r="BQ88" i="12"/>
  <c r="BA171" i="12"/>
  <c r="BC171" i="12"/>
  <c r="BE171" i="12"/>
  <c r="AW171" i="12"/>
  <c r="BI171" i="12"/>
  <c r="BK171" i="12"/>
  <c r="AI164" i="12"/>
  <c r="BR164" i="12"/>
  <c r="BG11" i="12"/>
  <c r="BE11" i="12"/>
  <c r="AY11" i="12"/>
  <c r="BM11" i="12"/>
  <c r="I13" i="1" s="1"/>
  <c r="BI11" i="12"/>
  <c r="BI76" i="12"/>
  <c r="AL171" i="12"/>
  <c r="BG127" i="12"/>
  <c r="AI260" i="12"/>
  <c r="AG80" i="12"/>
  <c r="BN80" i="12"/>
  <c r="BP80" i="12"/>
  <c r="AI240" i="12"/>
  <c r="BK9" i="12"/>
  <c r="BG9" i="12"/>
  <c r="BC9" i="12"/>
  <c r="BI9" i="12"/>
  <c r="BA9" i="12"/>
  <c r="BG28" i="12"/>
  <c r="BA28" i="12"/>
  <c r="BC28" i="12"/>
  <c r="AY28" i="12"/>
  <c r="BK28" i="12"/>
  <c r="AH226" i="12"/>
  <c r="BQ226" i="12"/>
  <c r="BC37" i="12"/>
  <c r="BN37" i="12"/>
  <c r="AH201" i="12"/>
  <c r="AI178" i="12"/>
  <c r="BR178" i="12"/>
  <c r="BE169" i="12"/>
  <c r="BI217" i="12"/>
  <c r="AW217" i="12"/>
  <c r="BG217" i="12"/>
  <c r="AH169" i="12"/>
  <c r="BE9" i="12"/>
  <c r="D88" i="12"/>
  <c r="AW88" i="12" s="1"/>
  <c r="D69" i="12"/>
  <c r="K69" i="12" s="1"/>
  <c r="D71" i="1"/>
  <c r="G71" i="1" s="1"/>
  <c r="BQ201" i="12"/>
  <c r="BC128" i="12"/>
  <c r="BI128" i="12"/>
  <c r="BG108" i="12"/>
  <c r="AW108" i="12"/>
  <c r="AY108" i="12"/>
  <c r="BC160" i="12"/>
  <c r="BA160" i="12"/>
  <c r="AW160" i="12"/>
  <c r="AL160" i="12"/>
  <c r="AY160" i="12"/>
  <c r="BC32" i="12"/>
  <c r="BG32" i="12"/>
  <c r="BE32" i="12"/>
  <c r="BK103" i="12"/>
  <c r="AW103" i="12"/>
  <c r="AH66" i="12"/>
  <c r="BQ66" i="12"/>
  <c r="BN85" i="12"/>
  <c r="BE201" i="12"/>
  <c r="AY101" i="12"/>
  <c r="BE101" i="12"/>
  <c r="AY31" i="12"/>
  <c r="BN159" i="12"/>
  <c r="AW159" i="12"/>
  <c r="BA102" i="12"/>
  <c r="BC102" i="12"/>
  <c r="BA208" i="12"/>
  <c r="AL208" i="12"/>
  <c r="BG208" i="12"/>
  <c r="BK208" i="12"/>
  <c r="H208" i="12"/>
  <c r="BI208" i="12"/>
  <c r="AI344" i="12"/>
  <c r="BI28" i="12"/>
  <c r="BP304" i="12"/>
  <c r="BN304" i="12"/>
  <c r="AG304" i="12"/>
  <c r="BP159" i="12"/>
  <c r="AY93" i="12"/>
  <c r="AL93" i="12"/>
  <c r="D85" i="12"/>
  <c r="O85" i="12" s="1"/>
  <c r="P85" i="12" s="1"/>
  <c r="BN66" i="12"/>
  <c r="AW191" i="12"/>
  <c r="BE191" i="12"/>
  <c r="BK32" i="12"/>
  <c r="BI161" i="12"/>
  <c r="AY161" i="12"/>
  <c r="BG161" i="12"/>
  <c r="AW161" i="12"/>
  <c r="BE161" i="12"/>
  <c r="BK161" i="12"/>
  <c r="BI35" i="12"/>
  <c r="BE35" i="12"/>
  <c r="BG35" i="12"/>
  <c r="AY35" i="12"/>
  <c r="BK35" i="12"/>
  <c r="BI201" i="12"/>
  <c r="AG169" i="12"/>
  <c r="AW169" i="12"/>
  <c r="BP169" i="12"/>
  <c r="D210" i="12"/>
  <c r="D212" i="1"/>
  <c r="Q15" i="12"/>
  <c r="R15" i="12" s="1"/>
  <c r="BC186" i="12"/>
  <c r="BE80" i="12"/>
  <c r="O5" i="12"/>
  <c r="P5" i="12" s="1"/>
  <c r="BK143" i="12"/>
  <c r="BK169" i="12"/>
  <c r="BG15" i="12"/>
  <c r="AY185" i="12"/>
  <c r="S15" i="12"/>
  <c r="T15" i="12" s="1"/>
  <c r="BC157" i="12"/>
  <c r="BG106" i="12"/>
  <c r="BE4" i="12"/>
  <c r="BG185" i="12"/>
  <c r="BI355" i="12"/>
  <c r="BK15" i="12"/>
  <c r="BG105" i="12"/>
  <c r="BK30" i="12"/>
  <c r="AE5" i="12"/>
  <c r="AF5" i="12" s="1"/>
  <c r="AL92" i="12"/>
  <c r="BK80" i="12"/>
  <c r="H5" i="12"/>
  <c r="AY136" i="12"/>
  <c r="BA97" i="12"/>
  <c r="BC15" i="12"/>
  <c r="AL136" i="12"/>
  <c r="AW137" i="12"/>
  <c r="BE98" i="12"/>
  <c r="AY157" i="12"/>
  <c r="BC138" i="12"/>
  <c r="AW4" i="12"/>
  <c r="AW185" i="12"/>
  <c r="W15" i="12"/>
  <c r="X15" i="12" s="1"/>
  <c r="BI106" i="12"/>
  <c r="BE5" i="12"/>
  <c r="BC143" i="12"/>
  <c r="BC159" i="12"/>
  <c r="BM5" i="12"/>
  <c r="I7" i="1" s="1"/>
  <c r="AY137" i="12"/>
  <c r="BM80" i="12"/>
  <c r="BK95" i="12"/>
  <c r="BI136" i="12"/>
  <c r="BE355" i="12"/>
  <c r="BA352" i="12"/>
  <c r="G196" i="1"/>
  <c r="BC45" i="12"/>
  <c r="U5" i="12"/>
  <c r="V5" i="12" s="1"/>
  <c r="BK136" i="12"/>
  <c r="BG53" i="12"/>
  <c r="BC60" i="12"/>
  <c r="BA15" i="12"/>
  <c r="BK5" i="12"/>
  <c r="J15" i="12"/>
  <c r="AW53" i="12"/>
  <c r="BG30" i="12"/>
  <c r="AA15" i="12"/>
  <c r="AB15" i="12" s="1"/>
  <c r="AY138" i="12"/>
  <c r="AW30" i="12"/>
  <c r="AW211" i="12"/>
  <c r="G29" i="1"/>
  <c r="BI4" i="12"/>
  <c r="BA61" i="12"/>
  <c r="BC146" i="12"/>
  <c r="AH164" i="12"/>
  <c r="W5" i="12"/>
  <c r="X5" i="12" s="1"/>
  <c r="BI42" i="12"/>
  <c r="BA53" i="12"/>
  <c r="AL80" i="12"/>
  <c r="AY7" i="12"/>
  <c r="AY15" i="12"/>
  <c r="BE15" i="12"/>
  <c r="I15" i="12"/>
  <c r="K15" i="12"/>
  <c r="BI138" i="12"/>
  <c r="AY106" i="12"/>
  <c r="AW351" i="12"/>
  <c r="BE351" i="12"/>
  <c r="AY355" i="12"/>
  <c r="D141" i="1"/>
  <c r="J141" i="1" s="1"/>
  <c r="BA105" i="12"/>
  <c r="BQ164" i="12"/>
  <c r="AA5" i="12"/>
  <c r="AB5" i="12" s="1"/>
  <c r="BA5" i="12"/>
  <c r="BE53" i="12"/>
  <c r="BG6" i="12"/>
  <c r="BI137" i="12"/>
  <c r="BC125" i="12"/>
  <c r="BA218" i="12"/>
  <c r="BE146" i="12"/>
  <c r="BK146" i="12"/>
  <c r="BA30" i="12"/>
  <c r="BE30" i="12"/>
  <c r="K5" i="12"/>
  <c r="BM6" i="12"/>
  <c r="I8" i="1" s="1"/>
  <c r="BC16" i="12"/>
  <c r="BI351" i="12"/>
  <c r="AW97" i="12"/>
  <c r="BE6" i="12"/>
  <c r="AW45" i="12"/>
  <c r="AC15" i="12"/>
  <c r="AD15" i="12" s="1"/>
  <c r="M15" i="12"/>
  <c r="N15" i="12" s="1"/>
  <c r="BC169" i="12"/>
  <c r="BA106" i="12"/>
  <c r="BG355" i="12"/>
  <c r="AL218" i="12"/>
  <c r="BG95" i="12"/>
  <c r="BK60" i="12"/>
  <c r="I5" i="12"/>
  <c r="AL204" i="12"/>
  <c r="BG20" i="12"/>
  <c r="BC196" i="12"/>
  <c r="H196" i="12"/>
  <c r="AY20" i="12"/>
  <c r="BC24" i="12"/>
  <c r="AY24" i="12"/>
  <c r="BK111" i="12"/>
  <c r="AL111" i="12"/>
  <c r="BC111" i="12"/>
  <c r="AL158" i="12"/>
  <c r="BC122" i="12"/>
  <c r="BE102" i="12"/>
  <c r="F216" i="12"/>
  <c r="BA217" i="12"/>
  <c r="BK217" i="12"/>
  <c r="BC217" i="12"/>
  <c r="BN196" i="12"/>
  <c r="AW99" i="12"/>
  <c r="AL148" i="12"/>
  <c r="BA148" i="12"/>
  <c r="BK20" i="12"/>
  <c r="BK144" i="12"/>
  <c r="AL144" i="12"/>
  <c r="BI144" i="12"/>
  <c r="BA144" i="12"/>
  <c r="BC144" i="12"/>
  <c r="BE12" i="12"/>
  <c r="AY12" i="12"/>
  <c r="W216" i="12"/>
  <c r="X216" i="12" s="1"/>
  <c r="BI139" i="12"/>
  <c r="AL139" i="12"/>
  <c r="BA79" i="12"/>
  <c r="BC79" i="12"/>
  <c r="BE111" i="12"/>
  <c r="BI182" i="12"/>
  <c r="AL182" i="12"/>
  <c r="AW182" i="12"/>
  <c r="BG101" i="12"/>
  <c r="BK54" i="12"/>
  <c r="BI24" i="12"/>
  <c r="Q216" i="12"/>
  <c r="R216" i="12" s="1"/>
  <c r="BE24" i="12"/>
  <c r="BI111" i="12"/>
  <c r="BE356" i="12"/>
  <c r="AY41" i="12"/>
  <c r="BC41" i="12"/>
  <c r="BE41" i="12"/>
  <c r="G37" i="1"/>
  <c r="J37" i="1"/>
  <c r="BN178" i="12"/>
  <c r="AG178" i="12"/>
  <c r="BB357" i="12"/>
  <c r="BE21" i="12"/>
  <c r="BA21" i="12"/>
  <c r="AW32" i="12"/>
  <c r="AY32" i="12"/>
  <c r="I35" i="12"/>
  <c r="AC35" i="12"/>
  <c r="AD35" i="12" s="1"/>
  <c r="H35" i="12"/>
  <c r="AA35" i="12"/>
  <c r="AB35" i="12" s="1"/>
  <c r="J35" i="12"/>
  <c r="BO35" i="12"/>
  <c r="O35" i="12"/>
  <c r="P35" i="12" s="1"/>
  <c r="AE35" i="12"/>
  <c r="AF35" i="12" s="1"/>
  <c r="Q35" i="12"/>
  <c r="R35" i="12" s="1"/>
  <c r="M35" i="12"/>
  <c r="N35" i="12" s="1"/>
  <c r="L35" i="12"/>
  <c r="F35" i="12"/>
  <c r="S35" i="12"/>
  <c r="T35" i="12" s="1"/>
  <c r="Y35" i="12"/>
  <c r="Z35" i="12" s="1"/>
  <c r="W35" i="12"/>
  <c r="X35" i="12" s="1"/>
  <c r="U35" i="12"/>
  <c r="V35" i="12" s="1"/>
  <c r="K35" i="12"/>
  <c r="BA35" i="12"/>
  <c r="AW35" i="12"/>
  <c r="BC35" i="12"/>
  <c r="BG216" i="12"/>
  <c r="BC216" i="12"/>
  <c r="BK34" i="12"/>
  <c r="AY34" i="12"/>
  <c r="BA130" i="12"/>
  <c r="AL130" i="12"/>
  <c r="BG130" i="12"/>
  <c r="AY130" i="12"/>
  <c r="G46" i="1"/>
  <c r="J46" i="1"/>
  <c r="M44" i="12"/>
  <c r="N44" i="12" s="1"/>
  <c r="BO44" i="12"/>
  <c r="H44" i="12"/>
  <c r="L44" i="12"/>
  <c r="AA44" i="12"/>
  <c r="AB44" i="12" s="1"/>
  <c r="I44" i="12"/>
  <c r="J44" i="12"/>
  <c r="AC44" i="12"/>
  <c r="AD44" i="12" s="1"/>
  <c r="S44" i="12"/>
  <c r="T44" i="12" s="1"/>
  <c r="Q44" i="12"/>
  <c r="R44" i="12" s="1"/>
  <c r="O44" i="12"/>
  <c r="P44" i="12" s="1"/>
  <c r="U44" i="12"/>
  <c r="V44" i="12" s="1"/>
  <c r="AE44" i="12"/>
  <c r="AF44" i="12" s="1"/>
  <c r="Y44" i="12"/>
  <c r="Z44" i="12" s="1"/>
  <c r="W44" i="12"/>
  <c r="X44" i="12" s="1"/>
  <c r="K44" i="12"/>
  <c r="F44" i="12"/>
  <c r="AW44" i="12"/>
  <c r="BI44" i="12"/>
  <c r="BC44" i="12"/>
  <c r="BG44" i="12"/>
  <c r="BM44" i="12"/>
  <c r="I46" i="1" s="1"/>
  <c r="BA44" i="12"/>
  <c r="AY44" i="12"/>
  <c r="BK44" i="12"/>
  <c r="BA24" i="12"/>
  <c r="AW130" i="12"/>
  <c r="BI102" i="12"/>
  <c r="AY9" i="12"/>
  <c r="BG139" i="12"/>
  <c r="BE144" i="12"/>
  <c r="AL173" i="12"/>
  <c r="BI34" i="12"/>
  <c r="BE140" i="12"/>
  <c r="AL140" i="12"/>
  <c r="BC34" i="12"/>
  <c r="AW145" i="12"/>
  <c r="BK145" i="12"/>
  <c r="I216" i="12"/>
  <c r="BC87" i="12"/>
  <c r="AW100" i="12"/>
  <c r="AY100" i="12"/>
  <c r="AL196" i="12"/>
  <c r="AL156" i="12"/>
  <c r="BE156" i="12"/>
  <c r="BA156" i="12"/>
  <c r="BG156" i="12"/>
  <c r="AY156" i="12"/>
  <c r="BC156" i="12"/>
  <c r="BK72" i="12"/>
  <c r="D200" i="12"/>
  <c r="D202" i="1"/>
  <c r="AY111" i="12"/>
  <c r="BE126" i="12"/>
  <c r="BC126" i="12"/>
  <c r="AY99" i="12"/>
  <c r="AW24" i="12"/>
  <c r="AY144" i="12"/>
  <c r="AW102" i="12"/>
  <c r="BA34" i="12"/>
  <c r="BC75" i="12"/>
  <c r="BA98" i="12"/>
  <c r="AY98" i="12"/>
  <c r="AW98" i="12"/>
  <c r="BC20" i="12"/>
  <c r="AY196" i="12"/>
  <c r="BI207" i="12"/>
  <c r="BK207" i="12"/>
  <c r="J176" i="1"/>
  <c r="G176" i="1"/>
  <c r="I194" i="12"/>
  <c r="H194" i="12"/>
  <c r="Y194" i="12"/>
  <c r="Z194" i="12" s="1"/>
  <c r="F194" i="12"/>
  <c r="W194" i="12"/>
  <c r="X194" i="12" s="1"/>
  <c r="AE194" i="12"/>
  <c r="AF194" i="12" s="1"/>
  <c r="Q194" i="12"/>
  <c r="R194" i="12" s="1"/>
  <c r="U194" i="12"/>
  <c r="V194" i="12" s="1"/>
  <c r="AC194" i="12"/>
  <c r="AD194" i="12" s="1"/>
  <c r="K194" i="12"/>
  <c r="BO194" i="12"/>
  <c r="J194" i="12"/>
  <c r="S194" i="12"/>
  <c r="T194" i="12" s="1"/>
  <c r="O194" i="12"/>
  <c r="P194" i="12" s="1"/>
  <c r="M194" i="12"/>
  <c r="N194" i="12" s="1"/>
  <c r="L194" i="12"/>
  <c r="AA194" i="12"/>
  <c r="AB194" i="12" s="1"/>
  <c r="BG194" i="12"/>
  <c r="BE194" i="12"/>
  <c r="BI194" i="12"/>
  <c r="AY194" i="12"/>
  <c r="BE118" i="12"/>
  <c r="AY118" i="12"/>
  <c r="BC70" i="12"/>
  <c r="BA70" i="12"/>
  <c r="BA211" i="12"/>
  <c r="BC211" i="12"/>
  <c r="BE10" i="12"/>
  <c r="BG10" i="12"/>
  <c r="BI10" i="12"/>
  <c r="BG137" i="12"/>
  <c r="BC137" i="12"/>
  <c r="BK137" i="12"/>
  <c r="BA137" i="12"/>
  <c r="BE45" i="12"/>
  <c r="BA45" i="12"/>
  <c r="W190" i="12"/>
  <c r="X190" i="12" s="1"/>
  <c r="U190" i="12"/>
  <c r="V190" i="12" s="1"/>
  <c r="S190" i="12"/>
  <c r="T190" i="12" s="1"/>
  <c r="BO190" i="12"/>
  <c r="O190" i="12"/>
  <c r="P190" i="12" s="1"/>
  <c r="L190" i="12"/>
  <c r="AA190" i="12"/>
  <c r="AB190" i="12" s="1"/>
  <c r="K190" i="12"/>
  <c r="J190" i="12"/>
  <c r="Y190" i="12"/>
  <c r="Z190" i="12" s="1"/>
  <c r="H190" i="12"/>
  <c r="I190" i="12"/>
  <c r="M190" i="12"/>
  <c r="N190" i="12" s="1"/>
  <c r="AE190" i="12"/>
  <c r="AF190" i="12" s="1"/>
  <c r="AC190" i="12"/>
  <c r="AD190" i="12" s="1"/>
  <c r="F190" i="12"/>
  <c r="Q190" i="12"/>
  <c r="R190" i="12" s="1"/>
  <c r="BC190" i="12"/>
  <c r="AL190" i="12"/>
  <c r="BE190" i="12"/>
  <c r="AY190" i="12"/>
  <c r="U356" i="12"/>
  <c r="V356" i="12" s="1"/>
  <c r="S356" i="12"/>
  <c r="T356" i="12" s="1"/>
  <c r="AA356" i="12"/>
  <c r="AB356" i="12" s="1"/>
  <c r="BO356" i="12"/>
  <c r="W356" i="12"/>
  <c r="X356" i="12" s="1"/>
  <c r="M356" i="12"/>
  <c r="N356" i="12" s="1"/>
  <c r="K356" i="12"/>
  <c r="J356" i="12"/>
  <c r="L356" i="12"/>
  <c r="Y356" i="12"/>
  <c r="Z356" i="12" s="1"/>
  <c r="H356" i="12"/>
  <c r="F356" i="12"/>
  <c r="I356" i="12"/>
  <c r="Q356" i="12"/>
  <c r="R356" i="12" s="1"/>
  <c r="AC356" i="12"/>
  <c r="AD356" i="12" s="1"/>
  <c r="AE356" i="12"/>
  <c r="AF356" i="12" s="1"/>
  <c r="O356" i="12"/>
  <c r="P356" i="12" s="1"/>
  <c r="AW356" i="12"/>
  <c r="BI356" i="12"/>
  <c r="AY356" i="12"/>
  <c r="BG356" i="12"/>
  <c r="BK356" i="12"/>
  <c r="BC356" i="12"/>
  <c r="AC216" i="12"/>
  <c r="AD216" i="12" s="1"/>
  <c r="AA216" i="12"/>
  <c r="AB216" i="12" s="1"/>
  <c r="L216" i="12"/>
  <c r="BK216" i="12"/>
  <c r="AY216" i="12"/>
  <c r="BE216" i="12"/>
  <c r="AL216" i="12"/>
  <c r="BC29" i="12"/>
  <c r="AW29" i="12"/>
  <c r="AY201" i="12"/>
  <c r="BA201" i="12"/>
  <c r="S26" i="12"/>
  <c r="T26" i="12" s="1"/>
  <c r="Q26" i="12"/>
  <c r="R26" i="12" s="1"/>
  <c r="M26" i="12"/>
  <c r="N26" i="12" s="1"/>
  <c r="J26" i="12"/>
  <c r="I26" i="12"/>
  <c r="BO26" i="12"/>
  <c r="U26" i="12"/>
  <c r="V26" i="12" s="1"/>
  <c r="O26" i="12"/>
  <c r="P26" i="12" s="1"/>
  <c r="AE26" i="12"/>
  <c r="AF26" i="12" s="1"/>
  <c r="BM26" i="12"/>
  <c r="I28" i="1" s="1"/>
  <c r="AC26" i="12"/>
  <c r="AD26" i="12" s="1"/>
  <c r="L26" i="12"/>
  <c r="W26" i="12"/>
  <c r="X26" i="12" s="1"/>
  <c r="K26" i="12"/>
  <c r="H26" i="12"/>
  <c r="F26" i="12"/>
  <c r="AA26" i="12"/>
  <c r="AB26" i="12" s="1"/>
  <c r="Y26" i="12"/>
  <c r="Z26" i="12" s="1"/>
  <c r="BI26" i="12"/>
  <c r="BE26" i="12"/>
  <c r="BC26" i="12"/>
  <c r="BA26" i="12"/>
  <c r="AY26" i="12"/>
  <c r="BG26" i="12"/>
  <c r="BK26" i="12"/>
  <c r="G55" i="1"/>
  <c r="J55" i="1"/>
  <c r="AY158" i="12"/>
  <c r="BE158" i="12"/>
  <c r="BI158" i="12"/>
  <c r="BE44" i="12"/>
  <c r="BI173" i="12"/>
  <c r="AW26" i="12"/>
  <c r="AY189" i="12"/>
  <c r="AE216" i="12"/>
  <c r="AF216" i="12" s="1"/>
  <c r="AH196" i="12"/>
  <c r="BG24" i="12"/>
  <c r="AW139" i="12"/>
  <c r="BK191" i="12"/>
  <c r="AL191" i="12"/>
  <c r="AY191" i="12"/>
  <c r="BG191" i="12"/>
  <c r="BC191" i="12"/>
  <c r="BA191" i="12"/>
  <c r="BK147" i="12"/>
  <c r="BC147" i="12"/>
  <c r="BE147" i="12"/>
  <c r="BI190" i="12"/>
  <c r="BI175" i="12"/>
  <c r="BK175" i="12"/>
  <c r="BC175" i="12"/>
  <c r="BC18" i="12"/>
  <c r="BA18" i="12"/>
  <c r="BE18" i="12"/>
  <c r="AW18" i="12"/>
  <c r="BI54" i="12"/>
  <c r="BI164" i="12"/>
  <c r="AW164" i="12"/>
  <c r="BO216" i="12"/>
  <c r="AW158" i="12"/>
  <c r="BE131" i="12"/>
  <c r="AY131" i="12"/>
  <c r="BC198" i="12"/>
  <c r="BA198" i="12"/>
  <c r="AY198" i="12"/>
  <c r="AL198" i="12"/>
  <c r="BM190" i="12"/>
  <c r="I192" i="1" s="1"/>
  <c r="AW111" i="12"/>
  <c r="BG45" i="12"/>
  <c r="BE76" i="12"/>
  <c r="BK11" i="12"/>
  <c r="BI225" i="12"/>
  <c r="AL161" i="12"/>
  <c r="D57" i="1"/>
  <c r="D55" i="12"/>
  <c r="BI97" i="12"/>
  <c r="BK93" i="12"/>
  <c r="BK40" i="12"/>
  <c r="BE208" i="12"/>
  <c r="BA146" i="12"/>
  <c r="G105" i="1"/>
  <c r="J105" i="1"/>
  <c r="BI16" i="12"/>
  <c r="AY16" i="12"/>
  <c r="AY203" i="12"/>
  <c r="BG146" i="12"/>
  <c r="AY92" i="12"/>
  <c r="BE163" i="12"/>
  <c r="G41" i="1"/>
  <c r="J41" i="1"/>
  <c r="K103" i="12"/>
  <c r="J103" i="12"/>
  <c r="S103" i="12"/>
  <c r="T103" i="12" s="1"/>
  <c r="BO103" i="12"/>
  <c r="W103" i="12"/>
  <c r="X103" i="12" s="1"/>
  <c r="U103" i="12"/>
  <c r="V103" i="12" s="1"/>
  <c r="Q103" i="12"/>
  <c r="R103" i="12" s="1"/>
  <c r="L103" i="12"/>
  <c r="I103" i="12"/>
  <c r="F103" i="12"/>
  <c r="AA103" i="12"/>
  <c r="AB103" i="12" s="1"/>
  <c r="H103" i="12"/>
  <c r="Y103" i="12"/>
  <c r="Z103" i="12" s="1"/>
  <c r="AE103" i="12"/>
  <c r="AF103" i="12" s="1"/>
  <c r="O103" i="12"/>
  <c r="P103" i="12" s="1"/>
  <c r="M103" i="12"/>
  <c r="N103" i="12" s="1"/>
  <c r="AC103" i="12"/>
  <c r="AD103" i="12" s="1"/>
  <c r="AL60" i="12"/>
  <c r="AY6" i="12"/>
  <c r="BC11" i="12"/>
  <c r="AE80" i="12"/>
  <c r="AF80" i="12" s="1"/>
  <c r="O80" i="12"/>
  <c r="P80" i="12" s="1"/>
  <c r="AC80" i="12"/>
  <c r="AD80" i="12" s="1"/>
  <c r="M80" i="12"/>
  <c r="N80" i="12" s="1"/>
  <c r="L80" i="12"/>
  <c r="U80" i="12"/>
  <c r="V80" i="12" s="1"/>
  <c r="S80" i="12"/>
  <c r="T80" i="12" s="1"/>
  <c r="BO80" i="12"/>
  <c r="Q80" i="12"/>
  <c r="R80" i="12" s="1"/>
  <c r="K80" i="12"/>
  <c r="I80" i="12"/>
  <c r="Y80" i="12"/>
  <c r="Z80" i="12" s="1"/>
  <c r="W80" i="12"/>
  <c r="X80" i="12" s="1"/>
  <c r="H80" i="12"/>
  <c r="F80" i="12"/>
  <c r="J80" i="12"/>
  <c r="AA80" i="12"/>
  <c r="AB80" i="12" s="1"/>
  <c r="BG103" i="12"/>
  <c r="I27" i="12"/>
  <c r="Y27" i="12"/>
  <c r="Z27" i="12" s="1"/>
  <c r="F27" i="12"/>
  <c r="U27" i="12"/>
  <c r="V27" i="12" s="1"/>
  <c r="W27" i="12"/>
  <c r="X27" i="12" s="1"/>
  <c r="S27" i="12"/>
  <c r="T27" i="12" s="1"/>
  <c r="AE27" i="12"/>
  <c r="AF27" i="12" s="1"/>
  <c r="M27" i="12"/>
  <c r="N27" i="12" s="1"/>
  <c r="AC27" i="12"/>
  <c r="AD27" i="12" s="1"/>
  <c r="L27" i="12"/>
  <c r="K27" i="12"/>
  <c r="AA27" i="12"/>
  <c r="AB27" i="12" s="1"/>
  <c r="BO27" i="12"/>
  <c r="J27" i="12"/>
  <c r="Q27" i="12"/>
  <c r="R27" i="12" s="1"/>
  <c r="O27" i="12"/>
  <c r="P27" i="12" s="1"/>
  <c r="H27" i="12"/>
  <c r="BE159" i="12"/>
  <c r="BC188" i="12"/>
  <c r="J35" i="1"/>
  <c r="G35" i="1"/>
  <c r="I39" i="12"/>
  <c r="H39" i="12"/>
  <c r="F39" i="12"/>
  <c r="L39" i="12"/>
  <c r="AA39" i="12"/>
  <c r="AB39" i="12" s="1"/>
  <c r="U39" i="12"/>
  <c r="V39" i="12" s="1"/>
  <c r="BO39" i="12"/>
  <c r="K39" i="12"/>
  <c r="AC39" i="12"/>
  <c r="AD39" i="12" s="1"/>
  <c r="J39" i="12"/>
  <c r="Y39" i="12"/>
  <c r="Z39" i="12" s="1"/>
  <c r="W39" i="12"/>
  <c r="X39" i="12" s="1"/>
  <c r="S39" i="12"/>
  <c r="T39" i="12" s="1"/>
  <c r="Q39" i="12"/>
  <c r="R39" i="12" s="1"/>
  <c r="AE39" i="12"/>
  <c r="AF39" i="12" s="1"/>
  <c r="M39" i="12"/>
  <c r="N39" i="12" s="1"/>
  <c r="O39" i="12"/>
  <c r="P39" i="12" s="1"/>
  <c r="J62" i="1"/>
  <c r="G62" i="1"/>
  <c r="BA11" i="12"/>
  <c r="BG39" i="12"/>
  <c r="J134" i="1"/>
  <c r="G134" i="1"/>
  <c r="BE203" i="12"/>
  <c r="BA169" i="12"/>
  <c r="I33" i="12"/>
  <c r="Y33" i="12"/>
  <c r="Z33" i="12" s="1"/>
  <c r="W33" i="12"/>
  <c r="X33" i="12" s="1"/>
  <c r="F33" i="12"/>
  <c r="U33" i="12"/>
  <c r="V33" i="12" s="1"/>
  <c r="AC33" i="12"/>
  <c r="AD33" i="12" s="1"/>
  <c r="S33" i="12"/>
  <c r="T33" i="12" s="1"/>
  <c r="M33" i="12"/>
  <c r="N33" i="12" s="1"/>
  <c r="L33" i="12"/>
  <c r="K33" i="12"/>
  <c r="H33" i="12"/>
  <c r="AA33" i="12"/>
  <c r="AB33" i="12" s="1"/>
  <c r="BO33" i="12"/>
  <c r="J33" i="12"/>
  <c r="Q33" i="12"/>
  <c r="R33" i="12" s="1"/>
  <c r="O33" i="12"/>
  <c r="P33" i="12" s="1"/>
  <c r="AE33" i="12"/>
  <c r="AF33" i="12" s="1"/>
  <c r="AY33" i="12"/>
  <c r="BA136" i="12"/>
  <c r="Y60" i="12"/>
  <c r="Z60" i="12" s="1"/>
  <c r="W60" i="12"/>
  <c r="X60" i="12" s="1"/>
  <c r="BO60" i="12"/>
  <c r="F60" i="12"/>
  <c r="S60" i="12"/>
  <c r="T60" i="12" s="1"/>
  <c r="I60" i="12"/>
  <c r="H168" i="12"/>
  <c r="F168" i="12"/>
  <c r="BI103" i="12"/>
  <c r="BA6" i="12"/>
  <c r="BI160" i="12"/>
  <c r="AY188" i="12"/>
  <c r="G118" i="1"/>
  <c r="J118" i="1"/>
  <c r="AY27" i="12"/>
  <c r="H53" i="12"/>
  <c r="W53" i="12"/>
  <c r="X53" i="12" s="1"/>
  <c r="S53" i="12"/>
  <c r="T53" i="12" s="1"/>
  <c r="U53" i="12"/>
  <c r="V53" i="12" s="1"/>
  <c r="Q53" i="12"/>
  <c r="R53" i="12" s="1"/>
  <c r="M53" i="12"/>
  <c r="N53" i="12" s="1"/>
  <c r="F53" i="12"/>
  <c r="AC53" i="12"/>
  <c r="AD53" i="12" s="1"/>
  <c r="L53" i="12"/>
  <c r="K53" i="12"/>
  <c r="AA53" i="12"/>
  <c r="AB53" i="12" s="1"/>
  <c r="J53" i="12"/>
  <c r="BO53" i="12"/>
  <c r="O53" i="12"/>
  <c r="P53" i="12" s="1"/>
  <c r="AE53" i="12"/>
  <c r="AF53" i="12" s="1"/>
  <c r="BM53" i="12"/>
  <c r="Y53" i="12"/>
  <c r="Z53" i="12" s="1"/>
  <c r="D184" i="12"/>
  <c r="D186" i="1"/>
  <c r="G18" i="1"/>
  <c r="J18" i="1"/>
  <c r="G99" i="1"/>
  <c r="J99" i="1"/>
  <c r="G13" i="1"/>
  <c r="J13" i="1"/>
  <c r="S16" i="12"/>
  <c r="T16" i="12" s="1"/>
  <c r="AE16" i="12"/>
  <c r="AF16" i="12" s="1"/>
  <c r="U16" i="12"/>
  <c r="V16" i="12" s="1"/>
  <c r="BO16" i="12"/>
  <c r="Q16" i="12"/>
  <c r="R16" i="12" s="1"/>
  <c r="L16" i="12"/>
  <c r="K16" i="12"/>
  <c r="AA16" i="12"/>
  <c r="AB16" i="12" s="1"/>
  <c r="J16" i="12"/>
  <c r="I16" i="12"/>
  <c r="Y16" i="12"/>
  <c r="Z16" i="12" s="1"/>
  <c r="W16" i="12"/>
  <c r="X16" i="12" s="1"/>
  <c r="M16" i="12"/>
  <c r="N16" i="12" s="1"/>
  <c r="AC16" i="12"/>
  <c r="AD16" i="12" s="1"/>
  <c r="H16" i="12"/>
  <c r="O16" i="12"/>
  <c r="P16" i="12" s="1"/>
  <c r="F16" i="12"/>
  <c r="BA16" i="12"/>
  <c r="D181" i="12"/>
  <c r="D183" i="1"/>
  <c r="G8" i="1"/>
  <c r="J8" i="1"/>
  <c r="W97" i="12"/>
  <c r="X97" i="12" s="1"/>
  <c r="U97" i="12"/>
  <c r="V97" i="12" s="1"/>
  <c r="S97" i="12"/>
  <c r="T97" i="12" s="1"/>
  <c r="Q97" i="12"/>
  <c r="R97" i="12" s="1"/>
  <c r="AE97" i="12"/>
  <c r="AF97" i="12" s="1"/>
  <c r="J97" i="12"/>
  <c r="I97" i="12"/>
  <c r="BO97" i="12"/>
  <c r="Y97" i="12"/>
  <c r="Z97" i="12" s="1"/>
  <c r="AA97" i="12"/>
  <c r="AB97" i="12" s="1"/>
  <c r="O97" i="12"/>
  <c r="P97" i="12" s="1"/>
  <c r="F97" i="12"/>
  <c r="K97" i="12"/>
  <c r="M97" i="12"/>
  <c r="N97" i="12" s="1"/>
  <c r="H97" i="12"/>
  <c r="AC97" i="12"/>
  <c r="AD97" i="12" s="1"/>
  <c r="L97" i="12"/>
  <c r="W11" i="12"/>
  <c r="X11" i="12" s="1"/>
  <c r="U11" i="12"/>
  <c r="V11" i="12" s="1"/>
  <c r="H11" i="12"/>
  <c r="J11" i="12"/>
  <c r="F11" i="12"/>
  <c r="S11" i="12"/>
  <c r="T11" i="12" s="1"/>
  <c r="M11" i="12"/>
  <c r="N11" i="12" s="1"/>
  <c r="AC11" i="12"/>
  <c r="AD11" i="12" s="1"/>
  <c r="L11" i="12"/>
  <c r="K11" i="12"/>
  <c r="I11" i="12"/>
  <c r="Y11" i="12"/>
  <c r="Z11" i="12" s="1"/>
  <c r="Q11" i="12"/>
  <c r="R11" i="12" s="1"/>
  <c r="O11" i="12"/>
  <c r="P11" i="12" s="1"/>
  <c r="BO11" i="12"/>
  <c r="AE11" i="12"/>
  <c r="AF11" i="12" s="1"/>
  <c r="AA11" i="12"/>
  <c r="AB11" i="12" s="1"/>
  <c r="J109" i="1"/>
  <c r="G109" i="1"/>
  <c r="G9" i="1"/>
  <c r="J9" i="1"/>
  <c r="D83" i="12"/>
  <c r="D85" i="1"/>
  <c r="O59" i="12"/>
  <c r="P59" i="12" s="1"/>
  <c r="M59" i="12"/>
  <c r="N59" i="12" s="1"/>
  <c r="AE59" i="12"/>
  <c r="AF59" i="12" s="1"/>
  <c r="L59" i="12"/>
  <c r="K59" i="12"/>
  <c r="Y59" i="12"/>
  <c r="Z59" i="12" s="1"/>
  <c r="W59" i="12"/>
  <c r="X59" i="12" s="1"/>
  <c r="U59" i="12"/>
  <c r="V59" i="12" s="1"/>
  <c r="S59" i="12"/>
  <c r="T59" i="12" s="1"/>
  <c r="Q59" i="12"/>
  <c r="R59" i="12" s="1"/>
  <c r="AC59" i="12"/>
  <c r="AD59" i="12" s="1"/>
  <c r="AA59" i="12"/>
  <c r="AB59" i="12" s="1"/>
  <c r="J59" i="12"/>
  <c r="H59" i="12"/>
  <c r="I59" i="12"/>
  <c r="F59" i="12"/>
  <c r="BO59" i="12"/>
  <c r="Y6" i="12"/>
  <c r="Z6" i="12" s="1"/>
  <c r="I6" i="12"/>
  <c r="H6" i="12"/>
  <c r="W6" i="12"/>
  <c r="X6" i="12" s="1"/>
  <c r="U6" i="12"/>
  <c r="V6" i="12" s="1"/>
  <c r="BO6" i="12"/>
  <c r="AE6" i="12"/>
  <c r="AF6" i="12" s="1"/>
  <c r="AC6" i="12"/>
  <c r="AD6" i="12" s="1"/>
  <c r="M6" i="12"/>
  <c r="N6" i="12" s="1"/>
  <c r="L6" i="12"/>
  <c r="AA6" i="12"/>
  <c r="AB6" i="12" s="1"/>
  <c r="K6" i="12"/>
  <c r="S6" i="12"/>
  <c r="T6" i="12" s="1"/>
  <c r="Q6" i="12"/>
  <c r="R6" i="12" s="1"/>
  <c r="O6" i="12"/>
  <c r="P6" i="12" s="1"/>
  <c r="F6" i="12"/>
  <c r="J6" i="12"/>
  <c r="Y136" i="12"/>
  <c r="Z136" i="12" s="1"/>
  <c r="W136" i="12"/>
  <c r="X136" i="12" s="1"/>
  <c r="H136" i="12"/>
  <c r="U136" i="12"/>
  <c r="V136" i="12" s="1"/>
  <c r="S136" i="12"/>
  <c r="T136" i="12" s="1"/>
  <c r="O136" i="12"/>
  <c r="P136" i="12" s="1"/>
  <c r="M136" i="12"/>
  <c r="N136" i="12" s="1"/>
  <c r="AA136" i="12"/>
  <c r="AB136" i="12" s="1"/>
  <c r="L136" i="12"/>
  <c r="K136" i="12"/>
  <c r="J136" i="12"/>
  <c r="I136" i="12"/>
  <c r="Q136" i="12"/>
  <c r="R136" i="12" s="1"/>
  <c r="AC136" i="12"/>
  <c r="AD136" i="12" s="1"/>
  <c r="BO136" i="12"/>
  <c r="F136" i="12"/>
  <c r="AE136" i="12"/>
  <c r="AF136" i="12" s="1"/>
  <c r="BC121" i="12"/>
  <c r="AL121" i="12"/>
  <c r="BI124" i="12"/>
  <c r="BE160" i="12"/>
  <c r="AY179" i="12"/>
  <c r="AL128" i="12"/>
  <c r="BG352" i="12"/>
  <c r="BA109" i="12"/>
  <c r="BG25" i="12"/>
  <c r="AW80" i="12"/>
  <c r="AW203" i="12"/>
  <c r="BA161" i="12"/>
  <c r="BE39" i="12"/>
  <c r="BE155" i="12"/>
  <c r="AY124" i="12"/>
  <c r="AL146" i="12"/>
  <c r="BK59" i="12"/>
  <c r="AW209" i="12"/>
  <c r="AY180" i="12"/>
  <c r="BE209" i="12"/>
  <c r="I7" i="12"/>
  <c r="AW59" i="12"/>
  <c r="I107" i="12"/>
  <c r="BO107" i="12"/>
  <c r="W107" i="12"/>
  <c r="X107" i="12" s="1"/>
  <c r="U107" i="12"/>
  <c r="V107" i="12" s="1"/>
  <c r="S107" i="12"/>
  <c r="T107" i="12" s="1"/>
  <c r="AC107" i="12"/>
  <c r="AD107" i="12" s="1"/>
  <c r="M107" i="12"/>
  <c r="N107" i="12" s="1"/>
  <c r="L107" i="12"/>
  <c r="AA107" i="12"/>
  <c r="AB107" i="12" s="1"/>
  <c r="K107" i="12"/>
  <c r="F107" i="12"/>
  <c r="J107" i="12"/>
  <c r="Q107" i="12"/>
  <c r="R107" i="12" s="1"/>
  <c r="AE107" i="12"/>
  <c r="AF107" i="12" s="1"/>
  <c r="O107" i="12"/>
  <c r="P107" i="12" s="1"/>
  <c r="Y107" i="12"/>
  <c r="Z107" i="12" s="1"/>
  <c r="AY60" i="12"/>
  <c r="J93" i="1"/>
  <c r="G93" i="1"/>
  <c r="BG97" i="12"/>
  <c r="BE92" i="12"/>
  <c r="BI157" i="12"/>
  <c r="AV357" i="12"/>
  <c r="C15" i="7" s="1"/>
  <c r="AY202" i="12"/>
  <c r="BA8" i="12"/>
  <c r="AY208" i="12"/>
  <c r="BK7" i="12"/>
  <c r="BK124" i="12"/>
  <c r="AW180" i="12"/>
  <c r="Y7" i="12"/>
  <c r="Z7" i="12" s="1"/>
  <c r="BA168" i="12"/>
  <c r="W204" i="12"/>
  <c r="X204" i="12" s="1"/>
  <c r="BO204" i="12"/>
  <c r="U204" i="12"/>
  <c r="V204" i="12" s="1"/>
  <c r="S204" i="12"/>
  <c r="T204" i="12" s="1"/>
  <c r="AE204" i="12"/>
  <c r="AF204" i="12" s="1"/>
  <c r="L204" i="12"/>
  <c r="K204" i="12"/>
  <c r="J204" i="12"/>
  <c r="I204" i="12"/>
  <c r="AA204" i="12"/>
  <c r="AB204" i="12" s="1"/>
  <c r="Y204" i="12"/>
  <c r="Z204" i="12" s="1"/>
  <c r="O204" i="12"/>
  <c r="P204" i="12" s="1"/>
  <c r="AC204" i="12"/>
  <c r="AD204" i="12" s="1"/>
  <c r="M204" i="12"/>
  <c r="N204" i="12" s="1"/>
  <c r="H204" i="12"/>
  <c r="Q204" i="12"/>
  <c r="R204" i="12" s="1"/>
  <c r="F204" i="12"/>
  <c r="J28" i="1"/>
  <c r="G28" i="1"/>
  <c r="G358" i="1"/>
  <c r="J358" i="1"/>
  <c r="BA39" i="12"/>
  <c r="BC168" i="12"/>
  <c r="C30" i="2"/>
  <c r="K16" i="2"/>
  <c r="BC6" i="12"/>
  <c r="BQ106" i="12"/>
  <c r="AH106" i="12"/>
  <c r="BE106" i="12"/>
  <c r="J90" i="1"/>
  <c r="G90" i="1"/>
  <c r="BR154" i="12"/>
  <c r="AI154" i="12"/>
  <c r="AE153" i="12"/>
  <c r="AF153" i="12" s="1"/>
  <c r="O153" i="12"/>
  <c r="P153" i="12" s="1"/>
  <c r="S153" i="12"/>
  <c r="T153" i="12" s="1"/>
  <c r="Q153" i="12"/>
  <c r="R153" i="12" s="1"/>
  <c r="BO153" i="12"/>
  <c r="M153" i="12"/>
  <c r="N153" i="12" s="1"/>
  <c r="BM153" i="12"/>
  <c r="I155" i="1" s="1"/>
  <c r="AC153" i="12"/>
  <c r="AD153" i="12" s="1"/>
  <c r="L153" i="12"/>
  <c r="K153" i="12"/>
  <c r="Y153" i="12"/>
  <c r="Z153" i="12" s="1"/>
  <c r="J153" i="12"/>
  <c r="I153" i="12"/>
  <c r="AA153" i="12"/>
  <c r="AB153" i="12" s="1"/>
  <c r="W153" i="12"/>
  <c r="X153" i="12" s="1"/>
  <c r="U153" i="12"/>
  <c r="V153" i="12" s="1"/>
  <c r="H153" i="12"/>
  <c r="F153" i="12"/>
  <c r="AG275" i="12"/>
  <c r="BP275" i="12"/>
  <c r="BN275" i="12"/>
  <c r="BK173" i="12"/>
  <c r="BR173" i="12"/>
  <c r="AI173" i="12"/>
  <c r="AH259" i="12"/>
  <c r="BQ259" i="12"/>
  <c r="BP154" i="12"/>
  <c r="AG154" i="12"/>
  <c r="BN154" i="12"/>
  <c r="BI62" i="12"/>
  <c r="AG183" i="12"/>
  <c r="BP183" i="12"/>
  <c r="BN183" i="12"/>
  <c r="AH189" i="12"/>
  <c r="BQ189" i="12"/>
  <c r="BE189" i="12"/>
  <c r="BE25" i="12"/>
  <c r="BN199" i="12"/>
  <c r="AG199" i="12"/>
  <c r="BP199" i="12"/>
  <c r="BE221" i="12"/>
  <c r="W138" i="12"/>
  <c r="X138" i="12" s="1"/>
  <c r="U138" i="12"/>
  <c r="V138" i="12" s="1"/>
  <c r="S138" i="12"/>
  <c r="T138" i="12" s="1"/>
  <c r="Q138" i="12"/>
  <c r="R138" i="12" s="1"/>
  <c r="AE138" i="12"/>
  <c r="AF138" i="12" s="1"/>
  <c r="BM138" i="12"/>
  <c r="M138" i="12"/>
  <c r="N138" i="12" s="1"/>
  <c r="AC138" i="12"/>
  <c r="AD138" i="12" s="1"/>
  <c r="BO138" i="12"/>
  <c r="AA138" i="12"/>
  <c r="AB138" i="12" s="1"/>
  <c r="O138" i="12"/>
  <c r="P138" i="12" s="1"/>
  <c r="L138" i="12"/>
  <c r="Y138" i="12"/>
  <c r="Z138" i="12" s="1"/>
  <c r="K138" i="12"/>
  <c r="J138" i="12"/>
  <c r="I138" i="12"/>
  <c r="H138" i="12"/>
  <c r="F138" i="12"/>
  <c r="J39" i="1"/>
  <c r="G39" i="1"/>
  <c r="AL62" i="12"/>
  <c r="S76" i="12"/>
  <c r="T76" i="12" s="1"/>
  <c r="AA76" i="12"/>
  <c r="AB76" i="12" s="1"/>
  <c r="J76" i="12"/>
  <c r="I76" i="12"/>
  <c r="Y76" i="12"/>
  <c r="Z76" i="12" s="1"/>
  <c r="W76" i="12"/>
  <c r="X76" i="12" s="1"/>
  <c r="U76" i="12"/>
  <c r="V76" i="12" s="1"/>
  <c r="Q76" i="12"/>
  <c r="R76" i="12" s="1"/>
  <c r="AE76" i="12"/>
  <c r="AF76" i="12" s="1"/>
  <c r="AC76" i="12"/>
  <c r="AD76" i="12" s="1"/>
  <c r="BO76" i="12"/>
  <c r="M76" i="12"/>
  <c r="N76" i="12" s="1"/>
  <c r="L76" i="12"/>
  <c r="BM76" i="12"/>
  <c r="O76" i="12"/>
  <c r="P76" i="12" s="1"/>
  <c r="K76" i="12"/>
  <c r="F76" i="12"/>
  <c r="H76" i="12"/>
  <c r="Q113" i="12"/>
  <c r="R113" i="12" s="1"/>
  <c r="BM113" i="12"/>
  <c r="I115" i="1" s="1"/>
  <c r="AE113" i="12"/>
  <c r="AF113" i="12" s="1"/>
  <c r="O113" i="12"/>
  <c r="P113" i="12" s="1"/>
  <c r="AC113" i="12"/>
  <c r="AD113" i="12" s="1"/>
  <c r="M113" i="12"/>
  <c r="N113" i="12" s="1"/>
  <c r="L113" i="12"/>
  <c r="AA113" i="12"/>
  <c r="AB113" i="12" s="1"/>
  <c r="K113" i="12"/>
  <c r="W113" i="12"/>
  <c r="X113" i="12" s="1"/>
  <c r="BO113" i="12"/>
  <c r="S113" i="12"/>
  <c r="T113" i="12" s="1"/>
  <c r="Y113" i="12"/>
  <c r="Z113" i="12" s="1"/>
  <c r="U113" i="12"/>
  <c r="V113" i="12" s="1"/>
  <c r="J113" i="12"/>
  <c r="I113" i="12"/>
  <c r="F113" i="12"/>
  <c r="BO128" i="12"/>
  <c r="O128" i="12"/>
  <c r="P128" i="12" s="1"/>
  <c r="BM128" i="12"/>
  <c r="I130" i="1" s="1"/>
  <c r="M128" i="12"/>
  <c r="N128" i="12" s="1"/>
  <c r="AC128" i="12"/>
  <c r="AD128" i="12" s="1"/>
  <c r="L128" i="12"/>
  <c r="I128" i="12"/>
  <c r="K128" i="12"/>
  <c r="J128" i="12"/>
  <c r="F128" i="12"/>
  <c r="AE128" i="12"/>
  <c r="AF128" i="12" s="1"/>
  <c r="AA128" i="12"/>
  <c r="AB128" i="12" s="1"/>
  <c r="Y128" i="12"/>
  <c r="Z128" i="12" s="1"/>
  <c r="U128" i="12"/>
  <c r="V128" i="12" s="1"/>
  <c r="S128" i="12"/>
  <c r="T128" i="12" s="1"/>
  <c r="Q128" i="12"/>
  <c r="R128" i="12" s="1"/>
  <c r="W128" i="12"/>
  <c r="X128" i="12" s="1"/>
  <c r="H128" i="12"/>
  <c r="BG31" i="12"/>
  <c r="AY102" i="12"/>
  <c r="U185" i="12"/>
  <c r="V185" i="12" s="1"/>
  <c r="S185" i="12"/>
  <c r="T185" i="12" s="1"/>
  <c r="BO185" i="12"/>
  <c r="Q185" i="12"/>
  <c r="R185" i="12" s="1"/>
  <c r="BM185" i="12"/>
  <c r="I187" i="1" s="1"/>
  <c r="AE185" i="12"/>
  <c r="AF185" i="12" s="1"/>
  <c r="O185" i="12"/>
  <c r="P185" i="12" s="1"/>
  <c r="L185" i="12"/>
  <c r="AA185" i="12"/>
  <c r="AB185" i="12" s="1"/>
  <c r="K185" i="12"/>
  <c r="I185" i="12"/>
  <c r="H185" i="12"/>
  <c r="F185" i="12"/>
  <c r="Y185" i="12"/>
  <c r="Z185" i="12" s="1"/>
  <c r="M185" i="12"/>
  <c r="N185" i="12" s="1"/>
  <c r="J185" i="12"/>
  <c r="AC185" i="12"/>
  <c r="AD185" i="12" s="1"/>
  <c r="W185" i="12"/>
  <c r="X185" i="12" s="1"/>
  <c r="AL225" i="12"/>
  <c r="BG70" i="12"/>
  <c r="BC201" i="12"/>
  <c r="AY126" i="12"/>
  <c r="BA145" i="12"/>
  <c r="BK177" i="12"/>
  <c r="J185" i="1"/>
  <c r="G185" i="1"/>
  <c r="BK76" i="12"/>
  <c r="AC87" i="12"/>
  <c r="AD87" i="12" s="1"/>
  <c r="M87" i="12"/>
  <c r="N87" i="12" s="1"/>
  <c r="BO87" i="12"/>
  <c r="O87" i="12"/>
  <c r="P87" i="12" s="1"/>
  <c r="AE87" i="12"/>
  <c r="AF87" i="12" s="1"/>
  <c r="BM87" i="12"/>
  <c r="I89" i="1" s="1"/>
  <c r="L87" i="12"/>
  <c r="K87" i="12"/>
  <c r="AA87" i="12"/>
  <c r="AB87" i="12" s="1"/>
  <c r="J87" i="12"/>
  <c r="I87" i="12"/>
  <c r="Y87" i="12"/>
  <c r="Z87" i="12" s="1"/>
  <c r="U87" i="12"/>
  <c r="V87" i="12" s="1"/>
  <c r="S87" i="12"/>
  <c r="T87" i="12" s="1"/>
  <c r="Q87" i="12"/>
  <c r="R87" i="12" s="1"/>
  <c r="F87" i="12"/>
  <c r="W87" i="12"/>
  <c r="X87" i="12" s="1"/>
  <c r="H87" i="12"/>
  <c r="BC101" i="12"/>
  <c r="AC127" i="12"/>
  <c r="AD127" i="12" s="1"/>
  <c r="M127" i="12"/>
  <c r="N127" i="12" s="1"/>
  <c r="AE127" i="12"/>
  <c r="AF127" i="12" s="1"/>
  <c r="BM127" i="12"/>
  <c r="I129" i="1" s="1"/>
  <c r="L127" i="12"/>
  <c r="I127" i="12"/>
  <c r="K127" i="12"/>
  <c r="J127" i="12"/>
  <c r="AA127" i="12"/>
  <c r="AB127" i="12" s="1"/>
  <c r="Y127" i="12"/>
  <c r="Z127" i="12" s="1"/>
  <c r="U127" i="12"/>
  <c r="V127" i="12" s="1"/>
  <c r="BO127" i="12"/>
  <c r="W127" i="12"/>
  <c r="X127" i="12" s="1"/>
  <c r="S127" i="12"/>
  <c r="T127" i="12" s="1"/>
  <c r="Q127" i="12"/>
  <c r="R127" i="12" s="1"/>
  <c r="O127" i="12"/>
  <c r="P127" i="12" s="1"/>
  <c r="F127" i="12"/>
  <c r="H127" i="12"/>
  <c r="AY73" i="12"/>
  <c r="AY169" i="12"/>
  <c r="AL54" i="12"/>
  <c r="L160" i="12"/>
  <c r="AC160" i="12"/>
  <c r="AD160" i="12" s="1"/>
  <c r="K160" i="12"/>
  <c r="AA160" i="12"/>
  <c r="AB160" i="12" s="1"/>
  <c r="J160" i="12"/>
  <c r="I160" i="12"/>
  <c r="Y160" i="12"/>
  <c r="Z160" i="12" s="1"/>
  <c r="H160" i="12"/>
  <c r="W160" i="12"/>
  <c r="X160" i="12" s="1"/>
  <c r="F160" i="12"/>
  <c r="U160" i="12"/>
  <c r="V160" i="12" s="1"/>
  <c r="S160" i="12"/>
  <c r="T160" i="12" s="1"/>
  <c r="BO160" i="12"/>
  <c r="Q160" i="12"/>
  <c r="R160" i="12" s="1"/>
  <c r="BM160" i="12"/>
  <c r="O160" i="12"/>
  <c r="P160" i="12" s="1"/>
  <c r="M160" i="12"/>
  <c r="N160" i="12" s="1"/>
  <c r="AE160" i="12"/>
  <c r="AF160" i="12" s="1"/>
  <c r="AY171" i="12"/>
  <c r="AE130" i="12"/>
  <c r="AF130" i="12" s="1"/>
  <c r="M130" i="12"/>
  <c r="N130" i="12" s="1"/>
  <c r="K130" i="12"/>
  <c r="AA130" i="12"/>
  <c r="AB130" i="12" s="1"/>
  <c r="J130" i="12"/>
  <c r="I130" i="12"/>
  <c r="U130" i="12"/>
  <c r="V130" i="12" s="1"/>
  <c r="Y130" i="12"/>
  <c r="Z130" i="12" s="1"/>
  <c r="W130" i="12"/>
  <c r="X130" i="12" s="1"/>
  <c r="S130" i="12"/>
  <c r="T130" i="12" s="1"/>
  <c r="Q130" i="12"/>
  <c r="R130" i="12" s="1"/>
  <c r="L130" i="12"/>
  <c r="BO130" i="12"/>
  <c r="BM130" i="12"/>
  <c r="AC130" i="12"/>
  <c r="AD130" i="12" s="1"/>
  <c r="O130" i="12"/>
  <c r="P130" i="12" s="1"/>
  <c r="F130" i="12"/>
  <c r="AW131" i="12"/>
  <c r="G44" i="1"/>
  <c r="J44" i="1"/>
  <c r="S222" i="12"/>
  <c r="T222" i="12" s="1"/>
  <c r="Q222" i="12"/>
  <c r="R222" i="12" s="1"/>
  <c r="O222" i="12"/>
  <c r="P222" i="12" s="1"/>
  <c r="BO222" i="12"/>
  <c r="AE222" i="12"/>
  <c r="AF222" i="12" s="1"/>
  <c r="M222" i="12"/>
  <c r="N222" i="12" s="1"/>
  <c r="BM222" i="12"/>
  <c r="I224" i="1" s="1"/>
  <c r="AC222" i="12"/>
  <c r="AD222" i="12" s="1"/>
  <c r="L222" i="12"/>
  <c r="K222" i="12"/>
  <c r="AA222" i="12"/>
  <c r="AB222" i="12" s="1"/>
  <c r="J222" i="12"/>
  <c r="I222" i="12"/>
  <c r="Y222" i="12"/>
  <c r="Z222" i="12" s="1"/>
  <c r="W222" i="12"/>
  <c r="X222" i="12" s="1"/>
  <c r="U222" i="12"/>
  <c r="V222" i="12" s="1"/>
  <c r="H222" i="12"/>
  <c r="F222" i="12"/>
  <c r="G15" i="1"/>
  <c r="J15" i="1"/>
  <c r="BI36" i="12"/>
  <c r="BG140" i="12"/>
  <c r="U45" i="12"/>
  <c r="V45" i="12" s="1"/>
  <c r="S45" i="12"/>
  <c r="T45" i="12" s="1"/>
  <c r="Q45" i="12"/>
  <c r="R45" i="12" s="1"/>
  <c r="O45" i="12"/>
  <c r="P45" i="12" s="1"/>
  <c r="BO45" i="12"/>
  <c r="AC45" i="12"/>
  <c r="AD45" i="12" s="1"/>
  <c r="K45" i="12"/>
  <c r="J45" i="12"/>
  <c r="BM45" i="12"/>
  <c r="I47" i="1" s="1"/>
  <c r="AA45" i="12"/>
  <c r="AB45" i="12" s="1"/>
  <c r="I45" i="12"/>
  <c r="AE45" i="12"/>
  <c r="AF45" i="12" s="1"/>
  <c r="Y45" i="12"/>
  <c r="Z45" i="12" s="1"/>
  <c r="W45" i="12"/>
  <c r="X45" i="12" s="1"/>
  <c r="M45" i="12"/>
  <c r="N45" i="12" s="1"/>
  <c r="L45" i="12"/>
  <c r="F45" i="12"/>
  <c r="H45" i="12"/>
  <c r="S30" i="12"/>
  <c r="T30" i="12" s="1"/>
  <c r="AC30" i="12"/>
  <c r="AD30" i="12" s="1"/>
  <c r="L30" i="12"/>
  <c r="K30" i="12"/>
  <c r="AA30" i="12"/>
  <c r="AB30" i="12" s="1"/>
  <c r="J30" i="12"/>
  <c r="I30" i="12"/>
  <c r="Y30" i="12"/>
  <c r="Z30" i="12" s="1"/>
  <c r="H30" i="12"/>
  <c r="W30" i="12"/>
  <c r="X30" i="12" s="1"/>
  <c r="Q30" i="12"/>
  <c r="R30" i="12" s="1"/>
  <c r="AE30" i="12"/>
  <c r="AF30" i="12" s="1"/>
  <c r="BO30" i="12"/>
  <c r="U30" i="12"/>
  <c r="V30" i="12" s="1"/>
  <c r="M30" i="12"/>
  <c r="N30" i="12" s="1"/>
  <c r="O30" i="12"/>
  <c r="P30" i="12" s="1"/>
  <c r="F30" i="12"/>
  <c r="BI148" i="12"/>
  <c r="G32" i="1"/>
  <c r="J32" i="1"/>
  <c r="U122" i="12"/>
  <c r="V122" i="12" s="1"/>
  <c r="S122" i="12"/>
  <c r="T122" i="12" s="1"/>
  <c r="BO122" i="12"/>
  <c r="O122" i="12"/>
  <c r="P122" i="12" s="1"/>
  <c r="W122" i="12"/>
  <c r="X122" i="12" s="1"/>
  <c r="Q122" i="12"/>
  <c r="R122" i="12" s="1"/>
  <c r="M122" i="12"/>
  <c r="N122" i="12" s="1"/>
  <c r="AE122" i="12"/>
  <c r="AF122" i="12" s="1"/>
  <c r="J122" i="12"/>
  <c r="I122" i="12"/>
  <c r="AC122" i="12"/>
  <c r="AD122" i="12" s="1"/>
  <c r="AA122" i="12"/>
  <c r="AB122" i="12" s="1"/>
  <c r="Y122" i="12"/>
  <c r="Z122" i="12" s="1"/>
  <c r="L122" i="12"/>
  <c r="K122" i="12"/>
  <c r="F122" i="12"/>
  <c r="BC48" i="12"/>
  <c r="BP238" i="12"/>
  <c r="AG238" i="12"/>
  <c r="BN238" i="12"/>
  <c r="J68" i="1"/>
  <c r="G68" i="1"/>
  <c r="BI75" i="12"/>
  <c r="BR96" i="12"/>
  <c r="AI96" i="12"/>
  <c r="BQ280" i="12"/>
  <c r="AH280" i="12"/>
  <c r="J195" i="1"/>
  <c r="G195" i="1"/>
  <c r="Q14" i="12"/>
  <c r="R14" i="12" s="1"/>
  <c r="O14" i="12"/>
  <c r="P14" i="12" s="1"/>
  <c r="BO14" i="12"/>
  <c r="AE14" i="12"/>
  <c r="AF14" i="12" s="1"/>
  <c r="BM14" i="12"/>
  <c r="I16" i="1" s="1"/>
  <c r="M14" i="12"/>
  <c r="N14" i="12" s="1"/>
  <c r="AC14" i="12"/>
  <c r="AD14" i="12" s="1"/>
  <c r="L14" i="12"/>
  <c r="K14" i="12"/>
  <c r="AA14" i="12"/>
  <c r="AB14" i="12" s="1"/>
  <c r="J14" i="12"/>
  <c r="I14" i="12"/>
  <c r="Y14" i="12"/>
  <c r="Z14" i="12" s="1"/>
  <c r="W14" i="12"/>
  <c r="X14" i="12" s="1"/>
  <c r="F14" i="12"/>
  <c r="U14" i="12"/>
  <c r="V14" i="12" s="1"/>
  <c r="S14" i="12"/>
  <c r="T14" i="12" s="1"/>
  <c r="H14" i="12"/>
  <c r="BM37" i="12"/>
  <c r="W37" i="12"/>
  <c r="X37" i="12" s="1"/>
  <c r="U37" i="12"/>
  <c r="V37" i="12" s="1"/>
  <c r="S37" i="12"/>
  <c r="T37" i="12" s="1"/>
  <c r="Q37" i="12"/>
  <c r="R37" i="12" s="1"/>
  <c r="M37" i="12"/>
  <c r="N37" i="12" s="1"/>
  <c r="AC37" i="12"/>
  <c r="AD37" i="12" s="1"/>
  <c r="L37" i="12"/>
  <c r="K37" i="12"/>
  <c r="AE37" i="12"/>
  <c r="AF37" i="12" s="1"/>
  <c r="AA37" i="12"/>
  <c r="AB37" i="12" s="1"/>
  <c r="Y37" i="12"/>
  <c r="Z37" i="12" s="1"/>
  <c r="BO37" i="12"/>
  <c r="O37" i="12"/>
  <c r="P37" i="12" s="1"/>
  <c r="J37" i="12"/>
  <c r="I37" i="12"/>
  <c r="F37" i="12"/>
  <c r="H37" i="12"/>
  <c r="J86" i="1"/>
  <c r="G86" i="1"/>
  <c r="Y131" i="12"/>
  <c r="Z131" i="12" s="1"/>
  <c r="I131" i="12"/>
  <c r="BM131" i="12"/>
  <c r="I133" i="1" s="1"/>
  <c r="M131" i="12"/>
  <c r="N131" i="12" s="1"/>
  <c r="AC131" i="12"/>
  <c r="AD131" i="12" s="1"/>
  <c r="L131" i="12"/>
  <c r="K131" i="12"/>
  <c r="AA131" i="12"/>
  <c r="AB131" i="12" s="1"/>
  <c r="J131" i="12"/>
  <c r="W131" i="12"/>
  <c r="X131" i="12" s="1"/>
  <c r="O131" i="12"/>
  <c r="P131" i="12" s="1"/>
  <c r="BO131" i="12"/>
  <c r="U131" i="12"/>
  <c r="V131" i="12" s="1"/>
  <c r="AE131" i="12"/>
  <c r="AF131" i="12" s="1"/>
  <c r="S131" i="12"/>
  <c r="T131" i="12" s="1"/>
  <c r="Q131" i="12"/>
  <c r="R131" i="12" s="1"/>
  <c r="F131" i="12"/>
  <c r="BA72" i="12"/>
  <c r="H221" i="12"/>
  <c r="G174" i="1"/>
  <c r="J174" i="1"/>
  <c r="BA62" i="12"/>
  <c r="BI131" i="12"/>
  <c r="BI153" i="12"/>
  <c r="J172" i="1"/>
  <c r="G172" i="1"/>
  <c r="BC2" i="12"/>
  <c r="J69" i="1"/>
  <c r="G69" i="1"/>
  <c r="G6" i="1"/>
  <c r="J6" i="1"/>
  <c r="BI65" i="12"/>
  <c r="S179" i="12"/>
  <c r="T179" i="12" s="1"/>
  <c r="BO179" i="12"/>
  <c r="Q179" i="12"/>
  <c r="R179" i="12" s="1"/>
  <c r="AE179" i="12"/>
  <c r="AF179" i="12" s="1"/>
  <c r="O179" i="12"/>
  <c r="P179" i="12" s="1"/>
  <c r="AC179" i="12"/>
  <c r="AD179" i="12" s="1"/>
  <c r="M179" i="12"/>
  <c r="N179" i="12" s="1"/>
  <c r="L179" i="12"/>
  <c r="Y179" i="12"/>
  <c r="Z179" i="12" s="1"/>
  <c r="I179" i="12"/>
  <c r="W179" i="12"/>
  <c r="X179" i="12" s="1"/>
  <c r="U179" i="12"/>
  <c r="V179" i="12" s="1"/>
  <c r="K179" i="12"/>
  <c r="J179" i="12"/>
  <c r="AA179" i="12"/>
  <c r="AB179" i="12" s="1"/>
  <c r="F179" i="12"/>
  <c r="H179" i="12"/>
  <c r="J103" i="1"/>
  <c r="G103" i="1"/>
  <c r="J24" i="1"/>
  <c r="G24" i="1"/>
  <c r="J10" i="1"/>
  <c r="G10" i="1"/>
  <c r="AL203" i="12"/>
  <c r="AW219" i="12"/>
  <c r="BK142" i="12"/>
  <c r="AY209" i="12"/>
  <c r="AC143" i="12"/>
  <c r="AD143" i="12" s="1"/>
  <c r="M143" i="12"/>
  <c r="N143" i="12" s="1"/>
  <c r="Q143" i="12"/>
  <c r="R143" i="12" s="1"/>
  <c r="BO143" i="12"/>
  <c r="O143" i="12"/>
  <c r="P143" i="12" s="1"/>
  <c r="AE143" i="12"/>
  <c r="AF143" i="12" s="1"/>
  <c r="BM143" i="12"/>
  <c r="I145" i="1" s="1"/>
  <c r="L143" i="12"/>
  <c r="K143" i="12"/>
  <c r="AA143" i="12"/>
  <c r="AB143" i="12" s="1"/>
  <c r="J143" i="12"/>
  <c r="W143" i="12"/>
  <c r="X143" i="12" s="1"/>
  <c r="Y143" i="12"/>
  <c r="Z143" i="12" s="1"/>
  <c r="U143" i="12"/>
  <c r="V143" i="12" s="1"/>
  <c r="S143" i="12"/>
  <c r="T143" i="12" s="1"/>
  <c r="I143" i="12"/>
  <c r="H143" i="12"/>
  <c r="F143" i="12"/>
  <c r="BI79" i="12"/>
  <c r="BA36" i="12"/>
  <c r="AE169" i="12"/>
  <c r="AF169" i="12" s="1"/>
  <c r="O169" i="12"/>
  <c r="P169" i="12" s="1"/>
  <c r="S169" i="12"/>
  <c r="T169" i="12" s="1"/>
  <c r="Q169" i="12"/>
  <c r="R169" i="12" s="1"/>
  <c r="BO169" i="12"/>
  <c r="M169" i="12"/>
  <c r="N169" i="12" s="1"/>
  <c r="BM169" i="12"/>
  <c r="AC169" i="12"/>
  <c r="AD169" i="12" s="1"/>
  <c r="L169" i="12"/>
  <c r="AA169" i="12"/>
  <c r="AB169" i="12" s="1"/>
  <c r="J169" i="12"/>
  <c r="I169" i="12"/>
  <c r="F169" i="12"/>
  <c r="Y169" i="12"/>
  <c r="Z169" i="12" s="1"/>
  <c r="W169" i="12"/>
  <c r="X169" i="12" s="1"/>
  <c r="U169" i="12"/>
  <c r="V169" i="12" s="1"/>
  <c r="K169" i="12"/>
  <c r="H169" i="12"/>
  <c r="BK113" i="12"/>
  <c r="J148" i="1"/>
  <c r="G148" i="1"/>
  <c r="BE79" i="12"/>
  <c r="AW36" i="12"/>
  <c r="BA111" i="12"/>
  <c r="AL73" i="12"/>
  <c r="BI93" i="12"/>
  <c r="BC76" i="12"/>
  <c r="BE87" i="12"/>
  <c r="BI110" i="12"/>
  <c r="BK153" i="12"/>
  <c r="BK36" i="12"/>
  <c r="AW175" i="12"/>
  <c r="AY70" i="12"/>
  <c r="BC209" i="12"/>
  <c r="BC148" i="12"/>
  <c r="AC42" i="12"/>
  <c r="AD42" i="12" s="1"/>
  <c r="M42" i="12"/>
  <c r="N42" i="12" s="1"/>
  <c r="AE42" i="12"/>
  <c r="AF42" i="12" s="1"/>
  <c r="L42" i="12"/>
  <c r="BO42" i="12"/>
  <c r="K42" i="12"/>
  <c r="J42" i="12"/>
  <c r="AA42" i="12"/>
  <c r="AB42" i="12" s="1"/>
  <c r="I42" i="12"/>
  <c r="Y42" i="12"/>
  <c r="Z42" i="12" s="1"/>
  <c r="U42" i="12"/>
  <c r="V42" i="12" s="1"/>
  <c r="S42" i="12"/>
  <c r="T42" i="12" s="1"/>
  <c r="W42" i="12"/>
  <c r="X42" i="12" s="1"/>
  <c r="Q42" i="12"/>
  <c r="R42" i="12" s="1"/>
  <c r="O42" i="12"/>
  <c r="P42" i="12" s="1"/>
  <c r="F42" i="12"/>
  <c r="H42" i="12"/>
  <c r="W218" i="12"/>
  <c r="X218" i="12" s="1"/>
  <c r="U218" i="12"/>
  <c r="V218" i="12" s="1"/>
  <c r="S218" i="12"/>
  <c r="T218" i="12" s="1"/>
  <c r="Q218" i="12"/>
  <c r="R218" i="12" s="1"/>
  <c r="BO218" i="12"/>
  <c r="O218" i="12"/>
  <c r="P218" i="12" s="1"/>
  <c r="AE218" i="12"/>
  <c r="AF218" i="12" s="1"/>
  <c r="M218" i="12"/>
  <c r="N218" i="12" s="1"/>
  <c r="AC218" i="12"/>
  <c r="AD218" i="12" s="1"/>
  <c r="L218" i="12"/>
  <c r="AA218" i="12"/>
  <c r="AB218" i="12" s="1"/>
  <c r="Y218" i="12"/>
  <c r="Z218" i="12" s="1"/>
  <c r="K218" i="12"/>
  <c r="J218" i="12"/>
  <c r="I218" i="12"/>
  <c r="H218" i="12"/>
  <c r="F218" i="12"/>
  <c r="BA87" i="12"/>
  <c r="BA159" i="12"/>
  <c r="Q13" i="12"/>
  <c r="R13" i="12" s="1"/>
  <c r="BO13" i="12"/>
  <c r="O13" i="12"/>
  <c r="P13" i="12" s="1"/>
  <c r="AE13" i="12"/>
  <c r="AF13" i="12" s="1"/>
  <c r="BM13" i="12"/>
  <c r="I15" i="1" s="1"/>
  <c r="M13" i="12"/>
  <c r="N13" i="12" s="1"/>
  <c r="AC13" i="12"/>
  <c r="AD13" i="12" s="1"/>
  <c r="L13" i="12"/>
  <c r="K13" i="12"/>
  <c r="AA13" i="12"/>
  <c r="AB13" i="12" s="1"/>
  <c r="J13" i="12"/>
  <c r="Y13" i="12"/>
  <c r="Z13" i="12" s="1"/>
  <c r="H13" i="12"/>
  <c r="W13" i="12"/>
  <c r="X13" i="12" s="1"/>
  <c r="U13" i="12"/>
  <c r="V13" i="12" s="1"/>
  <c r="S13" i="12"/>
  <c r="T13" i="12" s="1"/>
  <c r="I13" i="12"/>
  <c r="F13" i="12"/>
  <c r="G160" i="1"/>
  <c r="J160" i="1"/>
  <c r="AY143" i="12"/>
  <c r="AY4" i="12"/>
  <c r="AY36" i="12"/>
  <c r="W161" i="12"/>
  <c r="X161" i="12" s="1"/>
  <c r="AA161" i="12"/>
  <c r="AB161" i="12" s="1"/>
  <c r="J161" i="12"/>
  <c r="I161" i="12"/>
  <c r="Y161" i="12"/>
  <c r="Z161" i="12" s="1"/>
  <c r="H161" i="12"/>
  <c r="U161" i="12"/>
  <c r="V161" i="12" s="1"/>
  <c r="S161" i="12"/>
  <c r="T161" i="12" s="1"/>
  <c r="Q161" i="12"/>
  <c r="R161" i="12" s="1"/>
  <c r="AE161" i="12"/>
  <c r="AF161" i="12" s="1"/>
  <c r="AC161" i="12"/>
  <c r="AD161" i="12" s="1"/>
  <c r="BO161" i="12"/>
  <c r="BM161" i="12"/>
  <c r="I163" i="1" s="1"/>
  <c r="O161" i="12"/>
  <c r="P161" i="12" s="1"/>
  <c r="L161" i="12"/>
  <c r="K161" i="12"/>
  <c r="M161" i="12"/>
  <c r="N161" i="12" s="1"/>
  <c r="F161" i="12"/>
  <c r="BI118" i="12"/>
  <c r="J116" i="1"/>
  <c r="G116" i="1"/>
  <c r="BI17" i="12"/>
  <c r="AL142" i="12"/>
  <c r="J47" i="1"/>
  <c r="G47" i="1"/>
  <c r="BQ235" i="12"/>
  <c r="AH235" i="12"/>
  <c r="BO219" i="12"/>
  <c r="U219" i="12"/>
  <c r="V219" i="12" s="1"/>
  <c r="S219" i="12"/>
  <c r="T219" i="12" s="1"/>
  <c r="Q219" i="12"/>
  <c r="R219" i="12" s="1"/>
  <c r="O219" i="12"/>
  <c r="P219" i="12" s="1"/>
  <c r="AE219" i="12"/>
  <c r="AF219" i="12" s="1"/>
  <c r="M219" i="12"/>
  <c r="N219" i="12" s="1"/>
  <c r="AC219" i="12"/>
  <c r="AD219" i="12" s="1"/>
  <c r="L219" i="12"/>
  <c r="K219" i="12"/>
  <c r="AA219" i="12"/>
  <c r="AB219" i="12" s="1"/>
  <c r="J219" i="12"/>
  <c r="Y219" i="12"/>
  <c r="Z219" i="12" s="1"/>
  <c r="W219" i="12"/>
  <c r="X219" i="12" s="1"/>
  <c r="I219" i="12"/>
  <c r="F219" i="12"/>
  <c r="H219" i="12"/>
  <c r="BK157" i="12"/>
  <c r="BR157" i="12"/>
  <c r="AI157" i="12"/>
  <c r="BR138" i="12"/>
  <c r="AI138" i="12"/>
  <c r="BK138" i="12"/>
  <c r="BN173" i="12"/>
  <c r="AW173" i="12"/>
  <c r="AG173" i="12"/>
  <c r="BP173" i="12"/>
  <c r="J358" i="3"/>
  <c r="J359" i="3" s="1"/>
  <c r="H359" i="3"/>
  <c r="M9" i="3" s="1"/>
  <c r="I358" i="3" s="1"/>
  <c r="J31" i="1"/>
  <c r="G31" i="1"/>
  <c r="AY153" i="12"/>
  <c r="BP125" i="12"/>
  <c r="AG125" i="12"/>
  <c r="AW125" i="12"/>
  <c r="BN125" i="12"/>
  <c r="AG202" i="12"/>
  <c r="BP202" i="12"/>
  <c r="AW202" i="12"/>
  <c r="BN202" i="12"/>
  <c r="BG189" i="12"/>
  <c r="BQ199" i="12"/>
  <c r="AH199" i="12"/>
  <c r="AL79" i="12"/>
  <c r="J9" i="12"/>
  <c r="U9" i="12"/>
  <c r="V9" i="12" s="1"/>
  <c r="S9" i="12"/>
  <c r="T9" i="12" s="1"/>
  <c r="Q9" i="12"/>
  <c r="R9" i="12" s="1"/>
  <c r="BO9" i="12"/>
  <c r="O9" i="12"/>
  <c r="P9" i="12" s="1"/>
  <c r="AE9" i="12"/>
  <c r="AF9" i="12" s="1"/>
  <c r="AC9" i="12"/>
  <c r="AD9" i="12" s="1"/>
  <c r="L9" i="12"/>
  <c r="K9" i="12"/>
  <c r="M9" i="12"/>
  <c r="N9" i="12" s="1"/>
  <c r="I9" i="12"/>
  <c r="AA9" i="12"/>
  <c r="AB9" i="12" s="1"/>
  <c r="Y9" i="12"/>
  <c r="Z9" i="12" s="1"/>
  <c r="BM9" i="12"/>
  <c r="I11" i="1" s="1"/>
  <c r="W9" i="12"/>
  <c r="X9" i="12" s="1"/>
  <c r="F9" i="12"/>
  <c r="H9" i="12"/>
  <c r="U112" i="12"/>
  <c r="V112" i="12" s="1"/>
  <c r="S112" i="12"/>
  <c r="T112" i="12" s="1"/>
  <c r="BO112" i="12"/>
  <c r="Q112" i="12"/>
  <c r="R112" i="12" s="1"/>
  <c r="BM112" i="12"/>
  <c r="AC112" i="12"/>
  <c r="AD112" i="12" s="1"/>
  <c r="M112" i="12"/>
  <c r="N112" i="12" s="1"/>
  <c r="L112" i="12"/>
  <c r="AA112" i="12"/>
  <c r="AB112" i="12" s="1"/>
  <c r="K112" i="12"/>
  <c r="Y112" i="12"/>
  <c r="Z112" i="12" s="1"/>
  <c r="W112" i="12"/>
  <c r="X112" i="12" s="1"/>
  <c r="O112" i="12"/>
  <c r="P112" i="12" s="1"/>
  <c r="H112" i="12"/>
  <c r="I112" i="12"/>
  <c r="AE112" i="12"/>
  <c r="AF112" i="12" s="1"/>
  <c r="J112" i="12"/>
  <c r="F112" i="12"/>
  <c r="BK139" i="12"/>
  <c r="BA12" i="12"/>
  <c r="BG98" i="12"/>
  <c r="AY72" i="12"/>
  <c r="AL185" i="12"/>
  <c r="BE37" i="12"/>
  <c r="W101" i="12"/>
  <c r="X101" i="12" s="1"/>
  <c r="Y101" i="12"/>
  <c r="Z101" i="12" s="1"/>
  <c r="U101" i="12"/>
  <c r="V101" i="12" s="1"/>
  <c r="S101" i="12"/>
  <c r="T101" i="12" s="1"/>
  <c r="O101" i="12"/>
  <c r="P101" i="12" s="1"/>
  <c r="AE101" i="12"/>
  <c r="AF101" i="12" s="1"/>
  <c r="M101" i="12"/>
  <c r="N101" i="12" s="1"/>
  <c r="AC101" i="12"/>
  <c r="AD101" i="12" s="1"/>
  <c r="AA101" i="12"/>
  <c r="AB101" i="12" s="1"/>
  <c r="BO101" i="12"/>
  <c r="Q101" i="12"/>
  <c r="R101" i="12" s="1"/>
  <c r="K101" i="12"/>
  <c r="J101" i="12"/>
  <c r="BM101" i="12"/>
  <c r="I103" i="1" s="1"/>
  <c r="L101" i="12"/>
  <c r="I101" i="12"/>
  <c r="F101" i="12"/>
  <c r="H101" i="12"/>
  <c r="AA22" i="12"/>
  <c r="AB22" i="12" s="1"/>
  <c r="K22" i="12"/>
  <c r="AE22" i="12"/>
  <c r="AF22" i="12" s="1"/>
  <c r="M22" i="12"/>
  <c r="N22" i="12" s="1"/>
  <c r="BO22" i="12"/>
  <c r="L22" i="12"/>
  <c r="AC22" i="12"/>
  <c r="AD22" i="12" s="1"/>
  <c r="J22" i="12"/>
  <c r="I22" i="12"/>
  <c r="H22" i="12"/>
  <c r="Y22" i="12"/>
  <c r="Z22" i="12" s="1"/>
  <c r="U22" i="12"/>
  <c r="V22" i="12" s="1"/>
  <c r="S22" i="12"/>
  <c r="T22" i="12" s="1"/>
  <c r="O22" i="12"/>
  <c r="P22" i="12" s="1"/>
  <c r="W22" i="12"/>
  <c r="X22" i="12" s="1"/>
  <c r="Q22" i="12"/>
  <c r="R22" i="12" s="1"/>
  <c r="F22" i="12"/>
  <c r="J91" i="1"/>
  <c r="G91" i="1"/>
  <c r="BA219" i="12"/>
  <c r="AQ357" i="12"/>
  <c r="AR2" i="12"/>
  <c r="AR357" i="12" s="1"/>
  <c r="BE31" i="12"/>
  <c r="BK38" i="12"/>
  <c r="BG164" i="12"/>
  <c r="BI14" i="12"/>
  <c r="BK219" i="12"/>
  <c r="AY145" i="12"/>
  <c r="BO146" i="12"/>
  <c r="O146" i="12"/>
  <c r="P146" i="12" s="1"/>
  <c r="AE146" i="12"/>
  <c r="AF146" i="12" s="1"/>
  <c r="M146" i="12"/>
  <c r="N146" i="12" s="1"/>
  <c r="BM146" i="12"/>
  <c r="I148" i="1" s="1"/>
  <c r="AC146" i="12"/>
  <c r="AD146" i="12" s="1"/>
  <c r="L146" i="12"/>
  <c r="K146" i="12"/>
  <c r="AA146" i="12"/>
  <c r="AB146" i="12" s="1"/>
  <c r="J146" i="12"/>
  <c r="I146" i="12"/>
  <c r="Y146" i="12"/>
  <c r="Z146" i="12" s="1"/>
  <c r="U146" i="12"/>
  <c r="V146" i="12" s="1"/>
  <c r="W146" i="12"/>
  <c r="X146" i="12" s="1"/>
  <c r="S146" i="12"/>
  <c r="T146" i="12" s="1"/>
  <c r="F146" i="12"/>
  <c r="Q146" i="12"/>
  <c r="R146" i="12" s="1"/>
  <c r="H146" i="12"/>
  <c r="BA124" i="12"/>
  <c r="BI70" i="12"/>
  <c r="J143" i="1"/>
  <c r="G143" i="1"/>
  <c r="J110" i="1"/>
  <c r="G110" i="1"/>
  <c r="BE148" i="12"/>
  <c r="BI203" i="12"/>
  <c r="BG87" i="12"/>
  <c r="AW93" i="12"/>
  <c r="BE124" i="12"/>
  <c r="BI87" i="12"/>
  <c r="AL164" i="12"/>
  <c r="BE56" i="12"/>
  <c r="BI18" i="12"/>
  <c r="H113" i="12"/>
  <c r="BI126" i="12"/>
  <c r="AE158" i="12"/>
  <c r="AF158" i="12" s="1"/>
  <c r="M158" i="12"/>
  <c r="N158" i="12" s="1"/>
  <c r="AC158" i="12"/>
  <c r="AD158" i="12" s="1"/>
  <c r="L158" i="12"/>
  <c r="K158" i="12"/>
  <c r="AA158" i="12"/>
  <c r="AB158" i="12" s="1"/>
  <c r="J158" i="12"/>
  <c r="I158" i="12"/>
  <c r="Y158" i="12"/>
  <c r="Z158" i="12" s="1"/>
  <c r="U158" i="12"/>
  <c r="V158" i="12" s="1"/>
  <c r="BO158" i="12"/>
  <c r="Q158" i="12"/>
  <c r="R158" i="12" s="1"/>
  <c r="W158" i="12"/>
  <c r="X158" i="12" s="1"/>
  <c r="S158" i="12"/>
  <c r="T158" i="12" s="1"/>
  <c r="O158" i="12"/>
  <c r="P158" i="12" s="1"/>
  <c r="H158" i="12"/>
  <c r="F158" i="12"/>
  <c r="Y167" i="12"/>
  <c r="Z167" i="12" s="1"/>
  <c r="I167" i="12"/>
  <c r="U167" i="12"/>
  <c r="V167" i="12" s="1"/>
  <c r="S167" i="12"/>
  <c r="T167" i="12" s="1"/>
  <c r="Q167" i="12"/>
  <c r="R167" i="12" s="1"/>
  <c r="BO167" i="12"/>
  <c r="O167" i="12"/>
  <c r="P167" i="12" s="1"/>
  <c r="AE167" i="12"/>
  <c r="AF167" i="12" s="1"/>
  <c r="AC167" i="12"/>
  <c r="AD167" i="12" s="1"/>
  <c r="L167" i="12"/>
  <c r="K167" i="12"/>
  <c r="BM167" i="12"/>
  <c r="I169" i="1" s="1"/>
  <c r="W167" i="12"/>
  <c r="X167" i="12" s="1"/>
  <c r="M167" i="12"/>
  <c r="N167" i="12" s="1"/>
  <c r="J167" i="12"/>
  <c r="AA167" i="12"/>
  <c r="AB167" i="12" s="1"/>
  <c r="F167" i="12"/>
  <c r="H167" i="12"/>
  <c r="Y147" i="12"/>
  <c r="Z147" i="12" s="1"/>
  <c r="I147" i="12"/>
  <c r="BO147" i="12"/>
  <c r="AE147" i="12"/>
  <c r="AF147" i="12" s="1"/>
  <c r="M147" i="12"/>
  <c r="N147" i="12" s="1"/>
  <c r="BM147" i="12"/>
  <c r="I149" i="1" s="1"/>
  <c r="AC147" i="12"/>
  <c r="AD147" i="12" s="1"/>
  <c r="L147" i="12"/>
  <c r="K147" i="12"/>
  <c r="AA147" i="12"/>
  <c r="AB147" i="12" s="1"/>
  <c r="J147" i="12"/>
  <c r="H147" i="12"/>
  <c r="U147" i="12"/>
  <c r="V147" i="12" s="1"/>
  <c r="S147" i="12"/>
  <c r="T147" i="12" s="1"/>
  <c r="W147" i="12"/>
  <c r="X147" i="12" s="1"/>
  <c r="Q147" i="12"/>
  <c r="R147" i="12" s="1"/>
  <c r="O147" i="12"/>
  <c r="P147" i="12" s="1"/>
  <c r="F147" i="12"/>
  <c r="BA164" i="12"/>
  <c r="BC14" i="12"/>
  <c r="BC225" i="12"/>
  <c r="J136" i="1"/>
  <c r="G136" i="1"/>
  <c r="BP243" i="12"/>
  <c r="AG243" i="12"/>
  <c r="BN243" i="12"/>
  <c r="J33" i="1"/>
  <c r="G33" i="1"/>
  <c r="J101" i="1"/>
  <c r="G101" i="1"/>
  <c r="AH254" i="12"/>
  <c r="BQ254" i="12"/>
  <c r="AW157" i="12"/>
  <c r="BN157" i="12"/>
  <c r="BP157" i="12"/>
  <c r="AG157" i="12"/>
  <c r="BQ246" i="12"/>
  <c r="AH246" i="12"/>
  <c r="AY25" i="12"/>
  <c r="M29" i="12"/>
  <c r="N29" i="12" s="1"/>
  <c r="AC29" i="12"/>
  <c r="AD29" i="12" s="1"/>
  <c r="L29" i="12"/>
  <c r="K29" i="12"/>
  <c r="AA29" i="12"/>
  <c r="AB29" i="12" s="1"/>
  <c r="J29" i="12"/>
  <c r="I29" i="12"/>
  <c r="Y29" i="12"/>
  <c r="Z29" i="12" s="1"/>
  <c r="W29" i="12"/>
  <c r="X29" i="12" s="1"/>
  <c r="S29" i="12"/>
  <c r="T29" i="12" s="1"/>
  <c r="U29" i="12"/>
  <c r="V29" i="12" s="1"/>
  <c r="BO29" i="12"/>
  <c r="Q29" i="12"/>
  <c r="R29" i="12" s="1"/>
  <c r="O29" i="12"/>
  <c r="P29" i="12" s="1"/>
  <c r="AE29" i="12"/>
  <c r="AF29" i="12" s="1"/>
  <c r="H29" i="12"/>
  <c r="F29" i="12"/>
  <c r="BK186" i="12"/>
  <c r="BR186" i="12"/>
  <c r="AI186" i="12"/>
  <c r="BR218" i="12"/>
  <c r="AI218" i="12"/>
  <c r="BK218" i="12"/>
  <c r="BI189" i="12"/>
  <c r="BR280" i="12"/>
  <c r="AI280" i="12"/>
  <c r="BC62" i="12"/>
  <c r="AL201" i="12"/>
  <c r="BA113" i="12"/>
  <c r="BC113" i="12"/>
  <c r="AL118" i="12"/>
  <c r="BC38" i="12"/>
  <c r="Q54" i="12"/>
  <c r="R54" i="12" s="1"/>
  <c r="O54" i="12"/>
  <c r="P54" i="12" s="1"/>
  <c r="BO54" i="12"/>
  <c r="AE54" i="12"/>
  <c r="AF54" i="12" s="1"/>
  <c r="BM54" i="12"/>
  <c r="I56" i="1" s="1"/>
  <c r="M54" i="12"/>
  <c r="N54" i="12" s="1"/>
  <c r="AC54" i="12"/>
  <c r="AD54" i="12" s="1"/>
  <c r="L54" i="12"/>
  <c r="K54" i="12"/>
  <c r="AA54" i="12"/>
  <c r="AB54" i="12" s="1"/>
  <c r="J54" i="12"/>
  <c r="I54" i="12"/>
  <c r="Y54" i="12"/>
  <c r="Z54" i="12" s="1"/>
  <c r="W54" i="12"/>
  <c r="X54" i="12" s="1"/>
  <c r="F54" i="12"/>
  <c r="U54" i="12"/>
  <c r="V54" i="12" s="1"/>
  <c r="S54" i="12"/>
  <c r="T54" i="12" s="1"/>
  <c r="H54" i="12"/>
  <c r="AY56" i="12"/>
  <c r="BG145" i="12"/>
  <c r="AW101" i="12"/>
  <c r="J211" i="12"/>
  <c r="M211" i="12"/>
  <c r="N211" i="12" s="1"/>
  <c r="AC211" i="12"/>
  <c r="AD211" i="12" s="1"/>
  <c r="L211" i="12"/>
  <c r="K211" i="12"/>
  <c r="AA211" i="12"/>
  <c r="AB211" i="12" s="1"/>
  <c r="I211" i="12"/>
  <c r="Y211" i="12"/>
  <c r="Z211" i="12" s="1"/>
  <c r="W211" i="12"/>
  <c r="X211" i="12" s="1"/>
  <c r="F211" i="12"/>
  <c r="U211" i="12"/>
  <c r="V211" i="12" s="1"/>
  <c r="S211" i="12"/>
  <c r="T211" i="12" s="1"/>
  <c r="AE211" i="12"/>
  <c r="AF211" i="12" s="1"/>
  <c r="BO211" i="12"/>
  <c r="Q211" i="12"/>
  <c r="R211" i="12" s="1"/>
  <c r="O211" i="12"/>
  <c r="P211" i="12" s="1"/>
  <c r="H211" i="12"/>
  <c r="AE8" i="12"/>
  <c r="AF8" i="12" s="1"/>
  <c r="O8" i="12"/>
  <c r="P8" i="12" s="1"/>
  <c r="U8" i="12"/>
  <c r="V8" i="12" s="1"/>
  <c r="S8" i="12"/>
  <c r="T8" i="12" s="1"/>
  <c r="Q8" i="12"/>
  <c r="R8" i="12" s="1"/>
  <c r="BO8" i="12"/>
  <c r="BM8" i="12"/>
  <c r="I10" i="1" s="1"/>
  <c r="AC8" i="12"/>
  <c r="AD8" i="12" s="1"/>
  <c r="L8" i="12"/>
  <c r="K8" i="12"/>
  <c r="AA8" i="12"/>
  <c r="AB8" i="12" s="1"/>
  <c r="Y8" i="12"/>
  <c r="Z8" i="12" s="1"/>
  <c r="W8" i="12"/>
  <c r="X8" i="12" s="1"/>
  <c r="M8" i="12"/>
  <c r="N8" i="12" s="1"/>
  <c r="J8" i="12"/>
  <c r="I8" i="12"/>
  <c r="F8" i="12"/>
  <c r="H8" i="12"/>
  <c r="AP357" i="12"/>
  <c r="AN357" i="12"/>
  <c r="AO2" i="12"/>
  <c r="AO357" i="12" s="1"/>
  <c r="H110" i="12"/>
  <c r="AL76" i="12"/>
  <c r="AY128" i="12"/>
  <c r="BK159" i="12"/>
  <c r="BC73" i="12"/>
  <c r="BI177" i="12"/>
  <c r="BK196" i="12"/>
  <c r="J108" i="12"/>
  <c r="Y108" i="12"/>
  <c r="Z108" i="12" s="1"/>
  <c r="I108" i="12"/>
  <c r="W108" i="12"/>
  <c r="X108" i="12" s="1"/>
  <c r="U108" i="12"/>
  <c r="V108" i="12" s="1"/>
  <c r="Q108" i="12"/>
  <c r="R108" i="12" s="1"/>
  <c r="BM108" i="12"/>
  <c r="I110" i="1" s="1"/>
  <c r="AE108" i="12"/>
  <c r="AF108" i="12" s="1"/>
  <c r="AC108" i="12"/>
  <c r="AD108" i="12" s="1"/>
  <c r="AA108" i="12"/>
  <c r="AB108" i="12" s="1"/>
  <c r="S108" i="12"/>
  <c r="T108" i="12" s="1"/>
  <c r="O108" i="12"/>
  <c r="P108" i="12" s="1"/>
  <c r="M108" i="12"/>
  <c r="N108" i="12" s="1"/>
  <c r="BO108" i="12"/>
  <c r="L108" i="12"/>
  <c r="K108" i="12"/>
  <c r="H108" i="12"/>
  <c r="F108" i="12"/>
  <c r="AL145" i="12"/>
  <c r="BA73" i="12"/>
  <c r="BA56" i="12"/>
  <c r="AW110" i="12"/>
  <c r="BG93" i="12"/>
  <c r="AW153" i="12"/>
  <c r="BG18" i="12"/>
  <c r="J23" i="1"/>
  <c r="G23" i="1"/>
  <c r="BK179" i="12"/>
  <c r="AY164" i="12"/>
  <c r="BF357" i="12"/>
  <c r="J98" i="1"/>
  <c r="G98" i="1"/>
  <c r="BQ238" i="12"/>
  <c r="AH238" i="12"/>
  <c r="BR275" i="12"/>
  <c r="AI275" i="12"/>
  <c r="AI267" i="12"/>
  <c r="BR267" i="12"/>
  <c r="J208" i="1"/>
  <c r="G208" i="1"/>
  <c r="BO17" i="12"/>
  <c r="K17" i="12"/>
  <c r="AA17" i="12"/>
  <c r="AB17" i="12" s="1"/>
  <c r="J17" i="12"/>
  <c r="I17" i="12"/>
  <c r="Y17" i="12"/>
  <c r="Z17" i="12" s="1"/>
  <c r="W17" i="12"/>
  <c r="X17" i="12" s="1"/>
  <c r="F17" i="12"/>
  <c r="U17" i="12"/>
  <c r="V17" i="12" s="1"/>
  <c r="S17" i="12"/>
  <c r="T17" i="12" s="1"/>
  <c r="Q17" i="12"/>
  <c r="R17" i="12" s="1"/>
  <c r="L17" i="12"/>
  <c r="AE17" i="12"/>
  <c r="AF17" i="12" s="1"/>
  <c r="AC17" i="12"/>
  <c r="AD17" i="12" s="1"/>
  <c r="BM17" i="12"/>
  <c r="I19" i="1" s="1"/>
  <c r="O17" i="12"/>
  <c r="P17" i="12" s="1"/>
  <c r="M17" i="12"/>
  <c r="N17" i="12" s="1"/>
  <c r="H17" i="12"/>
  <c r="J49" i="12"/>
  <c r="S49" i="12"/>
  <c r="T49" i="12" s="1"/>
  <c r="BO49" i="12"/>
  <c r="O49" i="12"/>
  <c r="P49" i="12" s="1"/>
  <c r="AE49" i="12"/>
  <c r="AF49" i="12" s="1"/>
  <c r="Q49" i="12"/>
  <c r="R49" i="12" s="1"/>
  <c r="M49" i="12"/>
  <c r="N49" i="12" s="1"/>
  <c r="L49" i="12"/>
  <c r="K49" i="12"/>
  <c r="I49" i="12"/>
  <c r="AC49" i="12"/>
  <c r="AD49" i="12" s="1"/>
  <c r="Y49" i="12"/>
  <c r="Z49" i="12" s="1"/>
  <c r="BM49" i="12"/>
  <c r="I51" i="1" s="1"/>
  <c r="W49" i="12"/>
  <c r="X49" i="12" s="1"/>
  <c r="AA49" i="12"/>
  <c r="AB49" i="12" s="1"/>
  <c r="U49" i="12"/>
  <c r="V49" i="12" s="1"/>
  <c r="F49" i="12"/>
  <c r="H49" i="12"/>
  <c r="Q99" i="12"/>
  <c r="R99" i="12" s="1"/>
  <c r="U99" i="12"/>
  <c r="V99" i="12" s="1"/>
  <c r="S99" i="12"/>
  <c r="T99" i="12" s="1"/>
  <c r="O99" i="12"/>
  <c r="P99" i="12" s="1"/>
  <c r="BO99" i="12"/>
  <c r="AE99" i="12"/>
  <c r="AF99" i="12" s="1"/>
  <c r="K99" i="12"/>
  <c r="AA99" i="12"/>
  <c r="AB99" i="12" s="1"/>
  <c r="J99" i="12"/>
  <c r="I99" i="12"/>
  <c r="AC99" i="12"/>
  <c r="AD99" i="12" s="1"/>
  <c r="Y99" i="12"/>
  <c r="Z99" i="12" s="1"/>
  <c r="BM99" i="12"/>
  <c r="I101" i="1" s="1"/>
  <c r="W99" i="12"/>
  <c r="X99" i="12" s="1"/>
  <c r="L99" i="12"/>
  <c r="F99" i="12"/>
  <c r="M99" i="12"/>
  <c r="N99" i="12" s="1"/>
  <c r="H99" i="12"/>
  <c r="BR243" i="12"/>
  <c r="AI243" i="12"/>
  <c r="BQ151" i="12"/>
  <c r="AH151" i="12"/>
  <c r="BQ251" i="12"/>
  <c r="AH251" i="12"/>
  <c r="AI106" i="12"/>
  <c r="BK106" i="12"/>
  <c r="BR106" i="12"/>
  <c r="BA25" i="12"/>
  <c r="AW122" i="12"/>
  <c r="BP122" i="12"/>
  <c r="BN122" i="12"/>
  <c r="AG122" i="12"/>
  <c r="BN283" i="12"/>
  <c r="AG283" i="12"/>
  <c r="BP283" i="12"/>
  <c r="BK18" i="12"/>
  <c r="BP186" i="12"/>
  <c r="BN186" i="12"/>
  <c r="AG186" i="12"/>
  <c r="AW186" i="12"/>
  <c r="BR125" i="12"/>
  <c r="AI125" i="12"/>
  <c r="BK125" i="12"/>
  <c r="BR109" i="12"/>
  <c r="AI109" i="12"/>
  <c r="BK109" i="12"/>
  <c r="BC72" i="12"/>
  <c r="BE110" i="12"/>
  <c r="W175" i="12"/>
  <c r="X175" i="12" s="1"/>
  <c r="F175" i="12"/>
  <c r="U175" i="12"/>
  <c r="V175" i="12" s="1"/>
  <c r="S175" i="12"/>
  <c r="T175" i="12" s="1"/>
  <c r="Q175" i="12"/>
  <c r="R175" i="12" s="1"/>
  <c r="Y175" i="12"/>
  <c r="Z175" i="12" s="1"/>
  <c r="O175" i="12"/>
  <c r="P175" i="12" s="1"/>
  <c r="BO175" i="12"/>
  <c r="M175" i="12"/>
  <c r="N175" i="12" s="1"/>
  <c r="L175" i="12"/>
  <c r="J175" i="12"/>
  <c r="AE175" i="12"/>
  <c r="AF175" i="12" s="1"/>
  <c r="I175" i="12"/>
  <c r="K175" i="12"/>
  <c r="H175" i="12"/>
  <c r="AC175" i="12"/>
  <c r="AD175" i="12" s="1"/>
  <c r="AA175" i="12"/>
  <c r="AB175" i="12" s="1"/>
  <c r="J102" i="1"/>
  <c r="G102" i="1"/>
  <c r="BA196" i="12"/>
  <c r="BK164" i="12"/>
  <c r="AA52" i="12"/>
  <c r="AB52" i="12" s="1"/>
  <c r="K52" i="12"/>
  <c r="Q52" i="12"/>
  <c r="R52" i="12" s="1"/>
  <c r="BO52" i="12"/>
  <c r="O52" i="12"/>
  <c r="P52" i="12" s="1"/>
  <c r="AE52" i="12"/>
  <c r="AF52" i="12" s="1"/>
  <c r="BM52" i="12"/>
  <c r="I54" i="1" s="1"/>
  <c r="M52" i="12"/>
  <c r="N52" i="12" s="1"/>
  <c r="AC52" i="12"/>
  <c r="AD52" i="12" s="1"/>
  <c r="L52" i="12"/>
  <c r="J52" i="12"/>
  <c r="Y52" i="12"/>
  <c r="Z52" i="12" s="1"/>
  <c r="H52" i="12"/>
  <c r="I52" i="12"/>
  <c r="W52" i="12"/>
  <c r="X52" i="12" s="1"/>
  <c r="U52" i="12"/>
  <c r="V52" i="12" s="1"/>
  <c r="S52" i="12"/>
  <c r="T52" i="12" s="1"/>
  <c r="F52" i="12"/>
  <c r="AC201" i="12"/>
  <c r="AD201" i="12" s="1"/>
  <c r="M201" i="12"/>
  <c r="N201" i="12" s="1"/>
  <c r="S201" i="12"/>
  <c r="T201" i="12" s="1"/>
  <c r="Q201" i="12"/>
  <c r="R201" i="12" s="1"/>
  <c r="O201" i="12"/>
  <c r="P201" i="12" s="1"/>
  <c r="L201" i="12"/>
  <c r="AE201" i="12"/>
  <c r="AF201" i="12" s="1"/>
  <c r="K201" i="12"/>
  <c r="BO201" i="12"/>
  <c r="J201" i="12"/>
  <c r="Y201" i="12"/>
  <c r="Z201" i="12" s="1"/>
  <c r="AA201" i="12"/>
  <c r="AB201" i="12" s="1"/>
  <c r="W201" i="12"/>
  <c r="X201" i="12" s="1"/>
  <c r="U201" i="12"/>
  <c r="V201" i="12" s="1"/>
  <c r="I201" i="12"/>
  <c r="F201" i="12"/>
  <c r="H201" i="12"/>
  <c r="BI49" i="12"/>
  <c r="H4" i="12"/>
  <c r="W4" i="12"/>
  <c r="X4" i="12" s="1"/>
  <c r="F4" i="12"/>
  <c r="U4" i="12"/>
  <c r="V4" i="12" s="1"/>
  <c r="S4" i="12"/>
  <c r="T4" i="12" s="1"/>
  <c r="BO4" i="12"/>
  <c r="Q4" i="12"/>
  <c r="R4" i="12" s="1"/>
  <c r="AE4" i="12"/>
  <c r="AF4" i="12" s="1"/>
  <c r="O4" i="12"/>
  <c r="P4" i="12" s="1"/>
  <c r="AC4" i="12"/>
  <c r="AD4" i="12" s="1"/>
  <c r="AA4" i="12"/>
  <c r="AB4" i="12" s="1"/>
  <c r="BM4" i="12"/>
  <c r="I6" i="1" s="1"/>
  <c r="Y4" i="12"/>
  <c r="Z4" i="12" s="1"/>
  <c r="M4" i="12"/>
  <c r="N4" i="12" s="1"/>
  <c r="L4" i="12"/>
  <c r="K4" i="12"/>
  <c r="J4" i="12"/>
  <c r="I4" i="12"/>
  <c r="BI48" i="12"/>
  <c r="S182" i="12"/>
  <c r="T182" i="12" s="1"/>
  <c r="BO182" i="12"/>
  <c r="Q182" i="12"/>
  <c r="R182" i="12" s="1"/>
  <c r="AE182" i="12"/>
  <c r="AF182" i="12" s="1"/>
  <c r="O182" i="12"/>
  <c r="P182" i="12" s="1"/>
  <c r="AC182" i="12"/>
  <c r="AD182" i="12" s="1"/>
  <c r="M182" i="12"/>
  <c r="N182" i="12" s="1"/>
  <c r="AA182" i="12"/>
  <c r="AB182" i="12" s="1"/>
  <c r="J182" i="12"/>
  <c r="W182" i="12"/>
  <c r="X182" i="12" s="1"/>
  <c r="U182" i="12"/>
  <c r="V182" i="12" s="1"/>
  <c r="L182" i="12"/>
  <c r="K182" i="12"/>
  <c r="I182" i="12"/>
  <c r="Y182" i="12"/>
  <c r="Z182" i="12" s="1"/>
  <c r="F182" i="12"/>
  <c r="H182" i="12"/>
  <c r="Y61" i="12"/>
  <c r="Z61" i="12" s="1"/>
  <c r="W61" i="12"/>
  <c r="X61" i="12" s="1"/>
  <c r="U61" i="12"/>
  <c r="V61" i="12" s="1"/>
  <c r="S61" i="12"/>
  <c r="T61" i="12" s="1"/>
  <c r="BO61" i="12"/>
  <c r="O61" i="12"/>
  <c r="P61" i="12" s="1"/>
  <c r="I61" i="12"/>
  <c r="AE61" i="12"/>
  <c r="AF61" i="12" s="1"/>
  <c r="AA61" i="12"/>
  <c r="AB61" i="12" s="1"/>
  <c r="BM61" i="12"/>
  <c r="I63" i="1" s="1"/>
  <c r="Q61" i="12"/>
  <c r="R61" i="12" s="1"/>
  <c r="AC61" i="12"/>
  <c r="AD61" i="12" s="1"/>
  <c r="M61" i="12"/>
  <c r="N61" i="12" s="1"/>
  <c r="L61" i="12"/>
  <c r="K61" i="12"/>
  <c r="J61" i="12"/>
  <c r="F61" i="12"/>
  <c r="H61" i="12"/>
  <c r="AW128" i="12"/>
  <c r="AM357" i="12"/>
  <c r="BA175" i="12"/>
  <c r="AC163" i="12"/>
  <c r="AD163" i="12" s="1"/>
  <c r="M163" i="12"/>
  <c r="N163" i="12" s="1"/>
  <c r="W163" i="12"/>
  <c r="X163" i="12" s="1"/>
  <c r="F163" i="12"/>
  <c r="U163" i="12"/>
  <c r="V163" i="12" s="1"/>
  <c r="S163" i="12"/>
  <c r="T163" i="12" s="1"/>
  <c r="Q163" i="12"/>
  <c r="R163" i="12" s="1"/>
  <c r="BO163" i="12"/>
  <c r="O163" i="12"/>
  <c r="P163" i="12" s="1"/>
  <c r="AE163" i="12"/>
  <c r="AF163" i="12" s="1"/>
  <c r="J163" i="12"/>
  <c r="I163" i="12"/>
  <c r="H163" i="12"/>
  <c r="AA163" i="12"/>
  <c r="AB163" i="12" s="1"/>
  <c r="BM163" i="12"/>
  <c r="I165" i="1" s="1"/>
  <c r="Y163" i="12"/>
  <c r="Z163" i="12" s="1"/>
  <c r="L163" i="12"/>
  <c r="K163" i="12"/>
  <c r="AW126" i="12"/>
  <c r="AW56" i="12"/>
  <c r="AA214" i="12"/>
  <c r="AB214" i="12" s="1"/>
  <c r="K214" i="12"/>
  <c r="I214" i="12"/>
  <c r="Y214" i="12"/>
  <c r="Z214" i="12" s="1"/>
  <c r="W214" i="12"/>
  <c r="X214" i="12" s="1"/>
  <c r="F214" i="12"/>
  <c r="U214" i="12"/>
  <c r="V214" i="12" s="1"/>
  <c r="S214" i="12"/>
  <c r="T214" i="12" s="1"/>
  <c r="Q214" i="12"/>
  <c r="R214" i="12" s="1"/>
  <c r="AE214" i="12"/>
  <c r="AF214" i="12" s="1"/>
  <c r="AC214" i="12"/>
  <c r="AD214" i="12" s="1"/>
  <c r="BO214" i="12"/>
  <c r="M214" i="12"/>
  <c r="N214" i="12" s="1"/>
  <c r="BM214" i="12"/>
  <c r="I216" i="1" s="1"/>
  <c r="O214" i="12"/>
  <c r="P214" i="12" s="1"/>
  <c r="J214" i="12"/>
  <c r="L214" i="12"/>
  <c r="H214" i="12"/>
  <c r="BE99" i="12"/>
  <c r="AL175" i="12"/>
  <c r="BG126" i="12"/>
  <c r="BG177" i="12"/>
  <c r="BC164" i="12"/>
  <c r="BC142" i="12"/>
  <c r="BE198" i="12"/>
  <c r="J207" i="1"/>
  <c r="G207" i="1"/>
  <c r="AL126" i="12"/>
  <c r="BG196" i="12"/>
  <c r="BE219" i="12"/>
  <c r="J43" i="1"/>
  <c r="G43" i="1"/>
  <c r="BK201" i="12"/>
  <c r="AW179" i="12"/>
  <c r="Q21" i="12"/>
  <c r="R21" i="12" s="1"/>
  <c r="J21" i="12"/>
  <c r="AA21" i="12"/>
  <c r="AB21" i="12" s="1"/>
  <c r="I21" i="12"/>
  <c r="Y21" i="12"/>
  <c r="Z21" i="12" s="1"/>
  <c r="W21" i="12"/>
  <c r="X21" i="12" s="1"/>
  <c r="U21" i="12"/>
  <c r="V21" i="12" s="1"/>
  <c r="S21" i="12"/>
  <c r="T21" i="12" s="1"/>
  <c r="O21" i="12"/>
  <c r="P21" i="12" s="1"/>
  <c r="AE21" i="12"/>
  <c r="AF21" i="12" s="1"/>
  <c r="M21" i="12"/>
  <c r="N21" i="12" s="1"/>
  <c r="BO21" i="12"/>
  <c r="AC21" i="12"/>
  <c r="AD21" i="12" s="1"/>
  <c r="L21" i="12"/>
  <c r="K21" i="12"/>
  <c r="H21" i="12"/>
  <c r="F21" i="12"/>
  <c r="AY29" i="12"/>
  <c r="BI127" i="12"/>
  <c r="AC180" i="12"/>
  <c r="AD180" i="12" s="1"/>
  <c r="M180" i="12"/>
  <c r="N180" i="12" s="1"/>
  <c r="L180" i="12"/>
  <c r="AA180" i="12"/>
  <c r="AB180" i="12" s="1"/>
  <c r="K180" i="12"/>
  <c r="J180" i="12"/>
  <c r="Y180" i="12"/>
  <c r="Z180" i="12" s="1"/>
  <c r="I180" i="12"/>
  <c r="W180" i="12"/>
  <c r="X180" i="12" s="1"/>
  <c r="U180" i="12"/>
  <c r="V180" i="12" s="1"/>
  <c r="S180" i="12"/>
  <c r="T180" i="12" s="1"/>
  <c r="Q180" i="12"/>
  <c r="R180" i="12" s="1"/>
  <c r="O180" i="12"/>
  <c r="P180" i="12" s="1"/>
  <c r="AE180" i="12"/>
  <c r="AF180" i="12" s="1"/>
  <c r="F180" i="12"/>
  <c r="BO180" i="12"/>
  <c r="H180" i="12"/>
  <c r="BG17" i="12"/>
  <c r="BG110" i="12"/>
  <c r="BE137" i="12"/>
  <c r="BC112" i="12"/>
  <c r="BI143" i="12"/>
  <c r="BP352" i="12"/>
  <c r="BN352" i="12"/>
  <c r="AW352" i="12"/>
  <c r="AG352" i="12"/>
  <c r="J118" i="12"/>
  <c r="Y118" i="12"/>
  <c r="Z118" i="12" s="1"/>
  <c r="W118" i="12"/>
  <c r="X118" i="12" s="1"/>
  <c r="AE118" i="12"/>
  <c r="AF118" i="12" s="1"/>
  <c r="L118" i="12"/>
  <c r="K118" i="12"/>
  <c r="AC118" i="12"/>
  <c r="AD118" i="12" s="1"/>
  <c r="I118" i="12"/>
  <c r="BO118" i="12"/>
  <c r="AA118" i="12"/>
  <c r="AB118" i="12" s="1"/>
  <c r="S118" i="12"/>
  <c r="T118" i="12" s="1"/>
  <c r="Q118" i="12"/>
  <c r="R118" i="12" s="1"/>
  <c r="U118" i="12"/>
  <c r="V118" i="12" s="1"/>
  <c r="O118" i="12"/>
  <c r="P118" i="12" s="1"/>
  <c r="M118" i="12"/>
  <c r="N118" i="12" s="1"/>
  <c r="H118" i="12"/>
  <c r="F118" i="12"/>
  <c r="J194" i="1"/>
  <c r="G194" i="1"/>
  <c r="AI202" i="12"/>
  <c r="BR202" i="12"/>
  <c r="BK202" i="12"/>
  <c r="AY17" i="12"/>
  <c r="AW73" i="12"/>
  <c r="BR235" i="12"/>
  <c r="AI235" i="12"/>
  <c r="BP106" i="12"/>
  <c r="BN106" i="12"/>
  <c r="AW106" i="12"/>
  <c r="AG106" i="12"/>
  <c r="AH275" i="12"/>
  <c r="BQ275" i="12"/>
  <c r="W370" i="3"/>
  <c r="J378" i="3" s="1"/>
  <c r="J380" i="3" s="1"/>
  <c r="V372" i="3"/>
  <c r="AY122" i="12"/>
  <c r="AH205" i="12"/>
  <c r="BQ205" i="12"/>
  <c r="AH135" i="12"/>
  <c r="BQ135" i="12"/>
  <c r="BG75" i="12"/>
  <c r="BK352" i="12"/>
  <c r="BR352" i="12"/>
  <c r="AI352" i="12"/>
  <c r="BK189" i="12"/>
  <c r="AI189" i="12"/>
  <c r="BR189" i="12"/>
  <c r="S79" i="12"/>
  <c r="T79" i="12" s="1"/>
  <c r="BO79" i="12"/>
  <c r="Q79" i="12"/>
  <c r="R79" i="12" s="1"/>
  <c r="AE79" i="12"/>
  <c r="AF79" i="12" s="1"/>
  <c r="O79" i="12"/>
  <c r="P79" i="12" s="1"/>
  <c r="AC79" i="12"/>
  <c r="AD79" i="12" s="1"/>
  <c r="AA79" i="12"/>
  <c r="AB79" i="12" s="1"/>
  <c r="Y79" i="12"/>
  <c r="Z79" i="12" s="1"/>
  <c r="W79" i="12"/>
  <c r="X79" i="12" s="1"/>
  <c r="U79" i="12"/>
  <c r="V79" i="12" s="1"/>
  <c r="M79" i="12"/>
  <c r="N79" i="12" s="1"/>
  <c r="L79" i="12"/>
  <c r="K79" i="12"/>
  <c r="BM79" i="12"/>
  <c r="I81" i="1" s="1"/>
  <c r="J79" i="12"/>
  <c r="I79" i="12"/>
  <c r="F79" i="12"/>
  <c r="H79" i="12"/>
  <c r="BK126" i="12"/>
  <c r="AC100" i="12"/>
  <c r="AD100" i="12" s="1"/>
  <c r="M100" i="12"/>
  <c r="N100" i="12" s="1"/>
  <c r="L100" i="12"/>
  <c r="U100" i="12"/>
  <c r="V100" i="12" s="1"/>
  <c r="S100" i="12"/>
  <c r="T100" i="12" s="1"/>
  <c r="Q100" i="12"/>
  <c r="R100" i="12" s="1"/>
  <c r="O100" i="12"/>
  <c r="P100" i="12" s="1"/>
  <c r="BO100" i="12"/>
  <c r="J100" i="12"/>
  <c r="AA100" i="12"/>
  <c r="AB100" i="12" s="1"/>
  <c r="I100" i="12"/>
  <c r="BM100" i="12"/>
  <c r="I102" i="1" s="1"/>
  <c r="K100" i="12"/>
  <c r="AE100" i="12"/>
  <c r="AF100" i="12" s="1"/>
  <c r="Y100" i="12"/>
  <c r="Z100" i="12" s="1"/>
  <c r="W100" i="12"/>
  <c r="X100" i="12" s="1"/>
  <c r="F100" i="12"/>
  <c r="H100" i="12"/>
  <c r="BA118" i="12"/>
  <c r="BC219" i="12"/>
  <c r="BK56" i="12"/>
  <c r="J111" i="1"/>
  <c r="G111" i="1"/>
  <c r="AY140" i="12"/>
  <c r="J156" i="1"/>
  <c r="G156" i="1"/>
  <c r="BE29" i="12"/>
  <c r="BE164" i="12"/>
  <c r="BE100" i="12"/>
  <c r="BA92" i="12"/>
  <c r="U207" i="12"/>
  <c r="V207" i="12" s="1"/>
  <c r="S207" i="12"/>
  <c r="T207" i="12" s="1"/>
  <c r="BO207" i="12"/>
  <c r="Q207" i="12"/>
  <c r="R207" i="12" s="1"/>
  <c r="BM207" i="12"/>
  <c r="I209" i="1" s="1"/>
  <c r="AE207" i="12"/>
  <c r="AF207" i="12" s="1"/>
  <c r="O207" i="12"/>
  <c r="P207" i="12" s="1"/>
  <c r="L207" i="12"/>
  <c r="K207" i="12"/>
  <c r="J207" i="12"/>
  <c r="I207" i="12"/>
  <c r="H207" i="12"/>
  <c r="AC207" i="12"/>
  <c r="AD207" i="12" s="1"/>
  <c r="AA207" i="12"/>
  <c r="AB207" i="12" s="1"/>
  <c r="Y207" i="12"/>
  <c r="Z207" i="12" s="1"/>
  <c r="M207" i="12"/>
  <c r="N207" i="12" s="1"/>
  <c r="W207" i="12"/>
  <c r="X207" i="12" s="1"/>
  <c r="F207" i="12"/>
  <c r="BK25" i="12"/>
  <c r="U155" i="12"/>
  <c r="V155" i="12" s="1"/>
  <c r="BO155" i="12"/>
  <c r="O155" i="12"/>
  <c r="P155" i="12" s="1"/>
  <c r="AE155" i="12"/>
  <c r="AF155" i="12" s="1"/>
  <c r="M155" i="12"/>
  <c r="N155" i="12" s="1"/>
  <c r="AC155" i="12"/>
  <c r="AD155" i="12" s="1"/>
  <c r="L155" i="12"/>
  <c r="K155" i="12"/>
  <c r="AA155" i="12"/>
  <c r="AB155" i="12" s="1"/>
  <c r="J155" i="12"/>
  <c r="I155" i="12"/>
  <c r="W155" i="12"/>
  <c r="X155" i="12" s="1"/>
  <c r="F155" i="12"/>
  <c r="Y155" i="12"/>
  <c r="Z155" i="12" s="1"/>
  <c r="S155" i="12"/>
  <c r="T155" i="12" s="1"/>
  <c r="H155" i="12"/>
  <c r="Q155" i="12"/>
  <c r="R155" i="12" s="1"/>
  <c r="BC110" i="12"/>
  <c r="BI196" i="12"/>
  <c r="AY127" i="12"/>
  <c r="BG142" i="12"/>
  <c r="BO41" i="12"/>
  <c r="U41" i="12"/>
  <c r="V41" i="12" s="1"/>
  <c r="J41" i="12"/>
  <c r="AA41" i="12"/>
  <c r="AB41" i="12" s="1"/>
  <c r="I41" i="12"/>
  <c r="Y41" i="12"/>
  <c r="Z41" i="12" s="1"/>
  <c r="F41" i="12"/>
  <c r="W41" i="12"/>
  <c r="X41" i="12" s="1"/>
  <c r="Q41" i="12"/>
  <c r="R41" i="12" s="1"/>
  <c r="O41" i="12"/>
  <c r="P41" i="12" s="1"/>
  <c r="L41" i="12"/>
  <c r="K41" i="12"/>
  <c r="AE41" i="12"/>
  <c r="AF41" i="12" s="1"/>
  <c r="AC41" i="12"/>
  <c r="AD41" i="12" s="1"/>
  <c r="S41" i="12"/>
  <c r="T41" i="12" s="1"/>
  <c r="M41" i="12"/>
  <c r="N41" i="12" s="1"/>
  <c r="H41" i="12"/>
  <c r="BE93" i="12"/>
  <c r="BO144" i="12"/>
  <c r="O144" i="12"/>
  <c r="P144" i="12" s="1"/>
  <c r="AE144" i="12"/>
  <c r="AF144" i="12" s="1"/>
  <c r="BM144" i="12"/>
  <c r="I146" i="1" s="1"/>
  <c r="M144" i="12"/>
  <c r="N144" i="12" s="1"/>
  <c r="AC144" i="12"/>
  <c r="AD144" i="12" s="1"/>
  <c r="L144" i="12"/>
  <c r="K144" i="12"/>
  <c r="AA144" i="12"/>
  <c r="AB144" i="12" s="1"/>
  <c r="J144" i="12"/>
  <c r="W144" i="12"/>
  <c r="X144" i="12" s="1"/>
  <c r="U144" i="12"/>
  <c r="V144" i="12" s="1"/>
  <c r="S144" i="12"/>
  <c r="T144" i="12" s="1"/>
  <c r="Q144" i="12"/>
  <c r="R144" i="12" s="1"/>
  <c r="I144" i="12"/>
  <c r="Y144" i="12"/>
  <c r="Z144" i="12" s="1"/>
  <c r="H144" i="12"/>
  <c r="F144" i="12"/>
  <c r="BK24" i="12"/>
  <c r="BE52" i="12"/>
  <c r="BE61" i="12"/>
  <c r="BA153" i="12"/>
  <c r="BC54" i="12"/>
  <c r="BA101" i="12"/>
  <c r="BA126" i="12"/>
  <c r="I21" i="1"/>
  <c r="BR135" i="12"/>
  <c r="AI135" i="12"/>
  <c r="BR215" i="12"/>
  <c r="AI215" i="12"/>
  <c r="K31" i="12"/>
  <c r="AA31" i="12"/>
  <c r="AB31" i="12" s="1"/>
  <c r="J31" i="12"/>
  <c r="I31" i="12"/>
  <c r="Y31" i="12"/>
  <c r="Z31" i="12" s="1"/>
  <c r="H31" i="12"/>
  <c r="W31" i="12"/>
  <c r="X31" i="12" s="1"/>
  <c r="S31" i="12"/>
  <c r="T31" i="12" s="1"/>
  <c r="Q31" i="12"/>
  <c r="R31" i="12" s="1"/>
  <c r="AE31" i="12"/>
  <c r="AF31" i="12" s="1"/>
  <c r="U31" i="12"/>
  <c r="V31" i="12" s="1"/>
  <c r="BO31" i="12"/>
  <c r="O31" i="12"/>
  <c r="P31" i="12" s="1"/>
  <c r="M31" i="12"/>
  <c r="N31" i="12" s="1"/>
  <c r="AC31" i="12"/>
  <c r="AD31" i="12" s="1"/>
  <c r="L31" i="12"/>
  <c r="F31" i="12"/>
  <c r="BG153" i="12"/>
  <c r="AY221" i="12"/>
  <c r="BE72" i="12"/>
  <c r="BI221" i="12"/>
  <c r="BG122" i="12"/>
  <c r="AH267" i="12"/>
  <c r="BQ267" i="12"/>
  <c r="BQ141" i="12"/>
  <c r="AH141" i="12"/>
  <c r="BQ338" i="12"/>
  <c r="AH338" i="12"/>
  <c r="AH183" i="12"/>
  <c r="BQ183" i="12"/>
  <c r="BN189" i="12"/>
  <c r="AW189" i="12"/>
  <c r="AG189" i="12"/>
  <c r="BP189" i="12"/>
  <c r="AG280" i="12"/>
  <c r="BP280" i="12"/>
  <c r="BN280" i="12"/>
  <c r="AW17" i="12"/>
  <c r="G217" i="1"/>
  <c r="J217" i="1"/>
  <c r="AL177" i="12"/>
  <c r="BE49" i="12"/>
  <c r="BK48" i="12"/>
  <c r="BK49" i="12"/>
  <c r="U109" i="12"/>
  <c r="V109" i="12" s="1"/>
  <c r="S109" i="12"/>
  <c r="T109" i="12" s="1"/>
  <c r="BO109" i="12"/>
  <c r="Q109" i="12"/>
  <c r="R109" i="12" s="1"/>
  <c r="BM109" i="12"/>
  <c r="AE109" i="12"/>
  <c r="AF109" i="12" s="1"/>
  <c r="O109" i="12"/>
  <c r="P109" i="12" s="1"/>
  <c r="L109" i="12"/>
  <c r="W109" i="12"/>
  <c r="X109" i="12" s="1"/>
  <c r="M109" i="12"/>
  <c r="N109" i="12" s="1"/>
  <c r="K109" i="12"/>
  <c r="J109" i="12"/>
  <c r="F109" i="12"/>
  <c r="AC109" i="12"/>
  <c r="AD109" i="12" s="1"/>
  <c r="AA109" i="12"/>
  <c r="AB109" i="12" s="1"/>
  <c r="Y109" i="12"/>
  <c r="Z109" i="12" s="1"/>
  <c r="I109" i="12"/>
  <c r="H109" i="12"/>
  <c r="AW52" i="12"/>
  <c r="AL219" i="12"/>
  <c r="J59" i="1"/>
  <c r="G59" i="1"/>
  <c r="AY148" i="12"/>
  <c r="S203" i="12"/>
  <c r="T203" i="12" s="1"/>
  <c r="BO203" i="12"/>
  <c r="AA203" i="12"/>
  <c r="AB203" i="12" s="1"/>
  <c r="I203" i="12"/>
  <c r="BM203" i="12"/>
  <c r="I205" i="1" s="1"/>
  <c r="Y203" i="12"/>
  <c r="Z203" i="12" s="1"/>
  <c r="F203" i="12"/>
  <c r="W203" i="12"/>
  <c r="X203" i="12" s="1"/>
  <c r="U203" i="12"/>
  <c r="V203" i="12" s="1"/>
  <c r="O203" i="12"/>
  <c r="P203" i="12" s="1"/>
  <c r="AC203" i="12"/>
  <c r="AD203" i="12" s="1"/>
  <c r="Q203" i="12"/>
  <c r="R203" i="12" s="1"/>
  <c r="M203" i="12"/>
  <c r="N203" i="12" s="1"/>
  <c r="L203" i="12"/>
  <c r="K203" i="12"/>
  <c r="J203" i="12"/>
  <c r="AE203" i="12"/>
  <c r="AF203" i="12" s="1"/>
  <c r="H203" i="12"/>
  <c r="BI112" i="12"/>
  <c r="AW37" i="12"/>
  <c r="AY2" i="12"/>
  <c r="BC185" i="12"/>
  <c r="BE207" i="12"/>
  <c r="G225" i="1"/>
  <c r="J225" i="1"/>
  <c r="BE14" i="12"/>
  <c r="J356" i="1"/>
  <c r="G356" i="1"/>
  <c r="J107" i="1"/>
  <c r="G107" i="1"/>
  <c r="G96" i="1"/>
  <c r="J96" i="1"/>
  <c r="BI146" i="12"/>
  <c r="J30" i="1"/>
  <c r="G30" i="1"/>
  <c r="AL211" i="12"/>
  <c r="BI169" i="12"/>
  <c r="G357" i="1"/>
  <c r="J357" i="1"/>
  <c r="J131" i="1"/>
  <c r="G131" i="1"/>
  <c r="BC31" i="12"/>
  <c r="BR199" i="12"/>
  <c r="AI199" i="12"/>
  <c r="Y62" i="12"/>
  <c r="Z62" i="12" s="1"/>
  <c r="I62" i="12"/>
  <c r="W62" i="12"/>
  <c r="X62" i="12" s="1"/>
  <c r="F62" i="12"/>
  <c r="U62" i="12"/>
  <c r="V62" i="12" s="1"/>
  <c r="S62" i="12"/>
  <c r="T62" i="12" s="1"/>
  <c r="Q62" i="12"/>
  <c r="R62" i="12" s="1"/>
  <c r="BO62" i="12"/>
  <c r="O62" i="12"/>
  <c r="P62" i="12" s="1"/>
  <c r="AE62" i="12"/>
  <c r="AF62" i="12" s="1"/>
  <c r="M62" i="12"/>
  <c r="N62" i="12" s="1"/>
  <c r="L62" i="12"/>
  <c r="K62" i="12"/>
  <c r="J62" i="12"/>
  <c r="H62" i="12"/>
  <c r="AC62" i="12"/>
  <c r="AD62" i="12" s="1"/>
  <c r="BM62" i="12"/>
  <c r="I64" i="1" s="1"/>
  <c r="AA62" i="12"/>
  <c r="AB62" i="12" s="1"/>
  <c r="J19" i="1"/>
  <c r="G19" i="1"/>
  <c r="BQ283" i="12"/>
  <c r="AH283" i="12"/>
  <c r="J11" i="1"/>
  <c r="G11" i="1"/>
  <c r="BO73" i="12"/>
  <c r="AC73" i="12"/>
  <c r="AD73" i="12" s="1"/>
  <c r="L73" i="12"/>
  <c r="K73" i="12"/>
  <c r="AA73" i="12"/>
  <c r="AB73" i="12" s="1"/>
  <c r="J73" i="12"/>
  <c r="I73" i="12"/>
  <c r="Y73" i="12"/>
  <c r="Z73" i="12" s="1"/>
  <c r="W73" i="12"/>
  <c r="X73" i="12" s="1"/>
  <c r="S73" i="12"/>
  <c r="T73" i="12" s="1"/>
  <c r="U73" i="12"/>
  <c r="V73" i="12" s="1"/>
  <c r="Q73" i="12"/>
  <c r="R73" i="12" s="1"/>
  <c r="AE73" i="12"/>
  <c r="AF73" i="12" s="1"/>
  <c r="O73" i="12"/>
  <c r="P73" i="12" s="1"/>
  <c r="M73" i="12"/>
  <c r="N73" i="12" s="1"/>
  <c r="BM73" i="12"/>
  <c r="I75" i="1" s="1"/>
  <c r="F73" i="12"/>
  <c r="H73" i="12"/>
  <c r="AW142" i="12"/>
  <c r="J65" i="12"/>
  <c r="U65" i="12"/>
  <c r="V65" i="12" s="1"/>
  <c r="S65" i="12"/>
  <c r="T65" i="12" s="1"/>
  <c r="Q65" i="12"/>
  <c r="R65" i="12" s="1"/>
  <c r="BO65" i="12"/>
  <c r="O65" i="12"/>
  <c r="P65" i="12" s="1"/>
  <c r="BM65" i="12"/>
  <c r="I67" i="1" s="1"/>
  <c r="M65" i="12"/>
  <c r="N65" i="12" s="1"/>
  <c r="AC65" i="12"/>
  <c r="AD65" i="12" s="1"/>
  <c r="L65" i="12"/>
  <c r="F65" i="12"/>
  <c r="AA65" i="12"/>
  <c r="AB65" i="12" s="1"/>
  <c r="Y65" i="12"/>
  <c r="Z65" i="12" s="1"/>
  <c r="AE65" i="12"/>
  <c r="AF65" i="12" s="1"/>
  <c r="W65" i="12"/>
  <c r="X65" i="12" s="1"/>
  <c r="K65" i="12"/>
  <c r="I65" i="12"/>
  <c r="H65" i="12"/>
  <c r="BN227" i="12"/>
  <c r="AG227" i="12"/>
  <c r="BP227" i="12"/>
  <c r="Q173" i="12"/>
  <c r="R173" i="12" s="1"/>
  <c r="AE173" i="12"/>
  <c r="AF173" i="12" s="1"/>
  <c r="O173" i="12"/>
  <c r="P173" i="12" s="1"/>
  <c r="AC173" i="12"/>
  <c r="AD173" i="12" s="1"/>
  <c r="AA173" i="12"/>
  <c r="AB173" i="12" s="1"/>
  <c r="K173" i="12"/>
  <c r="Y173" i="12"/>
  <c r="Z173" i="12" s="1"/>
  <c r="W173" i="12"/>
  <c r="X173" i="12" s="1"/>
  <c r="BO173" i="12"/>
  <c r="U173" i="12"/>
  <c r="V173" i="12" s="1"/>
  <c r="S173" i="12"/>
  <c r="T173" i="12" s="1"/>
  <c r="M173" i="12"/>
  <c r="N173" i="12" s="1"/>
  <c r="L173" i="12"/>
  <c r="I173" i="12"/>
  <c r="J173" i="12"/>
  <c r="H173" i="12"/>
  <c r="F173" i="12"/>
  <c r="BE65" i="12"/>
  <c r="BN138" i="12"/>
  <c r="AG138" i="12"/>
  <c r="BP138" i="12"/>
  <c r="AW138" i="12"/>
  <c r="J4" i="1"/>
  <c r="G4" i="1"/>
  <c r="AH227" i="12"/>
  <c r="BQ227" i="12"/>
  <c r="S102" i="12"/>
  <c r="T102" i="12" s="1"/>
  <c r="BO102" i="12"/>
  <c r="J102" i="12"/>
  <c r="AA102" i="12"/>
  <c r="AB102" i="12" s="1"/>
  <c r="I102" i="12"/>
  <c r="BM102" i="12"/>
  <c r="I104" i="1" s="1"/>
  <c r="Y102" i="12"/>
  <c r="Z102" i="12" s="1"/>
  <c r="F102" i="12"/>
  <c r="W102" i="12"/>
  <c r="X102" i="12" s="1"/>
  <c r="Q102" i="12"/>
  <c r="R102" i="12" s="1"/>
  <c r="O102" i="12"/>
  <c r="P102" i="12" s="1"/>
  <c r="L102" i="12"/>
  <c r="K102" i="12"/>
  <c r="AE102" i="12"/>
  <c r="AF102" i="12" s="1"/>
  <c r="AC102" i="12"/>
  <c r="AD102" i="12" s="1"/>
  <c r="M102" i="12"/>
  <c r="N102" i="12" s="1"/>
  <c r="U102" i="12"/>
  <c r="V102" i="12" s="1"/>
  <c r="H102" i="12"/>
  <c r="BE62" i="12"/>
  <c r="BC65" i="12"/>
  <c r="BR151" i="12"/>
  <c r="AI151" i="12"/>
  <c r="BR246" i="12"/>
  <c r="AI246" i="12"/>
  <c r="BA138" i="12"/>
  <c r="BI25" i="12"/>
  <c r="AH346" i="12"/>
  <c r="BQ346" i="12"/>
  <c r="BG99" i="12"/>
  <c r="S145" i="12"/>
  <c r="T145" i="12" s="1"/>
  <c r="BO145" i="12"/>
  <c r="O145" i="12"/>
  <c r="P145" i="12" s="1"/>
  <c r="AE145" i="12"/>
  <c r="AF145" i="12" s="1"/>
  <c r="BM145" i="12"/>
  <c r="I147" i="1" s="1"/>
  <c r="M145" i="12"/>
  <c r="N145" i="12" s="1"/>
  <c r="AC145" i="12"/>
  <c r="AD145" i="12" s="1"/>
  <c r="L145" i="12"/>
  <c r="K145" i="12"/>
  <c r="AA145" i="12"/>
  <c r="AB145" i="12" s="1"/>
  <c r="J145" i="12"/>
  <c r="I145" i="12"/>
  <c r="W145" i="12"/>
  <c r="X145" i="12" s="1"/>
  <c r="U145" i="12"/>
  <c r="V145" i="12" s="1"/>
  <c r="Q145" i="12"/>
  <c r="R145" i="12" s="1"/>
  <c r="H145" i="12"/>
  <c r="Y145" i="12"/>
  <c r="Z145" i="12" s="1"/>
  <c r="F145" i="12"/>
  <c r="BI122" i="12"/>
  <c r="G40" i="1"/>
  <c r="J40" i="1"/>
  <c r="BE125" i="12"/>
  <c r="AH125" i="12"/>
  <c r="BQ125" i="12"/>
  <c r="BP218" i="12"/>
  <c r="AG218" i="12"/>
  <c r="AW218" i="12"/>
  <c r="BN218" i="12"/>
  <c r="AY54" i="12"/>
  <c r="G36" i="1"/>
  <c r="J36" i="1"/>
  <c r="BC17" i="12"/>
  <c r="L217" i="12"/>
  <c r="W217" i="12"/>
  <c r="X217" i="12" s="1"/>
  <c r="F217" i="12"/>
  <c r="U217" i="12"/>
  <c r="V217" i="12" s="1"/>
  <c r="S217" i="12"/>
  <c r="T217" i="12" s="1"/>
  <c r="Q217" i="12"/>
  <c r="R217" i="12" s="1"/>
  <c r="BO217" i="12"/>
  <c r="O217" i="12"/>
  <c r="P217" i="12" s="1"/>
  <c r="AE217" i="12"/>
  <c r="AF217" i="12" s="1"/>
  <c r="M217" i="12"/>
  <c r="N217" i="12" s="1"/>
  <c r="Y217" i="12"/>
  <c r="Z217" i="12" s="1"/>
  <c r="K217" i="12"/>
  <c r="J217" i="12"/>
  <c r="I217" i="12"/>
  <c r="H217" i="12"/>
  <c r="AC217" i="12"/>
  <c r="AD217" i="12" s="1"/>
  <c r="AA217" i="12"/>
  <c r="AB217" i="12" s="1"/>
  <c r="BE196" i="12"/>
  <c r="BG128" i="12"/>
  <c r="AE209" i="12"/>
  <c r="AF209" i="12" s="1"/>
  <c r="M209" i="12"/>
  <c r="N209" i="12" s="1"/>
  <c r="AC209" i="12"/>
  <c r="AD209" i="12" s="1"/>
  <c r="L209" i="12"/>
  <c r="K209" i="12"/>
  <c r="AA209" i="12"/>
  <c r="AB209" i="12" s="1"/>
  <c r="J209" i="12"/>
  <c r="I209" i="12"/>
  <c r="Y209" i="12"/>
  <c r="Z209" i="12" s="1"/>
  <c r="W209" i="12"/>
  <c r="X209" i="12" s="1"/>
  <c r="U209" i="12"/>
  <c r="V209" i="12" s="1"/>
  <c r="S209" i="12"/>
  <c r="T209" i="12" s="1"/>
  <c r="Q209" i="12"/>
  <c r="R209" i="12" s="1"/>
  <c r="O209" i="12"/>
  <c r="P209" i="12" s="1"/>
  <c r="BO209" i="12"/>
  <c r="F209" i="12"/>
  <c r="AL207" i="12"/>
  <c r="BE70" i="12"/>
  <c r="BI209" i="12"/>
  <c r="BG111" i="12"/>
  <c r="BA128" i="12"/>
  <c r="BG131" i="12"/>
  <c r="AW127" i="12"/>
  <c r="J158" i="1"/>
  <c r="G158" i="1"/>
  <c r="BO208" i="12"/>
  <c r="Q208" i="12"/>
  <c r="R208" i="12" s="1"/>
  <c r="AE208" i="12"/>
  <c r="AF208" i="12" s="1"/>
  <c r="O208" i="12"/>
  <c r="P208" i="12" s="1"/>
  <c r="AC208" i="12"/>
  <c r="AD208" i="12" s="1"/>
  <c r="M208" i="12"/>
  <c r="N208" i="12" s="1"/>
  <c r="L208" i="12"/>
  <c r="AA208" i="12"/>
  <c r="AB208" i="12" s="1"/>
  <c r="K208" i="12"/>
  <c r="J208" i="12"/>
  <c r="Y208" i="12"/>
  <c r="Z208" i="12" s="1"/>
  <c r="I208" i="12"/>
  <c r="W208" i="12"/>
  <c r="X208" i="12" s="1"/>
  <c r="U208" i="12"/>
  <c r="V208" i="12" s="1"/>
  <c r="S208" i="12"/>
  <c r="T208" i="12" s="1"/>
  <c r="F208" i="12"/>
  <c r="BK14" i="12"/>
  <c r="BK37" i="12"/>
  <c r="AW196" i="12"/>
  <c r="AY211" i="12"/>
  <c r="BK148" i="12"/>
  <c r="BK140" i="12"/>
  <c r="BK29" i="12"/>
  <c r="BE22" i="12"/>
  <c r="BI40" i="12"/>
  <c r="AX357" i="12"/>
  <c r="AY65" i="12"/>
  <c r="BG201" i="12"/>
  <c r="BK87" i="12"/>
  <c r="S150" i="12"/>
  <c r="T150" i="12" s="1"/>
  <c r="Q150" i="12"/>
  <c r="R150" i="12" s="1"/>
  <c r="BO150" i="12"/>
  <c r="O150" i="12"/>
  <c r="P150" i="12" s="1"/>
  <c r="AE150" i="12"/>
  <c r="AF150" i="12" s="1"/>
  <c r="M150" i="12"/>
  <c r="N150" i="12" s="1"/>
  <c r="J150" i="12"/>
  <c r="I150" i="12"/>
  <c r="AC150" i="12"/>
  <c r="AD150" i="12" s="1"/>
  <c r="BM150" i="12"/>
  <c r="I152" i="1" s="1"/>
  <c r="Y150" i="12"/>
  <c r="Z150" i="12" s="1"/>
  <c r="W150" i="12"/>
  <c r="X150" i="12" s="1"/>
  <c r="U150" i="12"/>
  <c r="V150" i="12" s="1"/>
  <c r="L150" i="12"/>
  <c r="AA150" i="12"/>
  <c r="AB150" i="12" s="1"/>
  <c r="K150" i="12"/>
  <c r="F150" i="12"/>
  <c r="H150" i="12"/>
  <c r="G137" i="1"/>
  <c r="J137" i="1"/>
  <c r="BG118" i="12"/>
  <c r="J354" i="12"/>
  <c r="S354" i="12"/>
  <c r="T354" i="12" s="1"/>
  <c r="BM354" i="12"/>
  <c r="I356" i="1" s="1"/>
  <c r="AE354" i="12"/>
  <c r="AF354" i="12" s="1"/>
  <c r="O354" i="12"/>
  <c r="P354" i="12" s="1"/>
  <c r="AC354" i="12"/>
  <c r="AD354" i="12" s="1"/>
  <c r="M354" i="12"/>
  <c r="N354" i="12" s="1"/>
  <c r="L354" i="12"/>
  <c r="Q354" i="12"/>
  <c r="R354" i="12" s="1"/>
  <c r="I354" i="12"/>
  <c r="K354" i="12"/>
  <c r="AA354" i="12"/>
  <c r="AB354" i="12" s="1"/>
  <c r="Y354" i="12"/>
  <c r="Z354" i="12" s="1"/>
  <c r="W354" i="12"/>
  <c r="X354" i="12" s="1"/>
  <c r="U354" i="12"/>
  <c r="V354" i="12" s="1"/>
  <c r="BO354" i="12"/>
  <c r="H354" i="12"/>
  <c r="F354" i="12"/>
  <c r="AW225" i="12"/>
  <c r="Y105" i="12"/>
  <c r="Z105" i="12" s="1"/>
  <c r="I105" i="12"/>
  <c r="W105" i="12"/>
  <c r="X105" i="12" s="1"/>
  <c r="F105" i="12"/>
  <c r="U105" i="12"/>
  <c r="V105" i="12" s="1"/>
  <c r="S105" i="12"/>
  <c r="T105" i="12" s="1"/>
  <c r="BM105" i="12"/>
  <c r="I107" i="1" s="1"/>
  <c r="AA105" i="12"/>
  <c r="AB105" i="12" s="1"/>
  <c r="Q105" i="12"/>
  <c r="R105" i="12" s="1"/>
  <c r="O105" i="12"/>
  <c r="P105" i="12" s="1"/>
  <c r="K105" i="12"/>
  <c r="J105" i="12"/>
  <c r="BO105" i="12"/>
  <c r="AE105" i="12"/>
  <c r="AF105" i="12" s="1"/>
  <c r="AC105" i="12"/>
  <c r="AD105" i="12" s="1"/>
  <c r="L105" i="12"/>
  <c r="M105" i="12"/>
  <c r="N105" i="12" s="1"/>
  <c r="H105" i="12"/>
  <c r="BE225" i="12"/>
  <c r="AC28" i="12"/>
  <c r="AD28" i="12" s="1"/>
  <c r="M28" i="12"/>
  <c r="N28" i="12" s="1"/>
  <c r="AE28" i="12"/>
  <c r="AF28" i="12" s="1"/>
  <c r="BM28" i="12"/>
  <c r="I30" i="1" s="1"/>
  <c r="L28" i="12"/>
  <c r="K28" i="12"/>
  <c r="AA28" i="12"/>
  <c r="AB28" i="12" s="1"/>
  <c r="J28" i="12"/>
  <c r="I28" i="12"/>
  <c r="Y28" i="12"/>
  <c r="Z28" i="12" s="1"/>
  <c r="S28" i="12"/>
  <c r="T28" i="12" s="1"/>
  <c r="O28" i="12"/>
  <c r="P28" i="12" s="1"/>
  <c r="F28" i="12"/>
  <c r="W28" i="12"/>
  <c r="X28" i="12" s="1"/>
  <c r="U28" i="12"/>
  <c r="V28" i="12" s="1"/>
  <c r="Q28" i="12"/>
  <c r="R28" i="12" s="1"/>
  <c r="BO28" i="12"/>
  <c r="H28" i="12"/>
  <c r="BK198" i="12"/>
  <c r="W125" i="12"/>
  <c r="X125" i="12" s="1"/>
  <c r="BO125" i="12"/>
  <c r="O125" i="12"/>
  <c r="P125" i="12" s="1"/>
  <c r="AC125" i="12"/>
  <c r="AD125" i="12" s="1"/>
  <c r="L125" i="12"/>
  <c r="M125" i="12"/>
  <c r="N125" i="12" s="1"/>
  <c r="K125" i="12"/>
  <c r="J125" i="12"/>
  <c r="AE125" i="12"/>
  <c r="AF125" i="12" s="1"/>
  <c r="I125" i="12"/>
  <c r="Y125" i="12"/>
  <c r="Z125" i="12" s="1"/>
  <c r="S125" i="12"/>
  <c r="T125" i="12" s="1"/>
  <c r="Q125" i="12"/>
  <c r="R125" i="12" s="1"/>
  <c r="BM125" i="12"/>
  <c r="AA125" i="12"/>
  <c r="AB125" i="12" s="1"/>
  <c r="U125" i="12"/>
  <c r="V125" i="12" s="1"/>
  <c r="F125" i="12"/>
  <c r="BK70" i="12"/>
  <c r="U355" i="12"/>
  <c r="V355" i="12" s="1"/>
  <c r="Q355" i="12"/>
  <c r="R355" i="12" s="1"/>
  <c r="AA355" i="12"/>
  <c r="AB355" i="12" s="1"/>
  <c r="K355" i="12"/>
  <c r="J355" i="12"/>
  <c r="Y355" i="12"/>
  <c r="Z355" i="12" s="1"/>
  <c r="I355" i="12"/>
  <c r="H355" i="12"/>
  <c r="W355" i="12"/>
  <c r="X355" i="12" s="1"/>
  <c r="AE355" i="12"/>
  <c r="AF355" i="12" s="1"/>
  <c r="AC355" i="12"/>
  <c r="AD355" i="12" s="1"/>
  <c r="S355" i="12"/>
  <c r="T355" i="12" s="1"/>
  <c r="BO355" i="12"/>
  <c r="O355" i="12"/>
  <c r="P355" i="12" s="1"/>
  <c r="L355" i="12"/>
  <c r="F355" i="12"/>
  <c r="M355" i="12"/>
  <c r="N355" i="12" s="1"/>
  <c r="BA209" i="12"/>
  <c r="BG171" i="12"/>
  <c r="J16" i="1"/>
  <c r="G16" i="1"/>
  <c r="U36" i="12"/>
  <c r="V36" i="12" s="1"/>
  <c r="W36" i="12"/>
  <c r="X36" i="12" s="1"/>
  <c r="F36" i="12"/>
  <c r="S36" i="12"/>
  <c r="T36" i="12" s="1"/>
  <c r="Q36" i="12"/>
  <c r="R36" i="12" s="1"/>
  <c r="AE36" i="12"/>
  <c r="AF36" i="12" s="1"/>
  <c r="BM36" i="12"/>
  <c r="I38" i="1" s="1"/>
  <c r="M36" i="12"/>
  <c r="N36" i="12" s="1"/>
  <c r="AC36" i="12"/>
  <c r="AD36" i="12" s="1"/>
  <c r="L36" i="12"/>
  <c r="AA36" i="12"/>
  <c r="AB36" i="12" s="1"/>
  <c r="BO36" i="12"/>
  <c r="Y36" i="12"/>
  <c r="Z36" i="12" s="1"/>
  <c r="O36" i="12"/>
  <c r="P36" i="12" s="1"/>
  <c r="K36" i="12"/>
  <c r="J36" i="12"/>
  <c r="I36" i="12"/>
  <c r="H36" i="12"/>
  <c r="BM110" i="12"/>
  <c r="I112" i="1" s="1"/>
  <c r="AE110" i="12"/>
  <c r="AF110" i="12" s="1"/>
  <c r="O110" i="12"/>
  <c r="P110" i="12" s="1"/>
  <c r="AC110" i="12"/>
  <c r="AD110" i="12" s="1"/>
  <c r="M110" i="12"/>
  <c r="N110" i="12" s="1"/>
  <c r="L110" i="12"/>
  <c r="AA110" i="12"/>
  <c r="AB110" i="12" s="1"/>
  <c r="K110" i="12"/>
  <c r="J110" i="12"/>
  <c r="W110" i="12"/>
  <c r="X110" i="12" s="1"/>
  <c r="U110" i="12"/>
  <c r="V110" i="12" s="1"/>
  <c r="S110" i="12"/>
  <c r="T110" i="12" s="1"/>
  <c r="Q110" i="12"/>
  <c r="R110" i="12" s="1"/>
  <c r="I110" i="12"/>
  <c r="BO110" i="12"/>
  <c r="Y110" i="12"/>
  <c r="Z110" i="12" s="1"/>
  <c r="F110" i="12"/>
  <c r="BQ119" i="12"/>
  <c r="AH119" i="12"/>
  <c r="BE119" i="12"/>
  <c r="AE48" i="12"/>
  <c r="AF48" i="12" s="1"/>
  <c r="O48" i="12"/>
  <c r="P48" i="12" s="1"/>
  <c r="BO48" i="12"/>
  <c r="BM48" i="12"/>
  <c r="I50" i="1" s="1"/>
  <c r="Y48" i="12"/>
  <c r="Z48" i="12" s="1"/>
  <c r="W48" i="12"/>
  <c r="X48" i="12" s="1"/>
  <c r="U48" i="12"/>
  <c r="V48" i="12" s="1"/>
  <c r="Q48" i="12"/>
  <c r="R48" i="12" s="1"/>
  <c r="M48" i="12"/>
  <c r="N48" i="12" s="1"/>
  <c r="L48" i="12"/>
  <c r="K48" i="12"/>
  <c r="J48" i="12"/>
  <c r="I48" i="12"/>
  <c r="H48" i="12"/>
  <c r="AC48" i="12"/>
  <c r="AD48" i="12" s="1"/>
  <c r="AA48" i="12"/>
  <c r="AB48" i="12" s="1"/>
  <c r="S48" i="12"/>
  <c r="T48" i="12" s="1"/>
  <c r="F48" i="12"/>
  <c r="W72" i="12"/>
  <c r="X72" i="12" s="1"/>
  <c r="AE72" i="12"/>
  <c r="AF72" i="12" s="1"/>
  <c r="BM72" i="12"/>
  <c r="I74" i="1" s="1"/>
  <c r="M72" i="12"/>
  <c r="N72" i="12" s="1"/>
  <c r="AC72" i="12"/>
  <c r="AD72" i="12" s="1"/>
  <c r="L72" i="12"/>
  <c r="K72" i="12"/>
  <c r="AA72" i="12"/>
  <c r="AB72" i="12" s="1"/>
  <c r="J72" i="12"/>
  <c r="I72" i="12"/>
  <c r="Y72" i="12"/>
  <c r="Z72" i="12" s="1"/>
  <c r="H72" i="12"/>
  <c r="U72" i="12"/>
  <c r="V72" i="12" s="1"/>
  <c r="S72" i="12"/>
  <c r="T72" i="12" s="1"/>
  <c r="O72" i="12"/>
  <c r="P72" i="12" s="1"/>
  <c r="F72" i="12"/>
  <c r="BO72" i="12"/>
  <c r="Q72" i="12"/>
  <c r="R72" i="12" s="1"/>
  <c r="J104" i="1"/>
  <c r="G104" i="1"/>
  <c r="K75" i="12"/>
  <c r="AA75" i="12"/>
  <c r="AB75" i="12" s="1"/>
  <c r="J75" i="12"/>
  <c r="I75" i="12"/>
  <c r="Y75" i="12"/>
  <c r="Z75" i="12" s="1"/>
  <c r="W75" i="12"/>
  <c r="X75" i="12" s="1"/>
  <c r="U75" i="12"/>
  <c r="V75" i="12" s="1"/>
  <c r="Q75" i="12"/>
  <c r="R75" i="12" s="1"/>
  <c r="AC75" i="12"/>
  <c r="AD75" i="12" s="1"/>
  <c r="BO75" i="12"/>
  <c r="S75" i="12"/>
  <c r="T75" i="12" s="1"/>
  <c r="BM75" i="12"/>
  <c r="O75" i="12"/>
  <c r="P75" i="12" s="1"/>
  <c r="M75" i="12"/>
  <c r="N75" i="12" s="1"/>
  <c r="AE75" i="12"/>
  <c r="AF75" i="12" s="1"/>
  <c r="L75" i="12"/>
  <c r="H75" i="12"/>
  <c r="F75" i="12"/>
  <c r="BQ215" i="12"/>
  <c r="AH215" i="12"/>
  <c r="BG72" i="12"/>
  <c r="BP246" i="12"/>
  <c r="AG246" i="12"/>
  <c r="BN246" i="12"/>
  <c r="AL138" i="12"/>
  <c r="AY173" i="12"/>
  <c r="AI259" i="12"/>
  <c r="BR259" i="12"/>
  <c r="BR119" i="12"/>
  <c r="AI119" i="12"/>
  <c r="BK119" i="12"/>
  <c r="J189" i="1"/>
  <c r="G189" i="1"/>
  <c r="BR122" i="12"/>
  <c r="AI122" i="12"/>
  <c r="BK122" i="12"/>
  <c r="BR283" i="12"/>
  <c r="AI283" i="12"/>
  <c r="BQ170" i="12"/>
  <c r="AH170" i="12"/>
  <c r="AA38" i="12"/>
  <c r="AB38" i="12" s="1"/>
  <c r="K38" i="12"/>
  <c r="U38" i="12"/>
  <c r="V38" i="12" s="1"/>
  <c r="S38" i="12"/>
  <c r="T38" i="12" s="1"/>
  <c r="Q38" i="12"/>
  <c r="R38" i="12" s="1"/>
  <c r="M38" i="12"/>
  <c r="N38" i="12" s="1"/>
  <c r="AC38" i="12"/>
  <c r="AD38" i="12" s="1"/>
  <c r="L38" i="12"/>
  <c r="J38" i="12"/>
  <c r="F38" i="12"/>
  <c r="AE38" i="12"/>
  <c r="AF38" i="12" s="1"/>
  <c r="Y38" i="12"/>
  <c r="Z38" i="12" s="1"/>
  <c r="BO38" i="12"/>
  <c r="W38" i="12"/>
  <c r="X38" i="12" s="1"/>
  <c r="O38" i="12"/>
  <c r="P38" i="12" s="1"/>
  <c r="I38" i="12"/>
  <c r="H38" i="12"/>
  <c r="BN267" i="12"/>
  <c r="AG267" i="12"/>
  <c r="BP267" i="12"/>
  <c r="BR141" i="12"/>
  <c r="AI141" i="12"/>
  <c r="BC109" i="12"/>
  <c r="AE34" i="12"/>
  <c r="AF34" i="12" s="1"/>
  <c r="O34" i="12"/>
  <c r="P34" i="12" s="1"/>
  <c r="I34" i="12"/>
  <c r="Y34" i="12"/>
  <c r="Z34" i="12" s="1"/>
  <c r="W34" i="12"/>
  <c r="X34" i="12" s="1"/>
  <c r="F34" i="12"/>
  <c r="U34" i="12"/>
  <c r="V34" i="12" s="1"/>
  <c r="Q34" i="12"/>
  <c r="R34" i="12" s="1"/>
  <c r="BO34" i="12"/>
  <c r="AC34" i="12"/>
  <c r="AD34" i="12" s="1"/>
  <c r="AA34" i="12"/>
  <c r="AB34" i="12" s="1"/>
  <c r="S34" i="12"/>
  <c r="T34" i="12" s="1"/>
  <c r="BM34" i="12"/>
  <c r="I36" i="1" s="1"/>
  <c r="M34" i="12"/>
  <c r="N34" i="12" s="1"/>
  <c r="L34" i="12"/>
  <c r="K34" i="12"/>
  <c r="J34" i="12"/>
  <c r="H34" i="12"/>
  <c r="AY159" i="12"/>
  <c r="AY87" i="12"/>
  <c r="BI73" i="12"/>
  <c r="AW9" i="12"/>
  <c r="AL155" i="12"/>
  <c r="BE36" i="12"/>
  <c r="BK118" i="12"/>
  <c r="BC139" i="12"/>
  <c r="O156" i="12"/>
  <c r="P156" i="12" s="1"/>
  <c r="BO156" i="12"/>
  <c r="AE156" i="12"/>
  <c r="AF156" i="12" s="1"/>
  <c r="M156" i="12"/>
  <c r="N156" i="12" s="1"/>
  <c r="AC156" i="12"/>
  <c r="AD156" i="12" s="1"/>
  <c r="L156" i="12"/>
  <c r="K156" i="12"/>
  <c r="AA156" i="12"/>
  <c r="AB156" i="12" s="1"/>
  <c r="J156" i="12"/>
  <c r="I156" i="12"/>
  <c r="Y156" i="12"/>
  <c r="Z156" i="12" s="1"/>
  <c r="W156" i="12"/>
  <c r="X156" i="12" s="1"/>
  <c r="F156" i="12"/>
  <c r="U156" i="12"/>
  <c r="V156" i="12" s="1"/>
  <c r="S156" i="12"/>
  <c r="T156" i="12" s="1"/>
  <c r="Q156" i="12"/>
  <c r="R156" i="12" s="1"/>
  <c r="H156" i="12"/>
  <c r="AW207" i="12"/>
  <c r="BE8" i="12"/>
  <c r="BA139" i="12"/>
  <c r="BM191" i="12"/>
  <c r="W191" i="12"/>
  <c r="X191" i="12" s="1"/>
  <c r="F191" i="12"/>
  <c r="U191" i="12"/>
  <c r="V191" i="12" s="1"/>
  <c r="S191" i="12"/>
  <c r="T191" i="12" s="1"/>
  <c r="Q191" i="12"/>
  <c r="R191" i="12" s="1"/>
  <c r="AC191" i="12"/>
  <c r="AD191" i="12" s="1"/>
  <c r="M191" i="12"/>
  <c r="N191" i="12" s="1"/>
  <c r="BO191" i="12"/>
  <c r="Y191" i="12"/>
  <c r="Z191" i="12" s="1"/>
  <c r="O191" i="12"/>
  <c r="P191" i="12" s="1"/>
  <c r="L191" i="12"/>
  <c r="K191" i="12"/>
  <c r="J191" i="12"/>
  <c r="I191" i="12"/>
  <c r="H191" i="12"/>
  <c r="AA191" i="12"/>
  <c r="AB191" i="12" s="1"/>
  <c r="AE191" i="12"/>
  <c r="AF191" i="12" s="1"/>
  <c r="AY48" i="12"/>
  <c r="AW22" i="12"/>
  <c r="BI191" i="12"/>
  <c r="M224" i="12"/>
  <c r="N224" i="12" s="1"/>
  <c r="AC224" i="12"/>
  <c r="AD224" i="12" s="1"/>
  <c r="L224" i="12"/>
  <c r="I224" i="12"/>
  <c r="Y224" i="12"/>
  <c r="Z224" i="12" s="1"/>
  <c r="W224" i="12"/>
  <c r="X224" i="12" s="1"/>
  <c r="U224" i="12"/>
  <c r="V224" i="12" s="1"/>
  <c r="BO224" i="12"/>
  <c r="S224" i="12"/>
  <c r="T224" i="12" s="1"/>
  <c r="Q224" i="12"/>
  <c r="R224" i="12" s="1"/>
  <c r="O224" i="12"/>
  <c r="P224" i="12" s="1"/>
  <c r="AE224" i="12"/>
  <c r="AF224" i="12" s="1"/>
  <c r="AA224" i="12"/>
  <c r="AB224" i="12" s="1"/>
  <c r="K224" i="12"/>
  <c r="H224" i="12"/>
  <c r="J224" i="12"/>
  <c r="F224" i="12"/>
  <c r="AL113" i="12"/>
  <c r="BG52" i="12"/>
  <c r="U188" i="12"/>
  <c r="V188" i="12" s="1"/>
  <c r="S188" i="12"/>
  <c r="T188" i="12" s="1"/>
  <c r="BO188" i="12"/>
  <c r="Q188" i="12"/>
  <c r="R188" i="12" s="1"/>
  <c r="BM188" i="12"/>
  <c r="I190" i="1" s="1"/>
  <c r="AE188" i="12"/>
  <c r="AF188" i="12" s="1"/>
  <c r="O188" i="12"/>
  <c r="P188" i="12" s="1"/>
  <c r="AC188" i="12"/>
  <c r="AD188" i="12" s="1"/>
  <c r="M188" i="12"/>
  <c r="N188" i="12" s="1"/>
  <c r="L188" i="12"/>
  <c r="AA188" i="12"/>
  <c r="AB188" i="12" s="1"/>
  <c r="Y188" i="12"/>
  <c r="Z188" i="12" s="1"/>
  <c r="W188" i="12"/>
  <c r="X188" i="12" s="1"/>
  <c r="K188" i="12"/>
  <c r="J188" i="12"/>
  <c r="I188" i="12"/>
  <c r="H188" i="12"/>
  <c r="F188" i="12"/>
  <c r="BI108" i="12"/>
  <c r="BA225" i="12"/>
  <c r="BI198" i="12"/>
  <c r="AY155" i="12"/>
  <c r="BG155" i="12"/>
  <c r="BC214" i="12"/>
  <c r="AW188" i="12"/>
  <c r="G353" i="1"/>
  <c r="J353" i="1"/>
  <c r="BK4" i="12"/>
  <c r="BP235" i="12"/>
  <c r="AG235" i="12"/>
  <c r="BN235" i="12"/>
  <c r="BK31" i="12"/>
  <c r="BO2" i="12"/>
  <c r="Q2" i="12"/>
  <c r="BM2" i="12"/>
  <c r="AE2" i="12"/>
  <c r="O2" i="12"/>
  <c r="AC2" i="12"/>
  <c r="M2" i="12"/>
  <c r="L2" i="12"/>
  <c r="AA2" i="12"/>
  <c r="K2" i="12"/>
  <c r="Y2" i="12"/>
  <c r="I2" i="12"/>
  <c r="W2" i="12"/>
  <c r="U2" i="12"/>
  <c r="S2" i="12"/>
  <c r="J2" i="12"/>
  <c r="F2" i="12"/>
  <c r="H2" i="12"/>
  <c r="J214" i="1"/>
  <c r="G214" i="1"/>
  <c r="G48" i="1"/>
  <c r="J48" i="1"/>
  <c r="AI254" i="12"/>
  <c r="BR254" i="12"/>
  <c r="J14" i="1"/>
  <c r="G14" i="1"/>
  <c r="AI251" i="12"/>
  <c r="BR251" i="12"/>
  <c r="BA173" i="12"/>
  <c r="AG119" i="12"/>
  <c r="BP119" i="12"/>
  <c r="AW119" i="12"/>
  <c r="BN119" i="12"/>
  <c r="BR170" i="12"/>
  <c r="AI170" i="12"/>
  <c r="BQ109" i="12"/>
  <c r="AH109" i="12"/>
  <c r="BE109" i="12"/>
  <c r="AY79" i="12"/>
  <c r="BG65" i="12"/>
  <c r="BE2" i="12"/>
  <c r="BA49" i="12"/>
  <c r="BC100" i="12"/>
  <c r="BG36" i="12"/>
  <c r="BA100" i="12"/>
  <c r="BG34" i="12"/>
  <c r="J354" i="1"/>
  <c r="G354" i="1"/>
  <c r="AW118" i="12"/>
  <c r="BI99" i="12"/>
  <c r="AY163" i="12"/>
  <c r="BG73" i="12"/>
  <c r="J22" i="1"/>
  <c r="G22" i="1"/>
  <c r="BE73" i="12"/>
  <c r="BG113" i="12"/>
  <c r="BA54" i="12"/>
  <c r="BC130" i="12"/>
  <c r="BG203" i="12"/>
  <c r="AY49" i="12"/>
  <c r="BG12" i="12"/>
  <c r="BK110" i="12"/>
  <c r="BI188" i="12"/>
  <c r="BE38" i="12"/>
  <c r="AW76" i="12"/>
  <c r="BC21" i="12"/>
  <c r="AW10" i="12"/>
  <c r="AT357" i="12"/>
  <c r="AU2" i="12"/>
  <c r="AU357" i="12" s="1"/>
  <c r="BE217" i="12"/>
  <c r="BA108" i="12"/>
  <c r="AW143" i="12"/>
  <c r="AY76" i="12"/>
  <c r="Y351" i="12"/>
  <c r="Z351" i="12" s="1"/>
  <c r="I351" i="12"/>
  <c r="U351" i="12"/>
  <c r="V351" i="12" s="1"/>
  <c r="BO351" i="12"/>
  <c r="AE351" i="12"/>
  <c r="AF351" i="12" s="1"/>
  <c r="O351" i="12"/>
  <c r="P351" i="12" s="1"/>
  <c r="AC351" i="12"/>
  <c r="AD351" i="12" s="1"/>
  <c r="M351" i="12"/>
  <c r="N351" i="12" s="1"/>
  <c r="L351" i="12"/>
  <c r="AA351" i="12"/>
  <c r="AB351" i="12" s="1"/>
  <c r="K351" i="12"/>
  <c r="F351" i="12"/>
  <c r="BM351" i="12"/>
  <c r="I353" i="1" s="1"/>
  <c r="Q351" i="12"/>
  <c r="R351" i="12" s="1"/>
  <c r="J351" i="12"/>
  <c r="W351" i="12"/>
  <c r="X351" i="12" s="1"/>
  <c r="S351" i="12"/>
  <c r="T351" i="12" s="1"/>
  <c r="H351" i="12"/>
  <c r="BO142" i="12"/>
  <c r="Q142" i="12"/>
  <c r="R142" i="12" s="1"/>
  <c r="O142" i="12"/>
  <c r="P142" i="12" s="1"/>
  <c r="AE142" i="12"/>
  <c r="AF142" i="12" s="1"/>
  <c r="BM142" i="12"/>
  <c r="I144" i="1" s="1"/>
  <c r="M142" i="12"/>
  <c r="N142" i="12" s="1"/>
  <c r="AC142" i="12"/>
  <c r="AD142" i="12" s="1"/>
  <c r="L142" i="12"/>
  <c r="K142" i="12"/>
  <c r="Y142" i="12"/>
  <c r="Z142" i="12" s="1"/>
  <c r="J142" i="12"/>
  <c r="I142" i="12"/>
  <c r="F142" i="12"/>
  <c r="AA142" i="12"/>
  <c r="AB142" i="12" s="1"/>
  <c r="W142" i="12"/>
  <c r="X142" i="12" s="1"/>
  <c r="U142" i="12"/>
  <c r="V142" i="12" s="1"/>
  <c r="S142" i="12"/>
  <c r="T142" i="12" s="1"/>
  <c r="H142" i="12"/>
  <c r="S221" i="12"/>
  <c r="T221" i="12" s="1"/>
  <c r="Q221" i="12"/>
  <c r="R221" i="12" s="1"/>
  <c r="BO221" i="12"/>
  <c r="O221" i="12"/>
  <c r="P221" i="12" s="1"/>
  <c r="AE221" i="12"/>
  <c r="AF221" i="12" s="1"/>
  <c r="BM221" i="12"/>
  <c r="I223" i="1" s="1"/>
  <c r="M221" i="12"/>
  <c r="N221" i="12" s="1"/>
  <c r="AC221" i="12"/>
  <c r="AD221" i="12" s="1"/>
  <c r="L221" i="12"/>
  <c r="K221" i="12"/>
  <c r="AA221" i="12"/>
  <c r="AB221" i="12" s="1"/>
  <c r="J221" i="12"/>
  <c r="I221" i="12"/>
  <c r="Y221" i="12"/>
  <c r="Z221" i="12" s="1"/>
  <c r="W221" i="12"/>
  <c r="X221" i="12" s="1"/>
  <c r="U221" i="12"/>
  <c r="V221" i="12" s="1"/>
  <c r="F221" i="12"/>
  <c r="W56" i="12"/>
  <c r="X56" i="12" s="1"/>
  <c r="BM56" i="12"/>
  <c r="I58" i="1" s="1"/>
  <c r="M56" i="12"/>
  <c r="N56" i="12" s="1"/>
  <c r="AC56" i="12"/>
  <c r="AD56" i="12" s="1"/>
  <c r="L56" i="12"/>
  <c r="K56" i="12"/>
  <c r="AA56" i="12"/>
  <c r="AB56" i="12" s="1"/>
  <c r="J56" i="12"/>
  <c r="I56" i="12"/>
  <c r="Y56" i="12"/>
  <c r="Z56" i="12" s="1"/>
  <c r="H56" i="12"/>
  <c r="S56" i="12"/>
  <c r="T56" i="12" s="1"/>
  <c r="AE56" i="12"/>
  <c r="AF56" i="12" s="1"/>
  <c r="U56" i="12"/>
  <c r="V56" i="12" s="1"/>
  <c r="O56" i="12"/>
  <c r="P56" i="12" s="1"/>
  <c r="BO56" i="12"/>
  <c r="Q56" i="12"/>
  <c r="R56" i="12" s="1"/>
  <c r="F56" i="12"/>
  <c r="BP215" i="12"/>
  <c r="AG215" i="12"/>
  <c r="BN215" i="12"/>
  <c r="AL48" i="12"/>
  <c r="J27" i="1"/>
  <c r="G27" i="1"/>
  <c r="AC177" i="12"/>
  <c r="AD177" i="12" s="1"/>
  <c r="M177" i="12"/>
  <c r="N177" i="12" s="1"/>
  <c r="L177" i="12"/>
  <c r="AA177" i="12"/>
  <c r="AB177" i="12" s="1"/>
  <c r="K177" i="12"/>
  <c r="J177" i="12"/>
  <c r="Y177" i="12"/>
  <c r="Z177" i="12" s="1"/>
  <c r="I177" i="12"/>
  <c r="W177" i="12"/>
  <c r="X177" i="12" s="1"/>
  <c r="S177" i="12"/>
  <c r="T177" i="12" s="1"/>
  <c r="AE177" i="12"/>
  <c r="AF177" i="12" s="1"/>
  <c r="BM177" i="12"/>
  <c r="U177" i="12"/>
  <c r="V177" i="12" s="1"/>
  <c r="Q177" i="12"/>
  <c r="R177" i="12" s="1"/>
  <c r="H177" i="12"/>
  <c r="BO177" i="12"/>
  <c r="O177" i="12"/>
  <c r="P177" i="12" s="1"/>
  <c r="F177" i="12"/>
  <c r="BQ243" i="12"/>
  <c r="AH243" i="12"/>
  <c r="BP254" i="12"/>
  <c r="BN254" i="12"/>
  <c r="AG254" i="12"/>
  <c r="AA12" i="12"/>
  <c r="AB12" i="12" s="1"/>
  <c r="K12" i="12"/>
  <c r="Q12" i="12"/>
  <c r="R12" i="12" s="1"/>
  <c r="BO12" i="12"/>
  <c r="O12" i="12"/>
  <c r="P12" i="12" s="1"/>
  <c r="AE12" i="12"/>
  <c r="AF12" i="12" s="1"/>
  <c r="BM12" i="12"/>
  <c r="I14" i="1" s="1"/>
  <c r="M12" i="12"/>
  <c r="N12" i="12" s="1"/>
  <c r="AC12" i="12"/>
  <c r="AD12" i="12" s="1"/>
  <c r="L12" i="12"/>
  <c r="J12" i="12"/>
  <c r="Y12" i="12"/>
  <c r="Z12" i="12" s="1"/>
  <c r="H12" i="12"/>
  <c r="S12" i="12"/>
  <c r="T12" i="12" s="1"/>
  <c r="I12" i="12"/>
  <c r="W12" i="12"/>
  <c r="X12" i="12" s="1"/>
  <c r="U12" i="12"/>
  <c r="V12" i="12" s="1"/>
  <c r="F12" i="12"/>
  <c r="G201" i="1"/>
  <c r="J201" i="1"/>
  <c r="BE138" i="12"/>
  <c r="BQ138" i="12"/>
  <c r="AH138" i="12"/>
  <c r="BN251" i="12"/>
  <c r="BP251" i="12"/>
  <c r="AG251" i="12"/>
  <c r="BC173" i="12"/>
  <c r="BN259" i="12"/>
  <c r="AG259" i="12"/>
  <c r="BP259" i="12"/>
  <c r="AW62" i="12"/>
  <c r="AL153" i="12"/>
  <c r="BR205" i="12"/>
  <c r="AI205" i="12"/>
  <c r="AH96" i="12"/>
  <c r="BQ96" i="12"/>
  <c r="BQ352" i="12"/>
  <c r="BE352" i="12"/>
  <c r="AH352" i="12"/>
  <c r="BE202" i="12"/>
  <c r="AH202" i="12"/>
  <c r="BQ202" i="12"/>
  <c r="BG102" i="12"/>
  <c r="AW54" i="12"/>
  <c r="BM186" i="12"/>
  <c r="AE186" i="12"/>
  <c r="AF186" i="12" s="1"/>
  <c r="O186" i="12"/>
  <c r="P186" i="12" s="1"/>
  <c r="AC186" i="12"/>
  <c r="AD186" i="12" s="1"/>
  <c r="M186" i="12"/>
  <c r="N186" i="12" s="1"/>
  <c r="L186" i="12"/>
  <c r="AA186" i="12"/>
  <c r="AB186" i="12" s="1"/>
  <c r="K186" i="12"/>
  <c r="J186" i="12"/>
  <c r="Y186" i="12"/>
  <c r="Z186" i="12" s="1"/>
  <c r="I186" i="12"/>
  <c r="W186" i="12"/>
  <c r="X186" i="12" s="1"/>
  <c r="U186" i="12"/>
  <c r="V186" i="12" s="1"/>
  <c r="BO186" i="12"/>
  <c r="S186" i="12"/>
  <c r="T186" i="12" s="1"/>
  <c r="Q186" i="12"/>
  <c r="R186" i="12" s="1"/>
  <c r="H186" i="12"/>
  <c r="F186" i="12"/>
  <c r="AY225" i="12"/>
  <c r="H131" i="12"/>
  <c r="BI2" i="12"/>
  <c r="BA75" i="12"/>
  <c r="BG182" i="12"/>
  <c r="AC198" i="12"/>
  <c r="AD198" i="12" s="1"/>
  <c r="M198" i="12"/>
  <c r="N198" i="12" s="1"/>
  <c r="L198" i="12"/>
  <c r="Y198" i="12"/>
  <c r="Z198" i="12" s="1"/>
  <c r="W198" i="12"/>
  <c r="X198" i="12" s="1"/>
  <c r="U198" i="12"/>
  <c r="V198" i="12" s="1"/>
  <c r="S198" i="12"/>
  <c r="T198" i="12" s="1"/>
  <c r="O198" i="12"/>
  <c r="P198" i="12" s="1"/>
  <c r="J198" i="12"/>
  <c r="I198" i="12"/>
  <c r="H198" i="12"/>
  <c r="AE198" i="12"/>
  <c r="AF198" i="12" s="1"/>
  <c r="K198" i="12"/>
  <c r="BO198" i="12"/>
  <c r="AA198" i="12"/>
  <c r="AB198" i="12" s="1"/>
  <c r="Q198" i="12"/>
  <c r="R198" i="12" s="1"/>
  <c r="F198" i="12"/>
  <c r="BA110" i="12"/>
  <c r="BE145" i="12"/>
  <c r="BG148" i="12"/>
  <c r="BM352" i="12"/>
  <c r="AC352" i="12"/>
  <c r="AD352" i="12" s="1"/>
  <c r="M352" i="12"/>
  <c r="N352" i="12" s="1"/>
  <c r="J352" i="12"/>
  <c r="Y352" i="12"/>
  <c r="Z352" i="12" s="1"/>
  <c r="I352" i="12"/>
  <c r="H352" i="12"/>
  <c r="W352" i="12"/>
  <c r="X352" i="12" s="1"/>
  <c r="AE352" i="12"/>
  <c r="AF352" i="12" s="1"/>
  <c r="AA352" i="12"/>
  <c r="AB352" i="12" s="1"/>
  <c r="U352" i="12"/>
  <c r="V352" i="12" s="1"/>
  <c r="S352" i="12"/>
  <c r="T352" i="12" s="1"/>
  <c r="BO352" i="12"/>
  <c r="Q352" i="12"/>
  <c r="R352" i="12" s="1"/>
  <c r="K352" i="12"/>
  <c r="O352" i="12"/>
  <c r="P352" i="12" s="1"/>
  <c r="L352" i="12"/>
  <c r="F352" i="12"/>
  <c r="U171" i="12"/>
  <c r="V171" i="12" s="1"/>
  <c r="Q171" i="12"/>
  <c r="R171" i="12" s="1"/>
  <c r="O171" i="12"/>
  <c r="P171" i="12" s="1"/>
  <c r="AE171" i="12"/>
  <c r="AF171" i="12" s="1"/>
  <c r="BO171" i="12"/>
  <c r="M171" i="12"/>
  <c r="N171" i="12" s="1"/>
  <c r="AC171" i="12"/>
  <c r="AD171" i="12" s="1"/>
  <c r="L171" i="12"/>
  <c r="K171" i="12"/>
  <c r="AA171" i="12"/>
  <c r="AB171" i="12" s="1"/>
  <c r="J171" i="12"/>
  <c r="Y171" i="12"/>
  <c r="Z171" i="12" s="1"/>
  <c r="H171" i="12"/>
  <c r="W171" i="12"/>
  <c r="X171" i="12" s="1"/>
  <c r="I171" i="12"/>
  <c r="F171" i="12"/>
  <c r="S171" i="12"/>
  <c r="T171" i="12" s="1"/>
  <c r="AL179" i="12"/>
  <c r="BK100" i="12"/>
  <c r="S20" i="12"/>
  <c r="T20" i="12" s="1"/>
  <c r="I20" i="12"/>
  <c r="Y20" i="12"/>
  <c r="Z20" i="12" s="1"/>
  <c r="W20" i="12"/>
  <c r="X20" i="12" s="1"/>
  <c r="U20" i="12"/>
  <c r="V20" i="12" s="1"/>
  <c r="O20" i="12"/>
  <c r="P20" i="12" s="1"/>
  <c r="BO20" i="12"/>
  <c r="AE20" i="12"/>
  <c r="AF20" i="12" s="1"/>
  <c r="M20" i="12"/>
  <c r="N20" i="12" s="1"/>
  <c r="AC20" i="12"/>
  <c r="AD20" i="12" s="1"/>
  <c r="L20" i="12"/>
  <c r="AA20" i="12"/>
  <c r="AB20" i="12" s="1"/>
  <c r="Q20" i="12"/>
  <c r="R20" i="12" s="1"/>
  <c r="K20" i="12"/>
  <c r="J20" i="12"/>
  <c r="F20" i="12"/>
  <c r="H20" i="12"/>
  <c r="AY22" i="12"/>
  <c r="AW140" i="12"/>
  <c r="AY175" i="12"/>
  <c r="AW20" i="12"/>
  <c r="BC208" i="12"/>
  <c r="AL169" i="12"/>
  <c r="BE185" i="12"/>
  <c r="AW148" i="12"/>
  <c r="BA17" i="12"/>
  <c r="J108" i="1"/>
  <c r="G108" i="1"/>
  <c r="J12" i="1"/>
  <c r="G12" i="1"/>
  <c r="BE177" i="12"/>
  <c r="AW49" i="12"/>
  <c r="BC99" i="12"/>
  <c r="BA42" i="12"/>
  <c r="BA22" i="12"/>
  <c r="BC12" i="12"/>
  <c r="BK10" i="12"/>
  <c r="BC222" i="12"/>
  <c r="AL65" i="12"/>
  <c r="AA121" i="12"/>
  <c r="AB121" i="12" s="1"/>
  <c r="K121" i="12"/>
  <c r="F121" i="12"/>
  <c r="Y121" i="12"/>
  <c r="Z121" i="12" s="1"/>
  <c r="BO121" i="12"/>
  <c r="W121" i="12"/>
  <c r="X121" i="12" s="1"/>
  <c r="U121" i="12"/>
  <c r="V121" i="12" s="1"/>
  <c r="BM121" i="12"/>
  <c r="I123" i="1" s="1"/>
  <c r="S121" i="12"/>
  <c r="T121" i="12" s="1"/>
  <c r="M121" i="12"/>
  <c r="N121" i="12" s="1"/>
  <c r="L121" i="12"/>
  <c r="O121" i="12"/>
  <c r="P121" i="12" s="1"/>
  <c r="J121" i="12"/>
  <c r="I121" i="12"/>
  <c r="AE121" i="12"/>
  <c r="AF121" i="12" s="1"/>
  <c r="AC121" i="12"/>
  <c r="AD121" i="12" s="1"/>
  <c r="Q121" i="12"/>
  <c r="R121" i="12" s="1"/>
  <c r="H121" i="12"/>
  <c r="AW72" i="12"/>
  <c r="BA48" i="12"/>
  <c r="BG54" i="12"/>
  <c r="AW155" i="12"/>
  <c r="AS357" i="12"/>
  <c r="BK75" i="12"/>
  <c r="BK182" i="12"/>
  <c r="BC158" i="12"/>
  <c r="BR238" i="12"/>
  <c r="AI238" i="12"/>
  <c r="BP151" i="12"/>
  <c r="AG151" i="12"/>
  <c r="BN151" i="12"/>
  <c r="BP346" i="12"/>
  <c r="BN346" i="12"/>
  <c r="AG346" i="12"/>
  <c r="AL72" i="12"/>
  <c r="BA122" i="12"/>
  <c r="BP205" i="12"/>
  <c r="AG205" i="12"/>
  <c r="BN205" i="12"/>
  <c r="BP170" i="12"/>
  <c r="AG170" i="12"/>
  <c r="BN170" i="12"/>
  <c r="BP109" i="12"/>
  <c r="BN109" i="12"/>
  <c r="AW109" i="12"/>
  <c r="AG109" i="12"/>
  <c r="AI338" i="12"/>
  <c r="BR338" i="12"/>
  <c r="BR183" i="12"/>
  <c r="AI183" i="12"/>
  <c r="BA189" i="12"/>
  <c r="BG48" i="12"/>
  <c r="AA225" i="12"/>
  <c r="AB225" i="12" s="1"/>
  <c r="K225" i="12"/>
  <c r="BO225" i="12"/>
  <c r="O225" i="12"/>
  <c r="P225" i="12" s="1"/>
  <c r="AE225" i="12"/>
  <c r="AF225" i="12" s="1"/>
  <c r="M225" i="12"/>
  <c r="N225" i="12" s="1"/>
  <c r="AC225" i="12"/>
  <c r="AD225" i="12" s="1"/>
  <c r="L225" i="12"/>
  <c r="I225" i="12"/>
  <c r="Y225" i="12"/>
  <c r="Z225" i="12" s="1"/>
  <c r="U225" i="12"/>
  <c r="V225" i="12" s="1"/>
  <c r="W225" i="12"/>
  <c r="X225" i="12" s="1"/>
  <c r="S225" i="12"/>
  <c r="T225" i="12" s="1"/>
  <c r="Q225" i="12"/>
  <c r="R225" i="12" s="1"/>
  <c r="J225" i="12"/>
  <c r="F225" i="12"/>
  <c r="H225" i="12"/>
  <c r="BC118" i="12"/>
  <c r="J100" i="1"/>
  <c r="G100" i="1"/>
  <c r="BD357" i="12"/>
  <c r="C22" i="7" s="1"/>
  <c r="BH357" i="12"/>
  <c r="AY219" i="12"/>
  <c r="AW75" i="12"/>
  <c r="AW61" i="12"/>
  <c r="BK2" i="12"/>
  <c r="K92" i="12"/>
  <c r="AA92" i="12"/>
  <c r="AB92" i="12" s="1"/>
  <c r="J92" i="12"/>
  <c r="I92" i="12"/>
  <c r="Y92" i="12"/>
  <c r="Z92" i="12" s="1"/>
  <c r="W92" i="12"/>
  <c r="X92" i="12" s="1"/>
  <c r="Q92" i="12"/>
  <c r="R92" i="12" s="1"/>
  <c r="AE92" i="12"/>
  <c r="AF92" i="12" s="1"/>
  <c r="AC92" i="12"/>
  <c r="AD92" i="12" s="1"/>
  <c r="BO92" i="12"/>
  <c r="U92" i="12"/>
  <c r="V92" i="12" s="1"/>
  <c r="BM92" i="12"/>
  <c r="O92" i="12"/>
  <c r="P92" i="12" s="1"/>
  <c r="M92" i="12"/>
  <c r="N92" i="12" s="1"/>
  <c r="L92" i="12"/>
  <c r="S92" i="12"/>
  <c r="T92" i="12" s="1"/>
  <c r="H92" i="12"/>
  <c r="F92" i="12"/>
  <c r="BE142" i="12"/>
  <c r="J84" i="1"/>
  <c r="G84" i="1"/>
  <c r="BG100" i="12"/>
  <c r="BK12" i="12"/>
  <c r="AW113" i="12"/>
  <c r="G42" i="1"/>
  <c r="J42" i="1"/>
  <c r="BE175" i="12"/>
  <c r="BI185" i="12"/>
  <c r="AK357" i="12"/>
  <c r="C31" i="7" s="1"/>
  <c r="AL2" i="12"/>
  <c r="BI12" i="12"/>
  <c r="S106" i="12"/>
  <c r="T106" i="12" s="1"/>
  <c r="BO106" i="12"/>
  <c r="Q106" i="12"/>
  <c r="R106" i="12" s="1"/>
  <c r="AE106" i="12"/>
  <c r="AF106" i="12" s="1"/>
  <c r="O106" i="12"/>
  <c r="P106" i="12" s="1"/>
  <c r="AA106" i="12"/>
  <c r="AB106" i="12" s="1"/>
  <c r="K106" i="12"/>
  <c r="U106" i="12"/>
  <c r="V106" i="12" s="1"/>
  <c r="M106" i="12"/>
  <c r="N106" i="12" s="1"/>
  <c r="L106" i="12"/>
  <c r="J106" i="12"/>
  <c r="I106" i="12"/>
  <c r="AC106" i="12"/>
  <c r="AD106" i="12" s="1"/>
  <c r="Y106" i="12"/>
  <c r="Z106" i="12" s="1"/>
  <c r="W106" i="12"/>
  <c r="X106" i="12" s="1"/>
  <c r="F106" i="12"/>
  <c r="BK102" i="12"/>
  <c r="U10" i="12"/>
  <c r="V10" i="12" s="1"/>
  <c r="S10" i="12"/>
  <c r="T10" i="12" s="1"/>
  <c r="Q10" i="12"/>
  <c r="R10" i="12" s="1"/>
  <c r="BO10" i="12"/>
  <c r="O10" i="12"/>
  <c r="P10" i="12" s="1"/>
  <c r="AE10" i="12"/>
  <c r="AF10" i="12" s="1"/>
  <c r="BM10" i="12"/>
  <c r="I12" i="1" s="1"/>
  <c r="M10" i="12"/>
  <c r="N10" i="12" s="1"/>
  <c r="AC10" i="12"/>
  <c r="AD10" i="12" s="1"/>
  <c r="L10" i="12"/>
  <c r="AA10" i="12"/>
  <c r="AB10" i="12" s="1"/>
  <c r="J10" i="12"/>
  <c r="I10" i="12"/>
  <c r="Y10" i="12"/>
  <c r="Z10" i="12" s="1"/>
  <c r="W10" i="12"/>
  <c r="X10" i="12" s="1"/>
  <c r="K10" i="12"/>
  <c r="H10" i="12"/>
  <c r="F10" i="12"/>
  <c r="BG49" i="12"/>
  <c r="BK130" i="12"/>
  <c r="BA20" i="12"/>
  <c r="AL56" i="12"/>
  <c r="BA76" i="12"/>
  <c r="BK108" i="12"/>
  <c r="BG225" i="12"/>
  <c r="BE143" i="12"/>
  <c r="J204" i="1"/>
  <c r="G204" i="1"/>
  <c r="BC108" i="12"/>
  <c r="W115" i="12"/>
  <c r="X115" i="12" s="1"/>
  <c r="U115" i="12"/>
  <c r="V115" i="12" s="1"/>
  <c r="S115" i="12"/>
  <c r="T115" i="12" s="1"/>
  <c r="BO115" i="12"/>
  <c r="Q115" i="12"/>
  <c r="R115" i="12" s="1"/>
  <c r="AC115" i="12"/>
  <c r="AD115" i="12" s="1"/>
  <c r="M115" i="12"/>
  <c r="N115" i="12" s="1"/>
  <c r="L115" i="12"/>
  <c r="O115" i="12"/>
  <c r="P115" i="12" s="1"/>
  <c r="K115" i="12"/>
  <c r="J115" i="12"/>
  <c r="I115" i="12"/>
  <c r="BM115" i="12"/>
  <c r="I117" i="1" s="1"/>
  <c r="AE115" i="12"/>
  <c r="AF115" i="12" s="1"/>
  <c r="Y115" i="12"/>
  <c r="Z115" i="12" s="1"/>
  <c r="AA115" i="12"/>
  <c r="AB115" i="12" s="1"/>
  <c r="H115" i="12"/>
  <c r="F115" i="12"/>
  <c r="BA158" i="12"/>
  <c r="BK155" i="12"/>
  <c r="AY177" i="12"/>
  <c r="BI45" i="12"/>
  <c r="BA14" i="12"/>
  <c r="BE122" i="12"/>
  <c r="AH122" i="12"/>
  <c r="BQ122" i="12"/>
  <c r="AI227" i="12"/>
  <c r="BR227" i="12"/>
  <c r="Q70" i="12"/>
  <c r="R70" i="12" s="1"/>
  <c r="O70" i="12"/>
  <c r="P70" i="12" s="1"/>
  <c r="BO70" i="12"/>
  <c r="AE70" i="12"/>
  <c r="AF70" i="12" s="1"/>
  <c r="BM70" i="12"/>
  <c r="I72" i="1" s="1"/>
  <c r="M70" i="12"/>
  <c r="N70" i="12" s="1"/>
  <c r="AC70" i="12"/>
  <c r="AD70" i="12" s="1"/>
  <c r="L70" i="12"/>
  <c r="K70" i="12"/>
  <c r="AA70" i="12"/>
  <c r="AB70" i="12" s="1"/>
  <c r="J70" i="12"/>
  <c r="I70" i="12"/>
  <c r="W70" i="12"/>
  <c r="X70" i="12" s="1"/>
  <c r="U70" i="12"/>
  <c r="V70" i="12" s="1"/>
  <c r="S70" i="12"/>
  <c r="T70" i="12" s="1"/>
  <c r="Y70" i="12"/>
  <c r="Z70" i="12" s="1"/>
  <c r="H70" i="12"/>
  <c r="F70" i="12"/>
  <c r="J20" i="1"/>
  <c r="G20" i="1"/>
  <c r="BQ173" i="12"/>
  <c r="AH173" i="12"/>
  <c r="BE173" i="12"/>
  <c r="BQ154" i="12"/>
  <c r="AH154" i="12"/>
  <c r="BR346" i="12"/>
  <c r="AI346" i="12"/>
  <c r="AL122" i="12"/>
  <c r="BN96" i="12"/>
  <c r="AG96" i="12"/>
  <c r="BP96" i="12"/>
  <c r="AW31" i="12"/>
  <c r="W164" i="12"/>
  <c r="X164" i="12" s="1"/>
  <c r="U164" i="12"/>
  <c r="V164" i="12" s="1"/>
  <c r="S164" i="12"/>
  <c r="T164" i="12" s="1"/>
  <c r="Q164" i="12"/>
  <c r="R164" i="12" s="1"/>
  <c r="AE164" i="12"/>
  <c r="AF164" i="12" s="1"/>
  <c r="M164" i="12"/>
  <c r="N164" i="12" s="1"/>
  <c r="BO164" i="12"/>
  <c r="Y164" i="12"/>
  <c r="Z164" i="12" s="1"/>
  <c r="O164" i="12"/>
  <c r="P164" i="12" s="1"/>
  <c r="L164" i="12"/>
  <c r="K164" i="12"/>
  <c r="J164" i="12"/>
  <c r="I164" i="12"/>
  <c r="AC164" i="12"/>
  <c r="AD164" i="12" s="1"/>
  <c r="AA164" i="12"/>
  <c r="AB164" i="12" s="1"/>
  <c r="F164" i="12"/>
  <c r="H164" i="12"/>
  <c r="BE186" i="12"/>
  <c r="AH186" i="12"/>
  <c r="BQ186" i="12"/>
  <c r="BP141" i="12"/>
  <c r="AG141" i="12"/>
  <c r="BN141" i="12"/>
  <c r="BE218" i="12"/>
  <c r="BQ218" i="12"/>
  <c r="AH218" i="12"/>
  <c r="BN338" i="12"/>
  <c r="AG338" i="12"/>
  <c r="BP338" i="12"/>
  <c r="BC189" i="12"/>
  <c r="Q139" i="12"/>
  <c r="R139" i="12" s="1"/>
  <c r="U139" i="12"/>
  <c r="V139" i="12" s="1"/>
  <c r="S139" i="12"/>
  <c r="T139" i="12" s="1"/>
  <c r="O139" i="12"/>
  <c r="P139" i="12" s="1"/>
  <c r="AC139" i="12"/>
  <c r="AD139" i="12" s="1"/>
  <c r="L139" i="12"/>
  <c r="K139" i="12"/>
  <c r="F139" i="12"/>
  <c r="AE139" i="12"/>
  <c r="AF139" i="12" s="1"/>
  <c r="BO139" i="12"/>
  <c r="AA139" i="12"/>
  <c r="AB139" i="12" s="1"/>
  <c r="BM139" i="12"/>
  <c r="I141" i="1" s="1"/>
  <c r="W139" i="12"/>
  <c r="X139" i="12" s="1"/>
  <c r="M139" i="12"/>
  <c r="N139" i="12" s="1"/>
  <c r="Y139" i="12"/>
  <c r="Z139" i="12" s="1"/>
  <c r="J139" i="12"/>
  <c r="I139" i="12"/>
  <c r="H139" i="12"/>
  <c r="BC153" i="12"/>
  <c r="W98" i="12"/>
  <c r="X98" i="12" s="1"/>
  <c r="U98" i="12"/>
  <c r="V98" i="12" s="1"/>
  <c r="S98" i="12"/>
  <c r="T98" i="12" s="1"/>
  <c r="Q98" i="12"/>
  <c r="R98" i="12" s="1"/>
  <c r="BM98" i="12"/>
  <c r="I100" i="1" s="1"/>
  <c r="M98" i="12"/>
  <c r="N98" i="12" s="1"/>
  <c r="AC98" i="12"/>
  <c r="AD98" i="12" s="1"/>
  <c r="L98" i="12"/>
  <c r="K98" i="12"/>
  <c r="AE98" i="12"/>
  <c r="AF98" i="12" s="1"/>
  <c r="AA98" i="12"/>
  <c r="AB98" i="12" s="1"/>
  <c r="BO98" i="12"/>
  <c r="Y98" i="12"/>
  <c r="Z98" i="12" s="1"/>
  <c r="O98" i="12"/>
  <c r="P98" i="12" s="1"/>
  <c r="J98" i="12"/>
  <c r="H98" i="12"/>
  <c r="I98" i="12"/>
  <c r="F98" i="12"/>
  <c r="J26" i="1"/>
  <c r="G26" i="1"/>
  <c r="AE93" i="12"/>
  <c r="AF93" i="12" s="1"/>
  <c r="O93" i="12"/>
  <c r="P93" i="12" s="1"/>
  <c r="AA93" i="12"/>
  <c r="AB93" i="12" s="1"/>
  <c r="J93" i="12"/>
  <c r="I93" i="12"/>
  <c r="Y93" i="12"/>
  <c r="Z93" i="12" s="1"/>
  <c r="H93" i="12"/>
  <c r="W93" i="12"/>
  <c r="X93" i="12" s="1"/>
  <c r="F93" i="12"/>
  <c r="U93" i="12"/>
  <c r="V93" i="12" s="1"/>
  <c r="Q93" i="12"/>
  <c r="R93" i="12" s="1"/>
  <c r="L93" i="12"/>
  <c r="K93" i="12"/>
  <c r="AC93" i="12"/>
  <c r="AD93" i="12" s="1"/>
  <c r="BO93" i="12"/>
  <c r="BM93" i="12"/>
  <c r="I95" i="1" s="1"/>
  <c r="S93" i="12"/>
  <c r="T93" i="12" s="1"/>
  <c r="M93" i="12"/>
  <c r="N93" i="12" s="1"/>
  <c r="AL70" i="12"/>
  <c r="L140" i="12"/>
  <c r="U140" i="12"/>
  <c r="V140" i="12" s="1"/>
  <c r="S140" i="12"/>
  <c r="T140" i="12" s="1"/>
  <c r="Q140" i="12"/>
  <c r="R140" i="12" s="1"/>
  <c r="BO140" i="12"/>
  <c r="O140" i="12"/>
  <c r="P140" i="12" s="1"/>
  <c r="AC140" i="12"/>
  <c r="AD140" i="12" s="1"/>
  <c r="K140" i="12"/>
  <c r="AA140" i="12"/>
  <c r="AB140" i="12" s="1"/>
  <c r="J140" i="12"/>
  <c r="AE140" i="12"/>
  <c r="AF140" i="12" s="1"/>
  <c r="W140" i="12"/>
  <c r="X140" i="12" s="1"/>
  <c r="Y140" i="12"/>
  <c r="Z140" i="12" s="1"/>
  <c r="M140" i="12"/>
  <c r="N140" i="12" s="1"/>
  <c r="I140" i="12"/>
  <c r="H140" i="12"/>
  <c r="BM140" i="12"/>
  <c r="I142" i="1" s="1"/>
  <c r="F140" i="12"/>
  <c r="G87" i="1"/>
  <c r="J87" i="1"/>
  <c r="BJ357" i="12"/>
  <c r="AW14" i="12"/>
  <c r="BA2" i="12"/>
  <c r="Q159" i="12"/>
  <c r="R159" i="12" s="1"/>
  <c r="AC159" i="12"/>
  <c r="AD159" i="12" s="1"/>
  <c r="L159" i="12"/>
  <c r="K159" i="12"/>
  <c r="AA159" i="12"/>
  <c r="AB159" i="12" s="1"/>
  <c r="J159" i="12"/>
  <c r="I159" i="12"/>
  <c r="Y159" i="12"/>
  <c r="Z159" i="12" s="1"/>
  <c r="W159" i="12"/>
  <c r="X159" i="12" s="1"/>
  <c r="S159" i="12"/>
  <c r="T159" i="12" s="1"/>
  <c r="M159" i="12"/>
  <c r="N159" i="12" s="1"/>
  <c r="AE159" i="12"/>
  <c r="AF159" i="12" s="1"/>
  <c r="O159" i="12"/>
  <c r="P159" i="12" s="1"/>
  <c r="BO159" i="12"/>
  <c r="BM159" i="12"/>
  <c r="U159" i="12"/>
  <c r="V159" i="12" s="1"/>
  <c r="H159" i="12"/>
  <c r="F159" i="12"/>
  <c r="AA111" i="12"/>
  <c r="AB111" i="12" s="1"/>
  <c r="K111" i="12"/>
  <c r="J111" i="12"/>
  <c r="Y111" i="12"/>
  <c r="Z111" i="12" s="1"/>
  <c r="I111" i="12"/>
  <c r="H111" i="12"/>
  <c r="W111" i="12"/>
  <c r="X111" i="12" s="1"/>
  <c r="F111" i="12"/>
  <c r="U111" i="12"/>
  <c r="V111" i="12" s="1"/>
  <c r="BO111" i="12"/>
  <c r="Q111" i="12"/>
  <c r="R111" i="12" s="1"/>
  <c r="BM111" i="12"/>
  <c r="I113" i="1" s="1"/>
  <c r="S111" i="12"/>
  <c r="T111" i="12" s="1"/>
  <c r="O111" i="12"/>
  <c r="P111" i="12" s="1"/>
  <c r="M111" i="12"/>
  <c r="N111" i="12" s="1"/>
  <c r="L111" i="12"/>
  <c r="AE111" i="12"/>
  <c r="AF111" i="12" s="1"/>
  <c r="AC111" i="12"/>
  <c r="AD111" i="12" s="1"/>
  <c r="AL159" i="12"/>
  <c r="G168" i="1"/>
  <c r="J168" i="1"/>
  <c r="W40" i="12"/>
  <c r="X40" i="12" s="1"/>
  <c r="H40" i="12"/>
  <c r="Y40" i="12"/>
  <c r="Z40" i="12" s="1"/>
  <c r="U40" i="12"/>
  <c r="V40" i="12" s="1"/>
  <c r="S40" i="12"/>
  <c r="T40" i="12" s="1"/>
  <c r="O40" i="12"/>
  <c r="P40" i="12" s="1"/>
  <c r="AE40" i="12"/>
  <c r="AF40" i="12" s="1"/>
  <c r="M40" i="12"/>
  <c r="N40" i="12" s="1"/>
  <c r="AC40" i="12"/>
  <c r="AD40" i="12" s="1"/>
  <c r="AA40" i="12"/>
  <c r="AB40" i="12" s="1"/>
  <c r="BO40" i="12"/>
  <c r="Q40" i="12"/>
  <c r="R40" i="12" s="1"/>
  <c r="L40" i="12"/>
  <c r="K40" i="12"/>
  <c r="J40" i="12"/>
  <c r="I40" i="12"/>
  <c r="F40" i="12"/>
  <c r="BK17" i="12"/>
  <c r="AJ357" i="12"/>
  <c r="BC22" i="12"/>
  <c r="AW34" i="12"/>
  <c r="BE108" i="12"/>
  <c r="BA10" i="12"/>
  <c r="BI29" i="12"/>
  <c r="BG198" i="12"/>
  <c r="BA93" i="12"/>
  <c r="I29" i="1"/>
  <c r="BE214" i="12"/>
  <c r="AY10" i="12"/>
  <c r="BK222" i="12"/>
  <c r="BI113" i="12"/>
  <c r="AL49" i="12"/>
  <c r="Y202" i="12"/>
  <c r="Z202" i="12" s="1"/>
  <c r="I202" i="12"/>
  <c r="U202" i="12"/>
  <c r="V202" i="12" s="1"/>
  <c r="S202" i="12"/>
  <c r="T202" i="12" s="1"/>
  <c r="Q202" i="12"/>
  <c r="R202" i="12" s="1"/>
  <c r="O202" i="12"/>
  <c r="P202" i="12" s="1"/>
  <c r="AE202" i="12"/>
  <c r="AF202" i="12" s="1"/>
  <c r="M202" i="12"/>
  <c r="N202" i="12" s="1"/>
  <c r="BO202" i="12"/>
  <c r="L202" i="12"/>
  <c r="F202" i="12"/>
  <c r="AA202" i="12"/>
  <c r="AB202" i="12" s="1"/>
  <c r="W202" i="12"/>
  <c r="X202" i="12" s="1"/>
  <c r="K202" i="12"/>
  <c r="J202" i="12"/>
  <c r="AC202" i="12"/>
  <c r="AD202" i="12" s="1"/>
  <c r="H202" i="12"/>
  <c r="BC93" i="12"/>
  <c r="BC92" i="12"/>
  <c r="AY37" i="12"/>
  <c r="AW70" i="12"/>
  <c r="BG29" i="12"/>
  <c r="BK128" i="12"/>
  <c r="AW208" i="12"/>
  <c r="AY45" i="12"/>
  <c r="BG159" i="12"/>
  <c r="J76" i="1"/>
  <c r="G76" i="1"/>
  <c r="J34" i="1"/>
  <c r="G34" i="1"/>
  <c r="D230" i="12"/>
  <c r="D232" i="1"/>
  <c r="BO126" i="12"/>
  <c r="AE126" i="12"/>
  <c r="AF126" i="12" s="1"/>
  <c r="BM126" i="12"/>
  <c r="M126" i="12"/>
  <c r="N126" i="12" s="1"/>
  <c r="AA126" i="12"/>
  <c r="AB126" i="12" s="1"/>
  <c r="J126" i="12"/>
  <c r="L126" i="12"/>
  <c r="K126" i="12"/>
  <c r="I126" i="12"/>
  <c r="H126" i="12"/>
  <c r="AC126" i="12"/>
  <c r="AD126" i="12" s="1"/>
  <c r="F126" i="12"/>
  <c r="W126" i="12"/>
  <c r="X126" i="12" s="1"/>
  <c r="U126" i="12"/>
  <c r="V126" i="12" s="1"/>
  <c r="Y126" i="12"/>
  <c r="Z126" i="12" s="1"/>
  <c r="S126" i="12"/>
  <c r="T126" i="12" s="1"/>
  <c r="Q126" i="12"/>
  <c r="R126" i="12" s="1"/>
  <c r="O126" i="12"/>
  <c r="P126" i="12" s="1"/>
  <c r="L25" i="12"/>
  <c r="Q25" i="12"/>
  <c r="R25" i="12" s="1"/>
  <c r="AE25" i="12"/>
  <c r="AF25" i="12" s="1"/>
  <c r="BM25" i="12"/>
  <c r="I27" i="1" s="1"/>
  <c r="M25" i="12"/>
  <c r="N25" i="12" s="1"/>
  <c r="O25" i="12"/>
  <c r="P25" i="12" s="1"/>
  <c r="K25" i="12"/>
  <c r="J25" i="12"/>
  <c r="I25" i="12"/>
  <c r="AC25" i="12"/>
  <c r="AD25" i="12" s="1"/>
  <c r="AA25" i="12"/>
  <c r="AB25" i="12" s="1"/>
  <c r="Y25" i="12"/>
  <c r="Z25" i="12" s="1"/>
  <c r="W25" i="12"/>
  <c r="X25" i="12" s="1"/>
  <c r="U25" i="12"/>
  <c r="V25" i="12" s="1"/>
  <c r="BO25" i="12"/>
  <c r="S25" i="12"/>
  <c r="T25" i="12" s="1"/>
  <c r="F25" i="12"/>
  <c r="H25" i="12"/>
  <c r="AL221" i="12"/>
  <c r="BA221" i="12"/>
  <c r="BG62" i="12"/>
  <c r="AC18" i="12"/>
  <c r="AD18" i="12" s="1"/>
  <c r="M18" i="12"/>
  <c r="N18" i="12" s="1"/>
  <c r="AA18" i="12"/>
  <c r="AB18" i="12" s="1"/>
  <c r="J18" i="12"/>
  <c r="I18" i="12"/>
  <c r="Y18" i="12"/>
  <c r="Z18" i="12" s="1"/>
  <c r="H18" i="12"/>
  <c r="W18" i="12"/>
  <c r="X18" i="12" s="1"/>
  <c r="U18" i="12"/>
  <c r="V18" i="12" s="1"/>
  <c r="Q18" i="12"/>
  <c r="R18" i="12" s="1"/>
  <c r="BO18" i="12"/>
  <c r="AE18" i="12"/>
  <c r="AF18" i="12" s="1"/>
  <c r="S18" i="12"/>
  <c r="T18" i="12" s="1"/>
  <c r="O18" i="12"/>
  <c r="P18" i="12" s="1"/>
  <c r="L18" i="12"/>
  <c r="K18" i="12"/>
  <c r="BM18" i="12"/>
  <c r="I20" i="1" s="1"/>
  <c r="F18" i="12"/>
  <c r="Q189" i="12"/>
  <c r="R189" i="12" s="1"/>
  <c r="BM189" i="12"/>
  <c r="AE189" i="12"/>
  <c r="AF189" i="12" s="1"/>
  <c r="O189" i="12"/>
  <c r="P189" i="12" s="1"/>
  <c r="AC189" i="12"/>
  <c r="AD189" i="12" s="1"/>
  <c r="M189" i="12"/>
  <c r="N189" i="12" s="1"/>
  <c r="L189" i="12"/>
  <c r="AA189" i="12"/>
  <c r="AB189" i="12" s="1"/>
  <c r="K189" i="12"/>
  <c r="J189" i="12"/>
  <c r="H189" i="12"/>
  <c r="W189" i="12"/>
  <c r="X189" i="12" s="1"/>
  <c r="U189" i="12"/>
  <c r="V189" i="12" s="1"/>
  <c r="BO189" i="12"/>
  <c r="Y189" i="12"/>
  <c r="Z189" i="12" s="1"/>
  <c r="S189" i="12"/>
  <c r="T189" i="12" s="1"/>
  <c r="I189" i="12"/>
  <c r="F189" i="12"/>
  <c r="W196" i="12"/>
  <c r="X196" i="12" s="1"/>
  <c r="S196" i="12"/>
  <c r="T196" i="12" s="1"/>
  <c r="Q196" i="12"/>
  <c r="R196" i="12" s="1"/>
  <c r="O196" i="12"/>
  <c r="P196" i="12" s="1"/>
  <c r="AE196" i="12"/>
  <c r="AF196" i="12" s="1"/>
  <c r="M196" i="12"/>
  <c r="N196" i="12" s="1"/>
  <c r="BO196" i="12"/>
  <c r="L196" i="12"/>
  <c r="BM196" i="12"/>
  <c r="J196" i="12"/>
  <c r="AA196" i="12"/>
  <c r="AB196" i="12" s="1"/>
  <c r="I196" i="12"/>
  <c r="U196" i="12"/>
  <c r="V196" i="12" s="1"/>
  <c r="K196" i="12"/>
  <c r="AC196" i="12"/>
  <c r="AD196" i="12" s="1"/>
  <c r="Y196" i="12"/>
  <c r="Z196" i="12" s="1"/>
  <c r="F196" i="12"/>
  <c r="BQ157" i="12"/>
  <c r="BE157" i="12"/>
  <c r="AH157" i="12"/>
  <c r="BK221" i="12"/>
  <c r="BG173" i="12"/>
  <c r="BP135" i="12"/>
  <c r="AG135" i="12"/>
  <c r="BN135" i="12"/>
  <c r="AL189" i="12"/>
  <c r="BA99" i="12"/>
  <c r="AL75" i="12"/>
  <c r="S148" i="12"/>
  <c r="T148" i="12" s="1"/>
  <c r="O148" i="12"/>
  <c r="P148" i="12" s="1"/>
  <c r="AE148" i="12"/>
  <c r="AF148" i="12" s="1"/>
  <c r="M148" i="12"/>
  <c r="N148" i="12" s="1"/>
  <c r="L148" i="12"/>
  <c r="AC148" i="12"/>
  <c r="AD148" i="12" s="1"/>
  <c r="K148" i="12"/>
  <c r="J148" i="12"/>
  <c r="BO148" i="12"/>
  <c r="AA148" i="12"/>
  <c r="AB148" i="12" s="1"/>
  <c r="I148" i="12"/>
  <c r="W148" i="12"/>
  <c r="X148" i="12" s="1"/>
  <c r="Y148" i="12"/>
  <c r="Z148" i="12" s="1"/>
  <c r="U148" i="12"/>
  <c r="V148" i="12" s="1"/>
  <c r="Q148" i="12"/>
  <c r="R148" i="12" s="1"/>
  <c r="BM148" i="12"/>
  <c r="I150" i="1" s="1"/>
  <c r="F148" i="12"/>
  <c r="H148" i="12"/>
  <c r="U119" i="12"/>
  <c r="V119" i="12" s="1"/>
  <c r="Q119" i="12"/>
  <c r="R119" i="12" s="1"/>
  <c r="O119" i="12"/>
  <c r="P119" i="12" s="1"/>
  <c r="M119" i="12"/>
  <c r="N119" i="12" s="1"/>
  <c r="L119" i="12"/>
  <c r="AE119" i="12"/>
  <c r="AF119" i="12" s="1"/>
  <c r="K119" i="12"/>
  <c r="H119" i="12"/>
  <c r="AA119" i="12"/>
  <c r="AB119" i="12" s="1"/>
  <c r="BO119" i="12"/>
  <c r="F119" i="12"/>
  <c r="I119" i="12"/>
  <c r="AC119" i="12"/>
  <c r="AD119" i="12" s="1"/>
  <c r="Y119" i="12"/>
  <c r="Z119" i="12" s="1"/>
  <c r="S119" i="12"/>
  <c r="T119" i="12" s="1"/>
  <c r="W119" i="12"/>
  <c r="X119" i="12" s="1"/>
  <c r="J119" i="12"/>
  <c r="J197" i="1"/>
  <c r="G197" i="1"/>
  <c r="AY139" i="12"/>
  <c r="AW177" i="12"/>
  <c r="Q24" i="12"/>
  <c r="R24" i="12" s="1"/>
  <c r="S24" i="12"/>
  <c r="T24" i="12" s="1"/>
  <c r="BO24" i="12"/>
  <c r="AE24" i="12"/>
  <c r="AF24" i="12" s="1"/>
  <c r="BM24" i="12"/>
  <c r="I26" i="1" s="1"/>
  <c r="M24" i="12"/>
  <c r="N24" i="12" s="1"/>
  <c r="K24" i="12"/>
  <c r="J24" i="12"/>
  <c r="I24" i="12"/>
  <c r="AC24" i="12"/>
  <c r="AD24" i="12" s="1"/>
  <c r="AA24" i="12"/>
  <c r="AB24" i="12" s="1"/>
  <c r="F24" i="12"/>
  <c r="Y24" i="12"/>
  <c r="Z24" i="12" s="1"/>
  <c r="W24" i="12"/>
  <c r="X24" i="12" s="1"/>
  <c r="U24" i="12"/>
  <c r="V24" i="12" s="1"/>
  <c r="L24" i="12"/>
  <c r="O24" i="12"/>
  <c r="P24" i="12" s="1"/>
  <c r="H24" i="12"/>
  <c r="BG2" i="12"/>
  <c r="AY14" i="12"/>
  <c r="BK214" i="12"/>
  <c r="G60" i="1"/>
  <c r="J60" i="1"/>
  <c r="AL110" i="12"/>
  <c r="AZ357" i="12"/>
  <c r="BI142" i="12"/>
  <c r="AY38" i="12"/>
  <c r="BI101" i="12"/>
  <c r="G80" i="1"/>
  <c r="J80" i="1"/>
  <c r="L124" i="12"/>
  <c r="S124" i="12"/>
  <c r="T124" i="12" s="1"/>
  <c r="Q124" i="12"/>
  <c r="R124" i="12" s="1"/>
  <c r="BM124" i="12"/>
  <c r="I126" i="1" s="1"/>
  <c r="M124" i="12"/>
  <c r="N124" i="12" s="1"/>
  <c r="O124" i="12"/>
  <c r="P124" i="12" s="1"/>
  <c r="K124" i="12"/>
  <c r="J124" i="12"/>
  <c r="I124" i="12"/>
  <c r="AE124" i="12"/>
  <c r="AF124" i="12" s="1"/>
  <c r="Y124" i="12"/>
  <c r="Z124" i="12" s="1"/>
  <c r="AC124" i="12"/>
  <c r="AD124" i="12" s="1"/>
  <c r="AA124" i="12"/>
  <c r="AB124" i="12" s="1"/>
  <c r="W124" i="12"/>
  <c r="X124" i="12" s="1"/>
  <c r="U124" i="12"/>
  <c r="V124" i="12" s="1"/>
  <c r="BO124" i="12"/>
  <c r="F124" i="12"/>
  <c r="H124" i="12"/>
  <c r="BC145" i="12"/>
  <c r="BE139" i="12"/>
  <c r="AY113" i="12"/>
  <c r="AA157" i="12"/>
  <c r="AB157" i="12" s="1"/>
  <c r="K157" i="12"/>
  <c r="BO157" i="12"/>
  <c r="O157" i="12"/>
  <c r="P157" i="12" s="1"/>
  <c r="AE157" i="12"/>
  <c r="AF157" i="12" s="1"/>
  <c r="M157" i="12"/>
  <c r="N157" i="12" s="1"/>
  <c r="AC157" i="12"/>
  <c r="AD157" i="12" s="1"/>
  <c r="L157" i="12"/>
  <c r="J157" i="12"/>
  <c r="I157" i="12"/>
  <c r="Y157" i="12"/>
  <c r="Z157" i="12" s="1"/>
  <c r="U157" i="12"/>
  <c r="V157" i="12" s="1"/>
  <c r="W157" i="12"/>
  <c r="X157" i="12" s="1"/>
  <c r="S157" i="12"/>
  <c r="T157" i="12" s="1"/>
  <c r="Q157" i="12"/>
  <c r="R157" i="12" s="1"/>
  <c r="F157" i="12"/>
  <c r="H157" i="12"/>
  <c r="BA214" i="12"/>
  <c r="BI100" i="12"/>
  <c r="G38" i="1"/>
  <c r="J38" i="1"/>
  <c r="AY62" i="12"/>
  <c r="U95" i="12"/>
  <c r="V95" i="12" s="1"/>
  <c r="Y95" i="12"/>
  <c r="Z95" i="12" s="1"/>
  <c r="W95" i="12"/>
  <c r="X95" i="12" s="1"/>
  <c r="F95" i="12"/>
  <c r="S95" i="12"/>
  <c r="T95" i="12" s="1"/>
  <c r="BO95" i="12"/>
  <c r="O95" i="12"/>
  <c r="P95" i="12" s="1"/>
  <c r="AE95" i="12"/>
  <c r="AF95" i="12" s="1"/>
  <c r="BM95" i="12"/>
  <c r="I97" i="1" s="1"/>
  <c r="M95" i="12"/>
  <c r="N95" i="12" s="1"/>
  <c r="AC95" i="12"/>
  <c r="AD95" i="12" s="1"/>
  <c r="AA95" i="12"/>
  <c r="AB95" i="12" s="1"/>
  <c r="Q95" i="12"/>
  <c r="R95" i="12" s="1"/>
  <c r="L95" i="12"/>
  <c r="K95" i="12"/>
  <c r="J95" i="12"/>
  <c r="I95" i="12"/>
  <c r="H95" i="12"/>
  <c r="BG56" i="12"/>
  <c r="BG76" i="12"/>
  <c r="BG179" i="12"/>
  <c r="BI8" i="12"/>
  <c r="BG124" i="12"/>
  <c r="BI37" i="12"/>
  <c r="BK203" i="12"/>
  <c r="BC56" i="12"/>
  <c r="H130" i="12"/>
  <c r="BC163" i="12"/>
  <c r="BG37" i="12"/>
  <c r="BE130" i="12"/>
  <c r="H122" i="12"/>
  <c r="BI222" i="12"/>
  <c r="AA137" i="12"/>
  <c r="AB137" i="12" s="1"/>
  <c r="K137" i="12"/>
  <c r="W137" i="12"/>
  <c r="X137" i="12" s="1"/>
  <c r="F137" i="12"/>
  <c r="U137" i="12"/>
  <c r="V137" i="12" s="1"/>
  <c r="S137" i="12"/>
  <c r="T137" i="12" s="1"/>
  <c r="BO137" i="12"/>
  <c r="O137" i="12"/>
  <c r="P137" i="12" s="1"/>
  <c r="AE137" i="12"/>
  <c r="AF137" i="12" s="1"/>
  <c r="AC137" i="12"/>
  <c r="AD137" i="12" s="1"/>
  <c r="BM137" i="12"/>
  <c r="I139" i="1" s="1"/>
  <c r="Q137" i="12"/>
  <c r="R137" i="12" s="1"/>
  <c r="M137" i="12"/>
  <c r="N137" i="12" s="1"/>
  <c r="Y137" i="12"/>
  <c r="Z137" i="12" s="1"/>
  <c r="L137" i="12"/>
  <c r="J137" i="12"/>
  <c r="I137" i="12"/>
  <c r="H137" i="12"/>
  <c r="BC177" i="12"/>
  <c r="BG144" i="12"/>
  <c r="BE75" i="12"/>
  <c r="AW124" i="12"/>
  <c r="BG219" i="12"/>
  <c r="AL217" i="12"/>
  <c r="BG79" i="12"/>
  <c r="BK41" i="12"/>
  <c r="BG207" i="12"/>
  <c r="BG175" i="12"/>
  <c r="Y32" i="12"/>
  <c r="Z32" i="12" s="1"/>
  <c r="I32" i="12"/>
  <c r="K32" i="12"/>
  <c r="AA32" i="12"/>
  <c r="AB32" i="12" s="1"/>
  <c r="J32" i="12"/>
  <c r="W32" i="12"/>
  <c r="X32" i="12" s="1"/>
  <c r="F32" i="12"/>
  <c r="U32" i="12"/>
  <c r="V32" i="12" s="1"/>
  <c r="Q32" i="12"/>
  <c r="R32" i="12" s="1"/>
  <c r="O32" i="12"/>
  <c r="P32" i="12" s="1"/>
  <c r="M32" i="12"/>
  <c r="N32" i="12" s="1"/>
  <c r="L32" i="12"/>
  <c r="AE32" i="12"/>
  <c r="AF32" i="12" s="1"/>
  <c r="AC32" i="12"/>
  <c r="AD32" i="12" s="1"/>
  <c r="BO32" i="12"/>
  <c r="S32" i="12"/>
  <c r="T32" i="12" s="1"/>
  <c r="H32" i="12"/>
  <c r="I53" i="12" l="1"/>
  <c r="AE60" i="12"/>
  <c r="AF60" i="12" s="1"/>
  <c r="BA60" i="12"/>
  <c r="O60" i="12"/>
  <c r="P60" i="12" s="1"/>
  <c r="H60" i="12"/>
  <c r="BE60" i="12"/>
  <c r="U60" i="12"/>
  <c r="V60" i="12" s="1"/>
  <c r="K60" i="12"/>
  <c r="J113" i="1"/>
  <c r="BG135" i="12"/>
  <c r="L60" i="12"/>
  <c r="M60" i="12"/>
  <c r="N60" i="12" s="1"/>
  <c r="G51" i="1"/>
  <c r="H135" i="12"/>
  <c r="AA60" i="12"/>
  <c r="AB60" i="12" s="1"/>
  <c r="J60" i="12"/>
  <c r="AC60" i="12"/>
  <c r="AD60" i="12" s="1"/>
  <c r="Q60" i="12"/>
  <c r="R60" i="12" s="1"/>
  <c r="BG60" i="12"/>
  <c r="BM120" i="12"/>
  <c r="I122" i="1" s="1"/>
  <c r="BA120" i="12"/>
  <c r="S120" i="12"/>
  <c r="T120" i="12" s="1"/>
  <c r="BI120" i="12"/>
  <c r="BK135" i="12"/>
  <c r="AC120" i="12"/>
  <c r="AD120" i="12" s="1"/>
  <c r="BI135" i="12"/>
  <c r="H120" i="12"/>
  <c r="L120" i="12"/>
  <c r="G50" i="1"/>
  <c r="W135" i="12"/>
  <c r="X135" i="12" s="1"/>
  <c r="BM135" i="12"/>
  <c r="I137" i="1" s="1"/>
  <c r="AC135" i="12"/>
  <c r="AD135" i="12" s="1"/>
  <c r="AE135" i="12"/>
  <c r="AF135" i="12" s="1"/>
  <c r="O135" i="12"/>
  <c r="P135" i="12" s="1"/>
  <c r="BO135" i="12"/>
  <c r="F135" i="12"/>
  <c r="BE120" i="12"/>
  <c r="Y120" i="12"/>
  <c r="Z120" i="12" s="1"/>
  <c r="W120" i="12"/>
  <c r="X120" i="12" s="1"/>
  <c r="Y135" i="12"/>
  <c r="Z135" i="12" s="1"/>
  <c r="I135" i="12"/>
  <c r="U135" i="12"/>
  <c r="V135" i="12" s="1"/>
  <c r="AW135" i="12"/>
  <c r="BC120" i="12"/>
  <c r="BO120" i="12"/>
  <c r="J120" i="12"/>
  <c r="Q120" i="12"/>
  <c r="R120" i="12" s="1"/>
  <c r="F120" i="12"/>
  <c r="AW120" i="12"/>
  <c r="AA120" i="12"/>
  <c r="AB120" i="12" s="1"/>
  <c r="O120" i="12"/>
  <c r="P120" i="12" s="1"/>
  <c r="BG120" i="12"/>
  <c r="BK120" i="12"/>
  <c r="I120" i="12"/>
  <c r="U120" i="12"/>
  <c r="V120" i="12" s="1"/>
  <c r="K120" i="12"/>
  <c r="AL120" i="12"/>
  <c r="M120" i="12"/>
  <c r="N120" i="12" s="1"/>
  <c r="AY120" i="12"/>
  <c r="L135" i="12"/>
  <c r="AL46" i="12"/>
  <c r="S135" i="12"/>
  <c r="T135" i="12" s="1"/>
  <c r="J135" i="12"/>
  <c r="K135" i="12"/>
  <c r="AA135" i="12"/>
  <c r="AB135" i="12" s="1"/>
  <c r="K46" i="12"/>
  <c r="M135" i="12"/>
  <c r="N135" i="12" s="1"/>
  <c r="Q135" i="12"/>
  <c r="R135" i="12" s="1"/>
  <c r="BA135" i="12"/>
  <c r="F46" i="12"/>
  <c r="BG46" i="12"/>
  <c r="BA46" i="12"/>
  <c r="M46" i="12"/>
  <c r="N46" i="12" s="1"/>
  <c r="W46" i="12"/>
  <c r="X46" i="12" s="1"/>
  <c r="L46" i="12"/>
  <c r="Q46" i="12"/>
  <c r="R46" i="12" s="1"/>
  <c r="BM46" i="12"/>
  <c r="I48" i="1" s="1"/>
  <c r="AA46" i="12"/>
  <c r="AB46" i="12" s="1"/>
  <c r="BO46" i="12"/>
  <c r="BI46" i="12"/>
  <c r="BE46" i="12"/>
  <c r="I46" i="12"/>
  <c r="Y46" i="12"/>
  <c r="Z46" i="12" s="1"/>
  <c r="AL135" i="12"/>
  <c r="BK46" i="12"/>
  <c r="AY46" i="12"/>
  <c r="BC135" i="12"/>
  <c r="H46" i="12"/>
  <c r="AC46" i="12"/>
  <c r="AD46" i="12" s="1"/>
  <c r="AE46" i="12"/>
  <c r="AF46" i="12" s="1"/>
  <c r="J46" i="12"/>
  <c r="AY135" i="12"/>
  <c r="AW46" i="12"/>
  <c r="S46" i="12"/>
  <c r="T46" i="12" s="1"/>
  <c r="BC46" i="12"/>
  <c r="O46" i="12"/>
  <c r="P46" i="12" s="1"/>
  <c r="AE134" i="12"/>
  <c r="AF134" i="12" s="1"/>
  <c r="BA134" i="12"/>
  <c r="H134" i="12"/>
  <c r="S134" i="12"/>
  <c r="T134" i="12" s="1"/>
  <c r="M134" i="12"/>
  <c r="N134" i="12" s="1"/>
  <c r="BO134" i="12"/>
  <c r="J216" i="1"/>
  <c r="BE116" i="12"/>
  <c r="BI199" i="12"/>
  <c r="G144" i="1"/>
  <c r="L96" i="12"/>
  <c r="S96" i="12"/>
  <c r="T96" i="12" s="1"/>
  <c r="BC134" i="12"/>
  <c r="AW66" i="12"/>
  <c r="AL96" i="12"/>
  <c r="U96" i="12"/>
  <c r="V96" i="12" s="1"/>
  <c r="F96" i="12"/>
  <c r="AL134" i="12"/>
  <c r="BG134" i="12"/>
  <c r="AW215" i="12"/>
  <c r="BE96" i="12"/>
  <c r="BG96" i="12"/>
  <c r="F134" i="12"/>
  <c r="H195" i="12"/>
  <c r="J66" i="12"/>
  <c r="U134" i="12"/>
  <c r="V134" i="12" s="1"/>
  <c r="K66" i="12"/>
  <c r="AW154" i="12"/>
  <c r="AE116" i="12"/>
  <c r="AF116" i="12" s="1"/>
  <c r="L116" i="12"/>
  <c r="BI116" i="12"/>
  <c r="AC154" i="12"/>
  <c r="AD154" i="12" s="1"/>
  <c r="I96" i="12"/>
  <c r="AW116" i="12"/>
  <c r="Y66" i="12"/>
  <c r="Z66" i="12" s="1"/>
  <c r="I66" i="12"/>
  <c r="L66" i="12"/>
  <c r="W66" i="12"/>
  <c r="X66" i="12" s="1"/>
  <c r="M116" i="12"/>
  <c r="N116" i="12" s="1"/>
  <c r="BE199" i="12"/>
  <c r="M66" i="12"/>
  <c r="N66" i="12" s="1"/>
  <c r="O116" i="12"/>
  <c r="P116" i="12" s="1"/>
  <c r="AA134" i="12"/>
  <c r="AB134" i="12" s="1"/>
  <c r="K134" i="12"/>
  <c r="M154" i="12"/>
  <c r="N154" i="12" s="1"/>
  <c r="G155" i="1"/>
  <c r="J96" i="12"/>
  <c r="BE66" i="12"/>
  <c r="K375" i="3"/>
  <c r="K116" i="12"/>
  <c r="J116" i="12"/>
  <c r="AC116" i="12"/>
  <c r="AD116" i="12" s="1"/>
  <c r="I134" i="12"/>
  <c r="BG66" i="12"/>
  <c r="J134" i="12"/>
  <c r="BE134" i="12"/>
  <c r="AW134" i="12"/>
  <c r="K96" i="12"/>
  <c r="J371" i="3"/>
  <c r="K371" i="3" s="1"/>
  <c r="AC66" i="12"/>
  <c r="AD66" i="12" s="1"/>
  <c r="BC66" i="12"/>
  <c r="BA66" i="12"/>
  <c r="BA116" i="12"/>
  <c r="Q134" i="12"/>
  <c r="R134" i="12" s="1"/>
  <c r="O96" i="12"/>
  <c r="P96" i="12" s="1"/>
  <c r="G150" i="1"/>
  <c r="AY134" i="12"/>
  <c r="W134" i="12"/>
  <c r="X134" i="12" s="1"/>
  <c r="Q96" i="12"/>
  <c r="R96" i="12" s="1"/>
  <c r="BC154" i="12"/>
  <c r="AL154" i="12"/>
  <c r="Y134" i="12"/>
  <c r="Z134" i="12" s="1"/>
  <c r="BK134" i="12"/>
  <c r="AA96" i="12"/>
  <c r="AB96" i="12" s="1"/>
  <c r="Y96" i="12"/>
  <c r="Z96" i="12" s="1"/>
  <c r="J370" i="3"/>
  <c r="K370" i="3" s="1"/>
  <c r="AW96" i="12"/>
  <c r="L134" i="12"/>
  <c r="H154" i="12"/>
  <c r="W96" i="12"/>
  <c r="X96" i="12" s="1"/>
  <c r="AA172" i="12"/>
  <c r="AB172" i="12" s="1"/>
  <c r="AA154" i="12"/>
  <c r="AB154" i="12" s="1"/>
  <c r="I154" i="12"/>
  <c r="BM96" i="12"/>
  <c r="I98" i="1" s="1"/>
  <c r="J172" i="12"/>
  <c r="O134" i="12"/>
  <c r="P134" i="12" s="1"/>
  <c r="S154" i="12"/>
  <c r="T154" i="12" s="1"/>
  <c r="L172" i="12"/>
  <c r="I172" i="12"/>
  <c r="BK96" i="12"/>
  <c r="BM134" i="12"/>
  <c r="I136" i="1" s="1"/>
  <c r="U154" i="12"/>
  <c r="V154" i="12" s="1"/>
  <c r="BC57" i="12"/>
  <c r="AC134" i="12"/>
  <c r="AD134" i="12" s="1"/>
  <c r="BC96" i="12"/>
  <c r="K154" i="12"/>
  <c r="AE172" i="12"/>
  <c r="AF172" i="12" s="1"/>
  <c r="BE215" i="12"/>
  <c r="AL66" i="12"/>
  <c r="L154" i="12"/>
  <c r="O172" i="12"/>
  <c r="P172" i="12" s="1"/>
  <c r="AA66" i="12"/>
  <c r="AB66" i="12" s="1"/>
  <c r="BO116" i="12"/>
  <c r="BC172" i="12"/>
  <c r="AY154" i="12"/>
  <c r="J132" i="1"/>
  <c r="S172" i="12"/>
  <c r="T172" i="12" s="1"/>
  <c r="Q116" i="12"/>
  <c r="R116" i="12" s="1"/>
  <c r="F172" i="12"/>
  <c r="U172" i="12"/>
  <c r="V172" i="12" s="1"/>
  <c r="BM66" i="12"/>
  <c r="I68" i="1" s="1"/>
  <c r="U116" i="12"/>
  <c r="V116" i="12" s="1"/>
  <c r="BG172" i="12"/>
  <c r="BC116" i="12"/>
  <c r="O154" i="12"/>
  <c r="P154" i="12" s="1"/>
  <c r="W172" i="12"/>
  <c r="X172" i="12" s="1"/>
  <c r="AE66" i="12"/>
  <c r="AF66" i="12" s="1"/>
  <c r="W116" i="12"/>
  <c r="X116" i="12" s="1"/>
  <c r="Y172" i="12"/>
  <c r="Z172" i="12" s="1"/>
  <c r="O66" i="12"/>
  <c r="P66" i="12" s="1"/>
  <c r="AA116" i="12"/>
  <c r="AB116" i="12" s="1"/>
  <c r="BA172" i="12"/>
  <c r="Y165" i="12"/>
  <c r="Z165" i="12" s="1"/>
  <c r="BG154" i="12"/>
  <c r="Q154" i="12"/>
  <c r="R154" i="12" s="1"/>
  <c r="BE172" i="12"/>
  <c r="BO172" i="12"/>
  <c r="BO66" i="12"/>
  <c r="BG116" i="12"/>
  <c r="Y116" i="12"/>
  <c r="Z116" i="12" s="1"/>
  <c r="AE165" i="12"/>
  <c r="AF165" i="12" s="1"/>
  <c r="BI172" i="12"/>
  <c r="G72" i="1"/>
  <c r="BK116" i="12"/>
  <c r="BI66" i="12"/>
  <c r="BO154" i="12"/>
  <c r="AY66" i="12"/>
  <c r="F154" i="12"/>
  <c r="AC172" i="12"/>
  <c r="AD172" i="12" s="1"/>
  <c r="Q66" i="12"/>
  <c r="R66" i="12" s="1"/>
  <c r="BO206" i="12"/>
  <c r="BK154" i="12"/>
  <c r="F116" i="12"/>
  <c r="I116" i="12"/>
  <c r="AY116" i="12"/>
  <c r="BK66" i="12"/>
  <c r="AE154" i="12"/>
  <c r="AF154" i="12" s="1"/>
  <c r="BE154" i="12"/>
  <c r="J154" i="12"/>
  <c r="AL172" i="12"/>
  <c r="W154" i="12"/>
  <c r="X154" i="12" s="1"/>
  <c r="BK172" i="12"/>
  <c r="H172" i="12"/>
  <c r="H66" i="12"/>
  <c r="S66" i="12"/>
  <c r="T66" i="12" s="1"/>
  <c r="S116" i="12"/>
  <c r="T116" i="12" s="1"/>
  <c r="BI154" i="12"/>
  <c r="M172" i="12"/>
  <c r="N172" i="12" s="1"/>
  <c r="Q172" i="12"/>
  <c r="R172" i="12" s="1"/>
  <c r="AW172" i="12"/>
  <c r="AL116" i="12"/>
  <c r="Y154" i="12"/>
  <c r="Z154" i="12" s="1"/>
  <c r="K172" i="12"/>
  <c r="F66" i="12"/>
  <c r="H116" i="12"/>
  <c r="G190" i="1"/>
  <c r="H268" i="8"/>
  <c r="C268" i="8" s="1"/>
  <c r="D267" i="12" s="1"/>
  <c r="BA165" i="12"/>
  <c r="D261" i="1"/>
  <c r="J261" i="1" s="1"/>
  <c r="H96" i="12"/>
  <c r="BG212" i="12"/>
  <c r="BM205" i="12"/>
  <c r="I207" i="1" s="1"/>
  <c r="L165" i="12"/>
  <c r="AC212" i="12"/>
  <c r="AD212" i="12" s="1"/>
  <c r="AC96" i="12"/>
  <c r="AD96" i="12" s="1"/>
  <c r="I240" i="12"/>
  <c r="BG240" i="12"/>
  <c r="L215" i="12"/>
  <c r="M215" i="12"/>
  <c r="N215" i="12" s="1"/>
  <c r="I215" i="12"/>
  <c r="AA85" i="12"/>
  <c r="AB85" i="12" s="1"/>
  <c r="H212" i="12"/>
  <c r="M96" i="12"/>
  <c r="N96" i="12" s="1"/>
  <c r="U89" i="12"/>
  <c r="V89" i="12" s="1"/>
  <c r="H266" i="8"/>
  <c r="C266" i="8" s="1"/>
  <c r="D265" i="12" s="1"/>
  <c r="Q265" i="12" s="1"/>
  <c r="R265" i="12" s="1"/>
  <c r="Y212" i="12"/>
  <c r="Z212" i="12" s="1"/>
  <c r="BA96" i="12"/>
  <c r="AE96" i="12"/>
  <c r="AF96" i="12" s="1"/>
  <c r="J145" i="1"/>
  <c r="BC215" i="12"/>
  <c r="H327" i="8"/>
  <c r="C327" i="8" s="1"/>
  <c r="D328" i="1" s="1"/>
  <c r="J328" i="1" s="1"/>
  <c r="AY215" i="12"/>
  <c r="J335" i="8"/>
  <c r="C335" i="8" s="1"/>
  <c r="D336" i="1" s="1"/>
  <c r="J336" i="1" s="1"/>
  <c r="Y215" i="12"/>
  <c r="Z215" i="12" s="1"/>
  <c r="S114" i="12"/>
  <c r="T114" i="12" s="1"/>
  <c r="AY96" i="12"/>
  <c r="BO96" i="12"/>
  <c r="J147" i="1"/>
  <c r="BM243" i="12"/>
  <c r="I245" i="1" s="1"/>
  <c r="AE206" i="12"/>
  <c r="AF206" i="12" s="1"/>
  <c r="AY174" i="12"/>
  <c r="Q206" i="12"/>
  <c r="R206" i="12" s="1"/>
  <c r="BG57" i="12"/>
  <c r="BK206" i="12"/>
  <c r="H240" i="12"/>
  <c r="S192" i="12"/>
  <c r="T192" i="12" s="1"/>
  <c r="AC206" i="12"/>
  <c r="AD206" i="12" s="1"/>
  <c r="BE57" i="12"/>
  <c r="Y89" i="12"/>
  <c r="Z89" i="12" s="1"/>
  <c r="J57" i="12"/>
  <c r="O206" i="12"/>
  <c r="P206" i="12" s="1"/>
  <c r="BC206" i="12"/>
  <c r="M206" i="12"/>
  <c r="N206" i="12" s="1"/>
  <c r="K252" i="12"/>
  <c r="AA89" i="12"/>
  <c r="AB89" i="12" s="1"/>
  <c r="AA206" i="12"/>
  <c r="AB206" i="12" s="1"/>
  <c r="K57" i="12"/>
  <c r="K89" i="12"/>
  <c r="AL174" i="12"/>
  <c r="G123" i="1"/>
  <c r="BM206" i="12"/>
  <c r="I208" i="1" s="1"/>
  <c r="L206" i="12"/>
  <c r="AW89" i="12"/>
  <c r="L240" i="12"/>
  <c r="I89" i="12"/>
  <c r="J89" i="12"/>
  <c r="D248" i="12"/>
  <c r="Q248" i="12" s="1"/>
  <c r="R248" i="12" s="1"/>
  <c r="K206" i="12"/>
  <c r="W240" i="12"/>
  <c r="X240" i="12" s="1"/>
  <c r="AA57" i="12"/>
  <c r="AB57" i="12" s="1"/>
  <c r="BO240" i="12"/>
  <c r="BG206" i="12"/>
  <c r="BO57" i="12"/>
  <c r="BG89" i="12"/>
  <c r="L89" i="12"/>
  <c r="F237" i="8"/>
  <c r="C237" i="8" s="1"/>
  <c r="D236" i="12" s="1"/>
  <c r="Q236" i="12" s="1"/>
  <c r="R236" i="12" s="1"/>
  <c r="J240" i="12"/>
  <c r="Y57" i="12"/>
  <c r="Z57" i="12" s="1"/>
  <c r="I57" i="12"/>
  <c r="S240" i="12"/>
  <c r="T240" i="12" s="1"/>
  <c r="G152" i="1"/>
  <c r="G120" i="1"/>
  <c r="AC89" i="12"/>
  <c r="AD89" i="12" s="1"/>
  <c r="AA199" i="12"/>
  <c r="AB199" i="12" s="1"/>
  <c r="S206" i="12"/>
  <c r="T206" i="12" s="1"/>
  <c r="AW57" i="12"/>
  <c r="F206" i="12"/>
  <c r="BE206" i="12"/>
  <c r="K94" i="12"/>
  <c r="H57" i="12"/>
  <c r="J115" i="1"/>
  <c r="H267" i="8"/>
  <c r="C267" i="8" s="1"/>
  <c r="D266" i="12" s="1"/>
  <c r="BO84" i="12"/>
  <c r="W206" i="12"/>
  <c r="X206" i="12" s="1"/>
  <c r="AE174" i="12"/>
  <c r="AF174" i="12" s="1"/>
  <c r="I199" i="12"/>
  <c r="AL206" i="12"/>
  <c r="BA206" i="12"/>
  <c r="W84" i="12"/>
  <c r="X84" i="12" s="1"/>
  <c r="L174" i="12"/>
  <c r="L94" i="12"/>
  <c r="L57" i="12"/>
  <c r="G219" i="1"/>
  <c r="G203" i="1"/>
  <c r="Q84" i="12"/>
  <c r="R84" i="12" s="1"/>
  <c r="H206" i="12"/>
  <c r="Y174" i="12"/>
  <c r="Z174" i="12" s="1"/>
  <c r="BM240" i="12"/>
  <c r="I242" i="1" s="1"/>
  <c r="BE89" i="12"/>
  <c r="AL89" i="12"/>
  <c r="AL57" i="12"/>
  <c r="K199" i="12"/>
  <c r="Q240" i="12"/>
  <c r="R240" i="12" s="1"/>
  <c r="U57" i="12"/>
  <c r="V57" i="12" s="1"/>
  <c r="G146" i="1"/>
  <c r="I68" i="12"/>
  <c r="I206" i="12"/>
  <c r="AC174" i="12"/>
  <c r="AD174" i="12" s="1"/>
  <c r="AY114" i="12"/>
  <c r="BC89" i="12"/>
  <c r="J74" i="12"/>
  <c r="L68" i="12"/>
  <c r="W89" i="12"/>
  <c r="X89" i="12" s="1"/>
  <c r="Y206" i="12"/>
  <c r="Z206" i="12" s="1"/>
  <c r="I174" i="12"/>
  <c r="L300" i="8"/>
  <c r="C300" i="8" s="1"/>
  <c r="D299" i="12" s="1"/>
  <c r="Q299" i="12" s="1"/>
  <c r="R299" i="12" s="1"/>
  <c r="J226" i="1"/>
  <c r="AW206" i="12"/>
  <c r="J199" i="12"/>
  <c r="J75" i="1"/>
  <c r="U206" i="12"/>
  <c r="V206" i="12" s="1"/>
  <c r="AA174" i="12"/>
  <c r="AB174" i="12" s="1"/>
  <c r="BO123" i="12"/>
  <c r="BI206" i="12"/>
  <c r="F57" i="12"/>
  <c r="AA74" i="12"/>
  <c r="AB74" i="12" s="1"/>
  <c r="W57" i="12"/>
  <c r="X57" i="12" s="1"/>
  <c r="BC58" i="12"/>
  <c r="S68" i="12"/>
  <c r="T68" i="12" s="1"/>
  <c r="F89" i="12"/>
  <c r="J206" i="12"/>
  <c r="BA89" i="12"/>
  <c r="BI57" i="12"/>
  <c r="I128" i="1"/>
  <c r="F215" i="12"/>
  <c r="J212" i="12"/>
  <c r="AC215" i="12"/>
  <c r="AD215" i="12" s="1"/>
  <c r="D301" i="12"/>
  <c r="J301" i="12" s="1"/>
  <c r="D295" i="1"/>
  <c r="G295" i="1" s="1"/>
  <c r="Y114" i="12"/>
  <c r="Z114" i="12" s="1"/>
  <c r="BG215" i="12"/>
  <c r="BA215" i="12"/>
  <c r="AA165" i="12"/>
  <c r="AB165" i="12" s="1"/>
  <c r="BO165" i="12"/>
  <c r="BI114" i="12"/>
  <c r="H265" i="8"/>
  <c r="C265" i="8" s="1"/>
  <c r="D264" i="12" s="1"/>
  <c r="AA212" i="12"/>
  <c r="AB212" i="12" s="1"/>
  <c r="BI212" i="12"/>
  <c r="AE215" i="12"/>
  <c r="AF215" i="12" s="1"/>
  <c r="J123" i="12"/>
  <c r="I212" i="12"/>
  <c r="I114" i="12"/>
  <c r="K212" i="12"/>
  <c r="J215" i="12"/>
  <c r="J133" i="1"/>
  <c r="BC212" i="12"/>
  <c r="BI215" i="12"/>
  <c r="W114" i="12"/>
  <c r="X114" i="12" s="1"/>
  <c r="AY165" i="12"/>
  <c r="BK165" i="12"/>
  <c r="O212" i="12"/>
  <c r="P212" i="12" s="1"/>
  <c r="U212" i="12"/>
  <c r="V212" i="12" s="1"/>
  <c r="K215" i="12"/>
  <c r="BM114" i="12"/>
  <c r="I116" i="1" s="1"/>
  <c r="AA215" i="12"/>
  <c r="AB215" i="12" s="1"/>
  <c r="AC114" i="12"/>
  <c r="AD114" i="12" s="1"/>
  <c r="J165" i="12"/>
  <c r="AL114" i="12"/>
  <c r="M165" i="12"/>
  <c r="N165" i="12" s="1"/>
  <c r="BA212" i="12"/>
  <c r="O215" i="12"/>
  <c r="P215" i="12" s="1"/>
  <c r="BI165" i="12"/>
  <c r="AE212" i="12"/>
  <c r="AF212" i="12" s="1"/>
  <c r="AW212" i="12"/>
  <c r="AE114" i="12"/>
  <c r="AF114" i="12" s="1"/>
  <c r="BG165" i="12"/>
  <c r="M69" i="12"/>
  <c r="N69" i="12" s="1"/>
  <c r="BE212" i="12"/>
  <c r="O114" i="12"/>
  <c r="P114" i="12" s="1"/>
  <c r="BK215" i="12"/>
  <c r="U114" i="12"/>
  <c r="V114" i="12" s="1"/>
  <c r="F183" i="12"/>
  <c r="BE165" i="12"/>
  <c r="Q212" i="12"/>
  <c r="R212" i="12" s="1"/>
  <c r="S212" i="12"/>
  <c r="T212" i="12" s="1"/>
  <c r="S215" i="12"/>
  <c r="T215" i="12" s="1"/>
  <c r="M114" i="12"/>
  <c r="N114" i="12" s="1"/>
  <c r="BG114" i="12"/>
  <c r="L212" i="12"/>
  <c r="BO212" i="12"/>
  <c r="J121" i="1"/>
  <c r="F212" i="12"/>
  <c r="AY212" i="12"/>
  <c r="U215" i="12"/>
  <c r="V215" i="12" s="1"/>
  <c r="J162" i="1"/>
  <c r="Q114" i="12"/>
  <c r="R114" i="12" s="1"/>
  <c r="BM174" i="12"/>
  <c r="I176" i="1" s="1"/>
  <c r="U165" i="12"/>
  <c r="V165" i="12" s="1"/>
  <c r="BE114" i="12"/>
  <c r="BM165" i="12"/>
  <c r="I167" i="1" s="1"/>
  <c r="AL212" i="12"/>
  <c r="M212" i="12"/>
  <c r="N212" i="12" s="1"/>
  <c r="BK212" i="12"/>
  <c r="BO215" i="12"/>
  <c r="Q215" i="12"/>
  <c r="R215" i="12" s="1"/>
  <c r="W215" i="12"/>
  <c r="X215" i="12" s="1"/>
  <c r="BO114" i="12"/>
  <c r="I165" i="12"/>
  <c r="BK114" i="12"/>
  <c r="BC165" i="12"/>
  <c r="K183" i="12"/>
  <c r="BO91" i="12"/>
  <c r="BI247" i="12"/>
  <c r="H205" i="12"/>
  <c r="G81" i="1"/>
  <c r="AA183" i="12"/>
  <c r="AB183" i="12" s="1"/>
  <c r="U91" i="12"/>
  <c r="V91" i="12" s="1"/>
  <c r="BG183" i="12"/>
  <c r="BK183" i="12"/>
  <c r="BK205" i="12"/>
  <c r="S250" i="12"/>
  <c r="T250" i="12" s="1"/>
  <c r="S205" i="12"/>
  <c r="T205" i="12" s="1"/>
  <c r="J328" i="8"/>
  <c r="C328" i="8" s="1"/>
  <c r="D327" i="12" s="1"/>
  <c r="L183" i="12"/>
  <c r="I162" i="1"/>
  <c r="I91" i="12"/>
  <c r="BE250" i="12"/>
  <c r="L250" i="12"/>
  <c r="O183" i="12"/>
  <c r="P183" i="12" s="1"/>
  <c r="J182" i="1"/>
  <c r="BI67" i="12"/>
  <c r="Y205" i="12"/>
  <c r="Z205" i="12" s="1"/>
  <c r="G205" i="1"/>
  <c r="BE205" i="12"/>
  <c r="H259" i="8"/>
  <c r="C259" i="8" s="1"/>
  <c r="D260" i="1" s="1"/>
  <c r="Q183" i="12"/>
  <c r="R183" i="12" s="1"/>
  <c r="BI82" i="12"/>
  <c r="BK91" i="12"/>
  <c r="BI183" i="12"/>
  <c r="U205" i="12"/>
  <c r="V205" i="12" s="1"/>
  <c r="AC183" i="12"/>
  <c r="AD183" i="12" s="1"/>
  <c r="BO205" i="12"/>
  <c r="J247" i="12"/>
  <c r="Y81" i="12"/>
  <c r="Z81" i="12" s="1"/>
  <c r="J153" i="1"/>
  <c r="L247" i="12"/>
  <c r="BE183" i="12"/>
  <c r="J205" i="12"/>
  <c r="H315" i="8"/>
  <c r="C315" i="8" s="1"/>
  <c r="D316" i="1" s="1"/>
  <c r="S183" i="12"/>
  <c r="T183" i="12" s="1"/>
  <c r="M51" i="12"/>
  <c r="N51" i="12" s="1"/>
  <c r="I183" i="12"/>
  <c r="Y183" i="12"/>
  <c r="Z183" i="12" s="1"/>
  <c r="G198" i="1"/>
  <c r="D247" i="1"/>
  <c r="G247" i="1" s="1"/>
  <c r="BO67" i="12"/>
  <c r="W250" i="12"/>
  <c r="X250" i="12" s="1"/>
  <c r="AL183" i="12"/>
  <c r="M223" i="12"/>
  <c r="N223" i="12" s="1"/>
  <c r="L293" i="8"/>
  <c r="C293" i="8" s="1"/>
  <c r="D292" i="12" s="1"/>
  <c r="AY183" i="12"/>
  <c r="AY250" i="12"/>
  <c r="P309" i="8"/>
  <c r="C309" i="8" s="1"/>
  <c r="D310" i="1" s="1"/>
  <c r="H183" i="12"/>
  <c r="AC81" i="12"/>
  <c r="AD81" i="12" s="1"/>
  <c r="AC247" i="12"/>
  <c r="AD247" i="12" s="1"/>
  <c r="AA205" i="12"/>
  <c r="AB205" i="12" s="1"/>
  <c r="F230" i="8"/>
  <c r="C230" i="8" s="1"/>
  <c r="D229" i="12" s="1"/>
  <c r="BO183" i="12"/>
  <c r="BC183" i="12"/>
  <c r="AL215" i="12"/>
  <c r="AW205" i="12"/>
  <c r="O67" i="12"/>
  <c r="P67" i="12" s="1"/>
  <c r="AW183" i="12"/>
  <c r="M183" i="12"/>
  <c r="N183" i="12" s="1"/>
  <c r="K250" i="12"/>
  <c r="H281" i="8"/>
  <c r="C281" i="8" s="1"/>
  <c r="D282" i="1" s="1"/>
  <c r="AY205" i="12"/>
  <c r="AE183" i="12"/>
  <c r="AF183" i="12" s="1"/>
  <c r="AY74" i="12"/>
  <c r="J81" i="12"/>
  <c r="AC205" i="12"/>
  <c r="AD205" i="12" s="1"/>
  <c r="W183" i="12"/>
  <c r="X183" i="12" s="1"/>
  <c r="AL67" i="12"/>
  <c r="BI91" i="12"/>
  <c r="J183" i="12"/>
  <c r="BA183" i="12"/>
  <c r="W205" i="12"/>
  <c r="X205" i="12" s="1"/>
  <c r="Q81" i="12"/>
  <c r="R81" i="12" s="1"/>
  <c r="U247" i="12"/>
  <c r="V247" i="12" s="1"/>
  <c r="K205" i="12"/>
  <c r="AE205" i="12"/>
  <c r="AF205" i="12" s="1"/>
  <c r="H192" i="12"/>
  <c r="L199" i="12"/>
  <c r="BK141" i="12"/>
  <c r="U192" i="12"/>
  <c r="V192" i="12" s="1"/>
  <c r="F141" i="12"/>
  <c r="K74" i="12"/>
  <c r="L141" i="12"/>
  <c r="BC141" i="12"/>
  <c r="AW192" i="12"/>
  <c r="K192" i="12"/>
  <c r="BK69" i="12"/>
  <c r="W129" i="12"/>
  <c r="X129" i="12" s="1"/>
  <c r="BC82" i="12"/>
  <c r="O74" i="12"/>
  <c r="P74" i="12" s="1"/>
  <c r="AE82" i="12"/>
  <c r="AF82" i="12" s="1"/>
  <c r="W199" i="12"/>
  <c r="X199" i="12" s="1"/>
  <c r="BE67" i="12"/>
  <c r="BM74" i="12"/>
  <c r="I76" i="1" s="1"/>
  <c r="H199" i="12"/>
  <c r="J193" i="1"/>
  <c r="S74" i="12"/>
  <c r="T74" i="12" s="1"/>
  <c r="J82" i="12"/>
  <c r="BK84" i="12"/>
  <c r="O192" i="12"/>
  <c r="P192" i="12" s="1"/>
  <c r="BK57" i="12"/>
  <c r="U74" i="12"/>
  <c r="V74" i="12" s="1"/>
  <c r="O199" i="12"/>
  <c r="P199" i="12" s="1"/>
  <c r="G117" i="1"/>
  <c r="BM141" i="12"/>
  <c r="I143" i="1" s="1"/>
  <c r="N345" i="8"/>
  <c r="C345" i="8" s="1"/>
  <c r="D344" i="12" s="1"/>
  <c r="M344" i="12" s="1"/>
  <c r="N344" i="12" s="1"/>
  <c r="BC199" i="12"/>
  <c r="AY67" i="12"/>
  <c r="Y192" i="12"/>
  <c r="Z192" i="12" s="1"/>
  <c r="J206" i="1"/>
  <c r="U47" i="12"/>
  <c r="V47" i="12" s="1"/>
  <c r="W74" i="12"/>
  <c r="X74" i="12" s="1"/>
  <c r="W166" i="12"/>
  <c r="X166" i="12" s="1"/>
  <c r="Y82" i="12"/>
  <c r="Z82" i="12" s="1"/>
  <c r="BA69" i="12"/>
  <c r="BA114" i="12"/>
  <c r="AE199" i="12"/>
  <c r="AF199" i="12" s="1"/>
  <c r="AA240" i="12"/>
  <c r="AB240" i="12" s="1"/>
  <c r="AL199" i="12"/>
  <c r="BE58" i="12"/>
  <c r="G58" i="1"/>
  <c r="AY84" i="12"/>
  <c r="BI89" i="12"/>
  <c r="BM57" i="12"/>
  <c r="I59" i="1" s="1"/>
  <c r="D307" i="12"/>
  <c r="U307" i="12" s="1"/>
  <c r="V307" i="12" s="1"/>
  <c r="K14" i="2"/>
  <c r="J124" i="1"/>
  <c r="AC192" i="12"/>
  <c r="AD192" i="12" s="1"/>
  <c r="S141" i="12"/>
  <c r="T141" i="12" s="1"/>
  <c r="O89" i="12"/>
  <c r="P89" i="12" s="1"/>
  <c r="S89" i="12"/>
  <c r="T89" i="12" s="1"/>
  <c r="G177" i="1"/>
  <c r="J114" i="12"/>
  <c r="K67" i="12"/>
  <c r="G149" i="1"/>
  <c r="I78" i="1"/>
  <c r="F228" i="8"/>
  <c r="C228" i="8" s="1"/>
  <c r="D227" i="12" s="1"/>
  <c r="BK89" i="12"/>
  <c r="BC74" i="12"/>
  <c r="AW114" i="12"/>
  <c r="BM69" i="12"/>
  <c r="I71" i="1" s="1"/>
  <c r="M74" i="12"/>
  <c r="N74" i="12" s="1"/>
  <c r="AL141" i="12"/>
  <c r="BK74" i="12"/>
  <c r="AE74" i="12"/>
  <c r="AF74" i="12" s="1"/>
  <c r="L82" i="12"/>
  <c r="AY192" i="12"/>
  <c r="Y141" i="12"/>
  <c r="Z141" i="12" s="1"/>
  <c r="G56" i="1"/>
  <c r="G54" i="1"/>
  <c r="D246" i="12"/>
  <c r="BK246" i="12" s="1"/>
  <c r="Q58" i="12"/>
  <c r="R58" i="12" s="1"/>
  <c r="I141" i="12"/>
  <c r="I82" i="12"/>
  <c r="AL192" i="12"/>
  <c r="J178" i="1"/>
  <c r="BI74" i="12"/>
  <c r="M57" i="12"/>
  <c r="N57" i="12" s="1"/>
  <c r="AY57" i="12"/>
  <c r="M240" i="12"/>
  <c r="N240" i="12" s="1"/>
  <c r="AA166" i="12"/>
  <c r="AB166" i="12" s="1"/>
  <c r="Y240" i="12"/>
  <c r="Z240" i="12" s="1"/>
  <c r="J112" i="1"/>
  <c r="Y166" i="12"/>
  <c r="Z166" i="12" s="1"/>
  <c r="BG58" i="12"/>
  <c r="AA82" i="12"/>
  <c r="AB82" i="12" s="1"/>
  <c r="W69" i="12"/>
  <c r="X69" i="12" s="1"/>
  <c r="S199" i="12"/>
  <c r="T199" i="12" s="1"/>
  <c r="AC240" i="12"/>
  <c r="AD240" i="12" s="1"/>
  <c r="BC192" i="12"/>
  <c r="BG192" i="12"/>
  <c r="AE57" i="12"/>
  <c r="AF57" i="12" s="1"/>
  <c r="J14" i="2"/>
  <c r="J140" i="1"/>
  <c r="M192" i="12"/>
  <c r="N192" i="12" s="1"/>
  <c r="BO252" i="12"/>
  <c r="Q89" i="12"/>
  <c r="R89" i="12" s="1"/>
  <c r="K114" i="12"/>
  <c r="W67" i="12"/>
  <c r="X67" i="12" s="1"/>
  <c r="H271" i="8"/>
  <c r="C271" i="8" s="1"/>
  <c r="D270" i="12" s="1"/>
  <c r="BC223" i="12"/>
  <c r="BE192" i="12"/>
  <c r="W192" i="12"/>
  <c r="X192" i="12" s="1"/>
  <c r="BO74" i="12"/>
  <c r="BE69" i="12"/>
  <c r="J192" i="12"/>
  <c r="U141" i="12"/>
  <c r="V141" i="12" s="1"/>
  <c r="AC74" i="12"/>
  <c r="AD74" i="12" s="1"/>
  <c r="J126" i="1"/>
  <c r="AA192" i="12"/>
  <c r="AB192" i="12" s="1"/>
  <c r="L74" i="12"/>
  <c r="F199" i="12"/>
  <c r="I129" i="12"/>
  <c r="J129" i="12"/>
  <c r="M199" i="12"/>
  <c r="N199" i="12" s="1"/>
  <c r="G94" i="1"/>
  <c r="AA141" i="12"/>
  <c r="AB141" i="12" s="1"/>
  <c r="AC57" i="12"/>
  <c r="AD57" i="12" s="1"/>
  <c r="BO192" i="12"/>
  <c r="M89" i="12"/>
  <c r="N89" i="12" s="1"/>
  <c r="U51" i="12"/>
  <c r="V51" i="12" s="1"/>
  <c r="F74" i="12"/>
  <c r="Q199" i="12"/>
  <c r="R199" i="12" s="1"/>
  <c r="J200" i="1"/>
  <c r="Q141" i="12"/>
  <c r="R141" i="12" s="1"/>
  <c r="H89" i="12"/>
  <c r="BM89" i="12"/>
  <c r="I91" i="1" s="1"/>
  <c r="Y74" i="12"/>
  <c r="Z74" i="12" s="1"/>
  <c r="AC166" i="12"/>
  <c r="AD166" i="12" s="1"/>
  <c r="G159" i="1"/>
  <c r="AC82" i="12"/>
  <c r="AD82" i="12" s="1"/>
  <c r="AA69" i="12"/>
  <c r="AB69" i="12" s="1"/>
  <c r="BI192" i="12"/>
  <c r="U199" i="12"/>
  <c r="V199" i="12" s="1"/>
  <c r="AY58" i="12"/>
  <c r="F240" i="12"/>
  <c r="J67" i="1"/>
  <c r="Q57" i="12"/>
  <c r="R57" i="12" s="1"/>
  <c r="J175" i="1"/>
  <c r="AE192" i="12"/>
  <c r="AF192" i="12" s="1"/>
  <c r="U252" i="12"/>
  <c r="V252" i="12" s="1"/>
  <c r="AE89" i="12"/>
  <c r="AF89" i="12" s="1"/>
  <c r="AA114" i="12"/>
  <c r="AB114" i="12" s="1"/>
  <c r="Y67" i="12"/>
  <c r="Z67" i="12" s="1"/>
  <c r="AY141" i="12"/>
  <c r="BG74" i="12"/>
  <c r="BK64" i="12"/>
  <c r="BI132" i="12"/>
  <c r="G135" i="1"/>
  <c r="AW82" i="12"/>
  <c r="J290" i="8"/>
  <c r="C290" i="8" s="1"/>
  <c r="D289" i="12" s="1"/>
  <c r="O289" i="12" s="1"/>
  <c r="P289" i="12" s="1"/>
  <c r="Q74" i="12"/>
  <c r="R74" i="12" s="1"/>
  <c r="AC199" i="12"/>
  <c r="AD199" i="12" s="1"/>
  <c r="BG199" i="12"/>
  <c r="AC141" i="12"/>
  <c r="AD141" i="12" s="1"/>
  <c r="F192" i="12"/>
  <c r="BE74" i="12"/>
  <c r="F82" i="12"/>
  <c r="J166" i="1"/>
  <c r="BO199" i="12"/>
  <c r="L192" i="12"/>
  <c r="H58" i="12"/>
  <c r="H141" i="12"/>
  <c r="AW199" i="12"/>
  <c r="BK192" i="12"/>
  <c r="BE141" i="12"/>
  <c r="BM192" i="12"/>
  <c r="I194" i="1" s="1"/>
  <c r="BK199" i="12"/>
  <c r="I192" i="12"/>
  <c r="U58" i="12"/>
  <c r="V58" i="12" s="1"/>
  <c r="J141" i="12"/>
  <c r="BG141" i="12"/>
  <c r="I58" i="12"/>
  <c r="M82" i="12"/>
  <c r="N82" i="12" s="1"/>
  <c r="AY199" i="12"/>
  <c r="S174" i="12"/>
  <c r="T174" i="12" s="1"/>
  <c r="BE51" i="12"/>
  <c r="W82" i="12"/>
  <c r="X82" i="12" s="1"/>
  <c r="O57" i="12"/>
  <c r="P57" i="12" s="1"/>
  <c r="U174" i="12"/>
  <c r="V174" i="12" s="1"/>
  <c r="H74" i="12"/>
  <c r="I74" i="12"/>
  <c r="U82" i="12"/>
  <c r="V82" i="12" s="1"/>
  <c r="AW141" i="12"/>
  <c r="Y69" i="12"/>
  <c r="Z69" i="12" s="1"/>
  <c r="Y199" i="12"/>
  <c r="Z199" i="12" s="1"/>
  <c r="K240" i="12"/>
  <c r="S57" i="12"/>
  <c r="T57" i="12" s="1"/>
  <c r="Q192" i="12"/>
  <c r="R192" i="12" s="1"/>
  <c r="W252" i="12"/>
  <c r="X252" i="12" s="1"/>
  <c r="BO89" i="12"/>
  <c r="F114" i="12"/>
  <c r="L114" i="12"/>
  <c r="AE67" i="12"/>
  <c r="AF67" i="12" s="1"/>
  <c r="U84" i="12"/>
  <c r="V84" i="12" s="1"/>
  <c r="G169" i="1"/>
  <c r="BA141" i="12"/>
  <c r="BA74" i="12"/>
  <c r="BE82" i="12"/>
  <c r="BC114" i="12"/>
  <c r="BG51" i="12"/>
  <c r="J211" i="1"/>
  <c r="F58" i="12"/>
  <c r="L252" i="12"/>
  <c r="AW240" i="12"/>
  <c r="S58" i="12"/>
  <c r="T58" i="12" s="1"/>
  <c r="AC252" i="12"/>
  <c r="AD252" i="12" s="1"/>
  <c r="AL58" i="12"/>
  <c r="L205" i="12"/>
  <c r="BO58" i="12"/>
  <c r="H252" i="12"/>
  <c r="M252" i="12"/>
  <c r="N252" i="12" s="1"/>
  <c r="BK252" i="12"/>
  <c r="BC240" i="12"/>
  <c r="BA205" i="12"/>
  <c r="AE58" i="12"/>
  <c r="AF58" i="12" s="1"/>
  <c r="F252" i="12"/>
  <c r="AW252" i="12"/>
  <c r="BE252" i="12"/>
  <c r="K58" i="12"/>
  <c r="O252" i="12"/>
  <c r="P252" i="12" s="1"/>
  <c r="BI252" i="12"/>
  <c r="Y129" i="12"/>
  <c r="Z129" i="12" s="1"/>
  <c r="BI58" i="12"/>
  <c r="L58" i="12"/>
  <c r="Q252" i="12"/>
  <c r="R252" i="12" s="1"/>
  <c r="AW58" i="12"/>
  <c r="L292" i="8"/>
  <c r="C292" i="8" s="1"/>
  <c r="D293" i="1" s="1"/>
  <c r="G293" i="1" s="1"/>
  <c r="D254" i="1"/>
  <c r="J254" i="1" s="1"/>
  <c r="W58" i="12"/>
  <c r="X58" i="12" s="1"/>
  <c r="AE252" i="12"/>
  <c r="AF252" i="12" s="1"/>
  <c r="BC252" i="12"/>
  <c r="BC205" i="12"/>
  <c r="F205" i="12"/>
  <c r="Y58" i="12"/>
  <c r="Z58" i="12" s="1"/>
  <c r="S252" i="12"/>
  <c r="T252" i="12" s="1"/>
  <c r="J171" i="1"/>
  <c r="AL74" i="12"/>
  <c r="D242" i="1"/>
  <c r="G242" i="1" s="1"/>
  <c r="BK174" i="12"/>
  <c r="AL165" i="12"/>
  <c r="AY252" i="12"/>
  <c r="AE240" i="12"/>
  <c r="AF240" i="12" s="1"/>
  <c r="M205" i="12"/>
  <c r="N205" i="12" s="1"/>
  <c r="J58" i="12"/>
  <c r="Y252" i="12"/>
  <c r="Z252" i="12" s="1"/>
  <c r="I220" i="12"/>
  <c r="BI205" i="12"/>
  <c r="W165" i="12"/>
  <c r="X165" i="12" s="1"/>
  <c r="G83" i="1"/>
  <c r="O240" i="12"/>
  <c r="P240" i="12" s="1"/>
  <c r="O205" i="12"/>
  <c r="P205" i="12" s="1"/>
  <c r="G74" i="1"/>
  <c r="AA58" i="12"/>
  <c r="AB58" i="12" s="1"/>
  <c r="I252" i="12"/>
  <c r="H280" i="8"/>
  <c r="C280" i="8" s="1"/>
  <c r="D279" i="12" s="1"/>
  <c r="U279" i="12" s="1"/>
  <c r="V279" i="12" s="1"/>
  <c r="O165" i="12"/>
  <c r="P165" i="12" s="1"/>
  <c r="BA250" i="12"/>
  <c r="Q205" i="12"/>
  <c r="R205" i="12" s="1"/>
  <c r="M58" i="12"/>
  <c r="N58" i="12" s="1"/>
  <c r="J252" i="12"/>
  <c r="BE240" i="12"/>
  <c r="BI240" i="12"/>
  <c r="BK240" i="12"/>
  <c r="BA58" i="12"/>
  <c r="U240" i="12"/>
  <c r="V240" i="12" s="1"/>
  <c r="I205" i="12"/>
  <c r="AC58" i="12"/>
  <c r="AD58" i="12" s="1"/>
  <c r="AA252" i="12"/>
  <c r="AB252" i="12" s="1"/>
  <c r="BA240" i="12"/>
  <c r="BE91" i="12"/>
  <c r="BG205" i="12"/>
  <c r="J286" i="8"/>
  <c r="C286" i="8" s="1"/>
  <c r="D285" i="12" s="1"/>
  <c r="H84" i="12"/>
  <c r="S84" i="12"/>
  <c r="T84" i="12" s="1"/>
  <c r="J128" i="1"/>
  <c r="AE91" i="12"/>
  <c r="AF91" i="12" s="1"/>
  <c r="AC220" i="12"/>
  <c r="AD220" i="12" s="1"/>
  <c r="J192" i="1"/>
  <c r="AW64" i="12"/>
  <c r="BE247" i="12"/>
  <c r="BE220" i="12"/>
  <c r="BG91" i="12"/>
  <c r="W51" i="12"/>
  <c r="X51" i="12" s="1"/>
  <c r="U250" i="12"/>
  <c r="V250" i="12" s="1"/>
  <c r="BG84" i="12"/>
  <c r="AA247" i="12"/>
  <c r="AB247" i="12" s="1"/>
  <c r="N307" i="8"/>
  <c r="C307" i="8" s="1"/>
  <c r="D308" i="1" s="1"/>
  <c r="Y250" i="12"/>
  <c r="Z250" i="12" s="1"/>
  <c r="L296" i="8"/>
  <c r="C296" i="8" s="1"/>
  <c r="D295" i="12" s="1"/>
  <c r="F84" i="12"/>
  <c r="L84" i="12"/>
  <c r="AA91" i="12"/>
  <c r="AB91" i="12" s="1"/>
  <c r="BG247" i="12"/>
  <c r="BA91" i="12"/>
  <c r="AY220" i="12"/>
  <c r="K51" i="12"/>
  <c r="BA252" i="12"/>
  <c r="BA64" i="12"/>
  <c r="J51" i="12"/>
  <c r="AW51" i="12"/>
  <c r="I86" i="12"/>
  <c r="H151" i="12"/>
  <c r="Y247" i="12"/>
  <c r="Z247" i="12" s="1"/>
  <c r="H326" i="8"/>
  <c r="C326" i="8" s="1"/>
  <c r="D327" i="1" s="1"/>
  <c r="I250" i="12"/>
  <c r="J188" i="1"/>
  <c r="N304" i="8"/>
  <c r="C304" i="8" s="1"/>
  <c r="D305" i="1" s="1"/>
  <c r="O170" i="12"/>
  <c r="P170" i="12" s="1"/>
  <c r="J84" i="12"/>
  <c r="K91" i="12"/>
  <c r="J82" i="1"/>
  <c r="BA247" i="12"/>
  <c r="BK51" i="12"/>
  <c r="BO51" i="12"/>
  <c r="BA51" i="12"/>
  <c r="BI51" i="12"/>
  <c r="O51" i="12"/>
  <c r="P51" i="12" s="1"/>
  <c r="I171" i="1"/>
  <c r="D348" i="1"/>
  <c r="J348" i="1" s="1"/>
  <c r="L299" i="8"/>
  <c r="C299" i="8" s="1"/>
  <c r="D298" i="12" s="1"/>
  <c r="I247" i="12"/>
  <c r="J250" i="12"/>
  <c r="BI195" i="12"/>
  <c r="I84" i="12"/>
  <c r="L91" i="12"/>
  <c r="AW84" i="12"/>
  <c r="BA90" i="12"/>
  <c r="L51" i="12"/>
  <c r="H51" i="12"/>
  <c r="F236" i="8"/>
  <c r="C236" i="8" s="1"/>
  <c r="D235" i="12" s="1"/>
  <c r="J220" i="12"/>
  <c r="BK247" i="12"/>
  <c r="W247" i="12"/>
  <c r="X247" i="12" s="1"/>
  <c r="K247" i="12"/>
  <c r="AA250" i="12"/>
  <c r="AB250" i="12" s="1"/>
  <c r="K84" i="12"/>
  <c r="AC91" i="12"/>
  <c r="AD91" i="12" s="1"/>
  <c r="S51" i="12"/>
  <c r="T51" i="12" s="1"/>
  <c r="BK250" i="12"/>
  <c r="BM51" i="12"/>
  <c r="I53" i="1" s="1"/>
  <c r="F51" i="12"/>
  <c r="J218" i="1"/>
  <c r="BI250" i="12"/>
  <c r="AC250" i="12"/>
  <c r="AD250" i="12" s="1"/>
  <c r="AA84" i="12"/>
  <c r="AB84" i="12" s="1"/>
  <c r="H90" i="12"/>
  <c r="BC250" i="12"/>
  <c r="AE247" i="12"/>
  <c r="AF247" i="12" s="1"/>
  <c r="M250" i="12"/>
  <c r="N250" i="12" s="1"/>
  <c r="BC195" i="12"/>
  <c r="Q195" i="12"/>
  <c r="R195" i="12" s="1"/>
  <c r="J130" i="1"/>
  <c r="D311" i="1"/>
  <c r="J311" i="1" s="1"/>
  <c r="AC84" i="12"/>
  <c r="AD84" i="12" s="1"/>
  <c r="Y64" i="12"/>
  <c r="Z64" i="12" s="1"/>
  <c r="AY247" i="12"/>
  <c r="D252" i="1"/>
  <c r="J252" i="1" s="1"/>
  <c r="AW250" i="12"/>
  <c r="D244" i="12"/>
  <c r="BI244" i="12" s="1"/>
  <c r="I51" i="12"/>
  <c r="AC51" i="12"/>
  <c r="AD51" i="12" s="1"/>
  <c r="BO247" i="12"/>
  <c r="AC195" i="12"/>
  <c r="AD195" i="12" s="1"/>
  <c r="G63" i="1"/>
  <c r="Y84" i="12"/>
  <c r="Z84" i="12" s="1"/>
  <c r="S64" i="12"/>
  <c r="T64" i="12" s="1"/>
  <c r="Q91" i="12"/>
  <c r="R91" i="12" s="1"/>
  <c r="J222" i="1"/>
  <c r="D249" i="1"/>
  <c r="G249" i="1" s="1"/>
  <c r="BG250" i="12"/>
  <c r="AE51" i="12"/>
  <c r="AF51" i="12" s="1"/>
  <c r="G73" i="1"/>
  <c r="H258" i="8"/>
  <c r="C258" i="8" s="1"/>
  <c r="F229" i="8"/>
  <c r="C229" i="8" s="1"/>
  <c r="H250" i="12"/>
  <c r="M84" i="12"/>
  <c r="N84" i="12" s="1"/>
  <c r="U64" i="12"/>
  <c r="V64" i="12" s="1"/>
  <c r="S91" i="12"/>
  <c r="T91" i="12" s="1"/>
  <c r="K220" i="12"/>
  <c r="J49" i="1"/>
  <c r="BC247" i="12"/>
  <c r="BE84" i="12"/>
  <c r="G119" i="1"/>
  <c r="J142" i="1"/>
  <c r="S247" i="12"/>
  <c r="T247" i="12" s="1"/>
  <c r="BM84" i="12"/>
  <c r="I86" i="1" s="1"/>
  <c r="W64" i="12"/>
  <c r="X64" i="12" s="1"/>
  <c r="Y91" i="12"/>
  <c r="Z91" i="12" s="1"/>
  <c r="L220" i="12"/>
  <c r="M132" i="12"/>
  <c r="N132" i="12" s="1"/>
  <c r="BC84" i="12"/>
  <c r="AA51" i="12"/>
  <c r="AB51" i="12" s="1"/>
  <c r="F195" i="12"/>
  <c r="O247" i="12"/>
  <c r="P247" i="12" s="1"/>
  <c r="J334" i="8"/>
  <c r="C334" i="8" s="1"/>
  <c r="D333" i="12" s="1"/>
  <c r="F250" i="12"/>
  <c r="BC64" i="12"/>
  <c r="H247" i="12"/>
  <c r="Q247" i="12"/>
  <c r="R247" i="12" s="1"/>
  <c r="AL84" i="12"/>
  <c r="J289" i="8"/>
  <c r="C289" i="8" s="1"/>
  <c r="D288" i="12" s="1"/>
  <c r="O250" i="12"/>
  <c r="P250" i="12" s="1"/>
  <c r="BE170" i="12"/>
  <c r="D322" i="1"/>
  <c r="J322" i="1" s="1"/>
  <c r="AE84" i="12"/>
  <c r="AF84" i="12" s="1"/>
  <c r="M91" i="12"/>
  <c r="N91" i="12" s="1"/>
  <c r="W220" i="12"/>
  <c r="X220" i="12" s="1"/>
  <c r="BG132" i="12"/>
  <c r="U132" i="12"/>
  <c r="V132" i="12" s="1"/>
  <c r="BC63" i="12"/>
  <c r="AY51" i="12"/>
  <c r="BC51" i="12"/>
  <c r="M247" i="12"/>
  <c r="N247" i="12" s="1"/>
  <c r="K64" i="12"/>
  <c r="AE250" i="12"/>
  <c r="AF250" i="12" s="1"/>
  <c r="BO250" i="12"/>
  <c r="BI84" i="12"/>
  <c r="I77" i="1"/>
  <c r="AW195" i="12"/>
  <c r="F247" i="12"/>
  <c r="BA84" i="12"/>
  <c r="J127" i="1"/>
  <c r="O91" i="12"/>
  <c r="P91" i="12" s="1"/>
  <c r="Y220" i="12"/>
  <c r="Z220" i="12" s="1"/>
  <c r="BG86" i="12"/>
  <c r="AY91" i="12"/>
  <c r="BC91" i="12"/>
  <c r="Y51" i="12"/>
  <c r="Z51" i="12" s="1"/>
  <c r="Q51" i="12"/>
  <c r="R51" i="12" s="1"/>
  <c r="I251" i="12"/>
  <c r="AA251" i="12"/>
  <c r="AB251" i="12" s="1"/>
  <c r="BC251" i="12"/>
  <c r="BE251" i="12"/>
  <c r="J251" i="12"/>
  <c r="BK251" i="12"/>
  <c r="BI251" i="12"/>
  <c r="O251" i="12"/>
  <c r="P251" i="12" s="1"/>
  <c r="S251" i="12"/>
  <c r="T251" i="12" s="1"/>
  <c r="H251" i="12"/>
  <c r="BA251" i="12"/>
  <c r="AC251" i="12"/>
  <c r="AD251" i="12" s="1"/>
  <c r="K251" i="12"/>
  <c r="H277" i="8"/>
  <c r="C277" i="8" s="1"/>
  <c r="D276" i="12" s="1"/>
  <c r="M276" i="12" s="1"/>
  <c r="N276" i="12" s="1"/>
  <c r="N344" i="8"/>
  <c r="C344" i="8" s="1"/>
  <c r="D343" i="12" s="1"/>
  <c r="N305" i="8"/>
  <c r="C305" i="8" s="1"/>
  <c r="D304" i="12" s="1"/>
  <c r="U304" i="12" s="1"/>
  <c r="V304" i="12" s="1"/>
  <c r="D253" i="1"/>
  <c r="J253" i="1" s="1"/>
  <c r="BC193" i="12"/>
  <c r="D333" i="1"/>
  <c r="G333" i="1" s="1"/>
  <c r="I94" i="12"/>
  <c r="S193" i="12"/>
  <c r="T193" i="12" s="1"/>
  <c r="BK162" i="12"/>
  <c r="I151" i="12"/>
  <c r="J179" i="1"/>
  <c r="F94" i="12"/>
  <c r="AA94" i="12"/>
  <c r="AB94" i="12" s="1"/>
  <c r="J89" i="1"/>
  <c r="W193" i="12"/>
  <c r="X193" i="12" s="1"/>
  <c r="H162" i="12"/>
  <c r="J287" i="8"/>
  <c r="C287" i="8" s="1"/>
  <c r="D286" i="12" s="1"/>
  <c r="M286" i="12" s="1"/>
  <c r="N286" i="12" s="1"/>
  <c r="AW174" i="12"/>
  <c r="BE174" i="12"/>
  <c r="H82" i="12"/>
  <c r="H187" i="12"/>
  <c r="AE94" i="12"/>
  <c r="AF94" i="12" s="1"/>
  <c r="J94" i="12"/>
  <c r="I223" i="12"/>
  <c r="J331" i="8"/>
  <c r="C331" i="8" s="1"/>
  <c r="D332" i="1" s="1"/>
  <c r="K141" i="12"/>
  <c r="W141" i="12"/>
  <c r="X141" i="12" s="1"/>
  <c r="BO243" i="12"/>
  <c r="I132" i="1"/>
  <c r="F174" i="12"/>
  <c r="AL82" i="12"/>
  <c r="J52" i="1"/>
  <c r="S165" i="12"/>
  <c r="T165" i="12" s="1"/>
  <c r="AW165" i="12"/>
  <c r="BM94" i="12"/>
  <c r="I96" i="1" s="1"/>
  <c r="H324" i="8"/>
  <c r="C324" i="8" s="1"/>
  <c r="D325" i="1" s="1"/>
  <c r="J325" i="1" s="1"/>
  <c r="AY94" i="12"/>
  <c r="G77" i="1"/>
  <c r="H319" i="8"/>
  <c r="C319" i="8" s="1"/>
  <c r="D318" i="12" s="1"/>
  <c r="Y318" i="12" s="1"/>
  <c r="Z318" i="12" s="1"/>
  <c r="BG195" i="12"/>
  <c r="AL195" i="12"/>
  <c r="K82" i="12"/>
  <c r="BO195" i="12"/>
  <c r="Q94" i="12"/>
  <c r="R94" i="12" s="1"/>
  <c r="H318" i="8"/>
  <c r="C318" i="8" s="1"/>
  <c r="D317" i="12" s="1"/>
  <c r="BG82" i="12"/>
  <c r="M141" i="12"/>
  <c r="N141" i="12" s="1"/>
  <c r="BC174" i="12"/>
  <c r="BO174" i="12"/>
  <c r="BK82" i="12"/>
  <c r="BC94" i="12"/>
  <c r="S94" i="12"/>
  <c r="T94" i="12" s="1"/>
  <c r="O94" i="12"/>
  <c r="P94" i="12" s="1"/>
  <c r="J165" i="1"/>
  <c r="AY162" i="12"/>
  <c r="AE195" i="12"/>
  <c r="AF195" i="12" s="1"/>
  <c r="BA174" i="12"/>
  <c r="W174" i="12"/>
  <c r="X174" i="12" s="1"/>
  <c r="G191" i="1"/>
  <c r="D256" i="1"/>
  <c r="G256" i="1" s="1"/>
  <c r="AA195" i="12"/>
  <c r="AB195" i="12" s="1"/>
  <c r="W94" i="12"/>
  <c r="X94" i="12" s="1"/>
  <c r="AY82" i="12"/>
  <c r="D317" i="1"/>
  <c r="G317" i="1" s="1"/>
  <c r="G157" i="1"/>
  <c r="AE141" i="12"/>
  <c r="AF141" i="12" s="1"/>
  <c r="BO64" i="12"/>
  <c r="J114" i="1"/>
  <c r="G187" i="1"/>
  <c r="D255" i="1"/>
  <c r="G255" i="1" s="1"/>
  <c r="H269" i="8"/>
  <c r="C269" i="8" s="1"/>
  <c r="D268" i="12" s="1"/>
  <c r="H91" i="12"/>
  <c r="G61" i="1"/>
  <c r="BE94" i="12"/>
  <c r="O174" i="12"/>
  <c r="P174" i="12" s="1"/>
  <c r="J174" i="12"/>
  <c r="H165" i="12"/>
  <c r="Q165" i="12"/>
  <c r="R165" i="12" s="1"/>
  <c r="BA86" i="12"/>
  <c r="Q162" i="12"/>
  <c r="R162" i="12" s="1"/>
  <c r="BI141" i="12"/>
  <c r="M94" i="12"/>
  <c r="N94" i="12" s="1"/>
  <c r="F5" i="2"/>
  <c r="BI94" i="12"/>
  <c r="P312" i="8"/>
  <c r="C312" i="8" s="1"/>
  <c r="D311" i="12" s="1"/>
  <c r="J53" i="1"/>
  <c r="L340" i="8"/>
  <c r="C340" i="8" s="1"/>
  <c r="D339" i="12" s="1"/>
  <c r="Y339" i="12" s="1"/>
  <c r="Z339" i="12" s="1"/>
  <c r="AC94" i="12"/>
  <c r="AD94" i="12" s="1"/>
  <c r="H323" i="8"/>
  <c r="C323" i="8" s="1"/>
  <c r="D322" i="12" s="1"/>
  <c r="H263" i="8"/>
  <c r="C263" i="8" s="1"/>
  <c r="D264" i="1" s="1"/>
  <c r="G264" i="1" s="1"/>
  <c r="L339" i="8"/>
  <c r="C339" i="8" s="1"/>
  <c r="D338" i="12" s="1"/>
  <c r="D244" i="1"/>
  <c r="J244" i="1" s="1"/>
  <c r="J195" i="12"/>
  <c r="BO94" i="12"/>
  <c r="F234" i="8"/>
  <c r="C234" i="8" s="1"/>
  <c r="D233" i="12" s="1"/>
  <c r="AE233" i="12" s="1"/>
  <c r="AF233" i="12" s="1"/>
  <c r="O82" i="12"/>
  <c r="P82" i="12" s="1"/>
  <c r="U94" i="12"/>
  <c r="V94" i="12" s="1"/>
  <c r="M174" i="12"/>
  <c r="N174" i="12" s="1"/>
  <c r="BO82" i="12"/>
  <c r="Q82" i="12"/>
  <c r="R82" i="12" s="1"/>
  <c r="J95" i="1"/>
  <c r="L195" i="12"/>
  <c r="H94" i="12"/>
  <c r="O141" i="12"/>
  <c r="P141" i="12" s="1"/>
  <c r="K193" i="12"/>
  <c r="AA64" i="12"/>
  <c r="AB64" i="12" s="1"/>
  <c r="F91" i="12"/>
  <c r="H220" i="12"/>
  <c r="BG174" i="12"/>
  <c r="Q174" i="12"/>
  <c r="R174" i="12" s="1"/>
  <c r="F165" i="12"/>
  <c r="BG220" i="12"/>
  <c r="S162" i="12"/>
  <c r="T162" i="12" s="1"/>
  <c r="L297" i="8"/>
  <c r="C297" i="8" s="1"/>
  <c r="D298" i="1" s="1"/>
  <c r="G298" i="1" s="1"/>
  <c r="AC165" i="12"/>
  <c r="AD165" i="12" s="1"/>
  <c r="G221" i="1"/>
  <c r="H262" i="8"/>
  <c r="C262" i="8" s="1"/>
  <c r="D261" i="12" s="1"/>
  <c r="S82" i="12"/>
  <c r="T82" i="12" s="1"/>
  <c r="Y94" i="12"/>
  <c r="Z94" i="12" s="1"/>
  <c r="L193" i="12"/>
  <c r="BI174" i="12"/>
  <c r="I55" i="1"/>
  <c r="K174" i="12"/>
  <c r="W90" i="12"/>
  <c r="X90" i="12" s="1"/>
  <c r="I162" i="12"/>
  <c r="AA123" i="12"/>
  <c r="AB123" i="12" s="1"/>
  <c r="AL162" i="12"/>
  <c r="BE223" i="12"/>
  <c r="M85" i="12"/>
  <c r="N85" i="12" s="1"/>
  <c r="I179" i="1"/>
  <c r="M195" i="12"/>
  <c r="N195" i="12" s="1"/>
  <c r="BM129" i="12"/>
  <c r="I131" i="1" s="1"/>
  <c r="K223" i="12"/>
  <c r="L251" i="12"/>
  <c r="M68" i="12"/>
  <c r="N68" i="12" s="1"/>
  <c r="BG67" i="12"/>
  <c r="Q67" i="12"/>
  <c r="R67" i="12" s="1"/>
  <c r="H193" i="12"/>
  <c r="F64" i="12"/>
  <c r="O64" i="12"/>
  <c r="P64" i="12" s="1"/>
  <c r="S243" i="12"/>
  <c r="T243" i="12" s="1"/>
  <c r="F220" i="12"/>
  <c r="AL47" i="12"/>
  <c r="AL81" i="12"/>
  <c r="Y47" i="12"/>
  <c r="Z47" i="12" s="1"/>
  <c r="AW193" i="12"/>
  <c r="BG123" i="12"/>
  <c r="BM162" i="12"/>
  <c r="I164" i="1" s="1"/>
  <c r="J162" i="12"/>
  <c r="G79" i="1"/>
  <c r="J79" i="1"/>
  <c r="BI223" i="12"/>
  <c r="BC243" i="12"/>
  <c r="AC85" i="12"/>
  <c r="AD85" i="12" s="1"/>
  <c r="J223" i="12"/>
  <c r="BI193" i="12"/>
  <c r="J161" i="1"/>
  <c r="BK193" i="12"/>
  <c r="AL85" i="12"/>
  <c r="H67" i="12"/>
  <c r="S67" i="12"/>
  <c r="T67" i="12" s="1"/>
  <c r="I193" i="12"/>
  <c r="H64" i="12"/>
  <c r="AE64" i="12"/>
  <c r="AF64" i="12" s="1"/>
  <c r="F243" i="12"/>
  <c r="AE220" i="12"/>
  <c r="AF220" i="12" s="1"/>
  <c r="H47" i="12"/>
  <c r="J47" i="12"/>
  <c r="AL193" i="12"/>
  <c r="AC123" i="12"/>
  <c r="AD123" i="12" s="1"/>
  <c r="W162" i="12"/>
  <c r="X162" i="12" s="1"/>
  <c r="BI129" i="12"/>
  <c r="AL223" i="12"/>
  <c r="K85" i="12"/>
  <c r="AA223" i="12"/>
  <c r="AB223" i="12" s="1"/>
  <c r="BA223" i="12"/>
  <c r="AC68" i="12"/>
  <c r="AD68" i="12" s="1"/>
  <c r="Y193" i="12"/>
  <c r="Z193" i="12" s="1"/>
  <c r="AA47" i="12"/>
  <c r="AB47" i="12" s="1"/>
  <c r="AC223" i="12"/>
  <c r="AD223" i="12" s="1"/>
  <c r="H81" i="12"/>
  <c r="Q85" i="12"/>
  <c r="R85" i="12" s="1"/>
  <c r="G88" i="1"/>
  <c r="G139" i="1"/>
  <c r="J227" i="1"/>
  <c r="D251" i="1"/>
  <c r="J251" i="1" s="1"/>
  <c r="O195" i="12"/>
  <c r="P195" i="12" s="1"/>
  <c r="BO129" i="12"/>
  <c r="L223" i="12"/>
  <c r="AE251" i="12"/>
  <c r="AF251" i="12" s="1"/>
  <c r="BO68" i="12"/>
  <c r="F67" i="12"/>
  <c r="BM67" i="12"/>
  <c r="I69" i="1" s="1"/>
  <c r="F193" i="12"/>
  <c r="AA193" i="12"/>
  <c r="AB193" i="12" s="1"/>
  <c r="I64" i="12"/>
  <c r="O243" i="12"/>
  <c r="P243" i="12" s="1"/>
  <c r="W243" i="12"/>
  <c r="X243" i="12" s="1"/>
  <c r="G66" i="1"/>
  <c r="E18" i="2"/>
  <c r="I18" i="2" s="1"/>
  <c r="I21" i="2" s="1"/>
  <c r="C21" i="2" s="1"/>
  <c r="C31" i="2" s="1"/>
  <c r="N12" i="1" s="1"/>
  <c r="O220" i="12"/>
  <c r="P220" i="12" s="1"/>
  <c r="BE129" i="12"/>
  <c r="H123" i="12"/>
  <c r="I47" i="12"/>
  <c r="K123" i="12"/>
  <c r="BA94" i="12"/>
  <c r="K162" i="12"/>
  <c r="BM91" i="12"/>
  <c r="I93" i="1" s="1"/>
  <c r="AW91" i="12"/>
  <c r="P313" i="8"/>
  <c r="C313" i="8" s="1"/>
  <c r="BK47" i="12"/>
  <c r="BI47" i="12"/>
  <c r="BG85" i="12"/>
  <c r="AE243" i="12"/>
  <c r="AF243" i="12" s="1"/>
  <c r="AW47" i="12"/>
  <c r="W47" i="12"/>
  <c r="X47" i="12" s="1"/>
  <c r="M129" i="12"/>
  <c r="N129" i="12" s="1"/>
  <c r="Q243" i="12"/>
  <c r="R243" i="12" s="1"/>
  <c r="BO85" i="12"/>
  <c r="O129" i="12"/>
  <c r="P129" i="12" s="1"/>
  <c r="BM68" i="12"/>
  <c r="I70" i="1" s="1"/>
  <c r="S81" i="12"/>
  <c r="T81" i="12" s="1"/>
  <c r="W85" i="12"/>
  <c r="X85" i="12" s="1"/>
  <c r="K195" i="12"/>
  <c r="Q129" i="12"/>
  <c r="R129" i="12" s="1"/>
  <c r="AE223" i="12"/>
  <c r="AF223" i="12" s="1"/>
  <c r="F251" i="12"/>
  <c r="M251" i="12"/>
  <c r="N251" i="12" s="1"/>
  <c r="Q68" i="12"/>
  <c r="R68" i="12" s="1"/>
  <c r="U67" i="12"/>
  <c r="V67" i="12" s="1"/>
  <c r="Q193" i="12"/>
  <c r="R193" i="12" s="1"/>
  <c r="U193" i="12"/>
  <c r="V193" i="12" s="1"/>
  <c r="J64" i="12"/>
  <c r="L243" i="12"/>
  <c r="U243" i="12"/>
  <c r="V243" i="12" s="1"/>
  <c r="U220" i="12"/>
  <c r="V220" i="12" s="1"/>
  <c r="AL68" i="12"/>
  <c r="F123" i="12"/>
  <c r="S47" i="12"/>
  <c r="T47" i="12" s="1"/>
  <c r="O162" i="12"/>
  <c r="P162" i="12" s="1"/>
  <c r="F162" i="12"/>
  <c r="BG243" i="12"/>
  <c r="AY47" i="12"/>
  <c r="BA243" i="12"/>
  <c r="BK67" i="12"/>
  <c r="BA47" i="12"/>
  <c r="H261" i="8"/>
  <c r="C261" i="8" s="1"/>
  <c r="J337" i="8"/>
  <c r="C337" i="8" s="1"/>
  <c r="F232" i="8"/>
  <c r="C232" i="8" s="1"/>
  <c r="H317" i="8"/>
  <c r="C317" i="8" s="1"/>
  <c r="L338" i="8"/>
  <c r="C338" i="8" s="1"/>
  <c r="N348" i="8"/>
  <c r="C348" i="8" s="1"/>
  <c r="J330" i="8"/>
  <c r="C330" i="8" s="1"/>
  <c r="J285" i="8"/>
  <c r="C285" i="8" s="1"/>
  <c r="N343" i="8"/>
  <c r="C343" i="8" s="1"/>
  <c r="P311" i="8"/>
  <c r="C311" i="8" s="1"/>
  <c r="P350" i="8"/>
  <c r="C350" i="8" s="1"/>
  <c r="H322" i="8"/>
  <c r="C322" i="8" s="1"/>
  <c r="H275" i="8"/>
  <c r="C275" i="8" s="1"/>
  <c r="N303" i="8"/>
  <c r="C303" i="8" s="1"/>
  <c r="L295" i="8"/>
  <c r="C295" i="8" s="1"/>
  <c r="O223" i="12"/>
  <c r="P223" i="12" s="1"/>
  <c r="AY193" i="12"/>
  <c r="M81" i="12"/>
  <c r="N81" i="12" s="1"/>
  <c r="L129" i="12"/>
  <c r="H223" i="12"/>
  <c r="BO223" i="12"/>
  <c r="BO251" i="12"/>
  <c r="J78" i="12"/>
  <c r="D257" i="1"/>
  <c r="J257" i="1" s="1"/>
  <c r="J67" i="12"/>
  <c r="BO193" i="12"/>
  <c r="L64" i="12"/>
  <c r="K243" i="12"/>
  <c r="L291" i="8"/>
  <c r="C291" i="8" s="1"/>
  <c r="D290" i="12" s="1"/>
  <c r="AA220" i="12"/>
  <c r="AB220" i="12" s="1"/>
  <c r="L47" i="12"/>
  <c r="BG94" i="12"/>
  <c r="U162" i="12"/>
  <c r="V162" i="12" s="1"/>
  <c r="BG162" i="12"/>
  <c r="AC162" i="12"/>
  <c r="AD162" i="12" s="1"/>
  <c r="AE162" i="12"/>
  <c r="AF162" i="12" s="1"/>
  <c r="M162" i="12"/>
  <c r="N162" i="12" s="1"/>
  <c r="L162" i="12"/>
  <c r="AW251" i="12"/>
  <c r="BK243" i="12"/>
  <c r="AA67" i="12"/>
  <c r="AB67" i="12" s="1"/>
  <c r="AC193" i="12"/>
  <c r="AD193" i="12" s="1"/>
  <c r="AC64" i="12"/>
  <c r="AD64" i="12" s="1"/>
  <c r="M243" i="12"/>
  <c r="N243" i="12" s="1"/>
  <c r="BO220" i="12"/>
  <c r="U123" i="12"/>
  <c r="V123" i="12" s="1"/>
  <c r="AE47" i="12"/>
  <c r="AF47" i="12" s="1"/>
  <c r="BE123" i="12"/>
  <c r="AL94" i="12"/>
  <c r="BA162" i="12"/>
  <c r="I170" i="1"/>
  <c r="BI123" i="12"/>
  <c r="BA68" i="12"/>
  <c r="G223" i="1"/>
  <c r="AA129" i="12"/>
  <c r="AB129" i="12" s="1"/>
  <c r="Q223" i="12"/>
  <c r="R223" i="12" s="1"/>
  <c r="D350" i="1"/>
  <c r="J350" i="1" s="1"/>
  <c r="S223" i="12"/>
  <c r="T223" i="12" s="1"/>
  <c r="J184" i="1"/>
  <c r="BM193" i="12"/>
  <c r="I195" i="1" s="1"/>
  <c r="BE162" i="12"/>
  <c r="F85" i="12"/>
  <c r="BC67" i="12"/>
  <c r="AL64" i="12"/>
  <c r="BK195" i="12"/>
  <c r="S195" i="12"/>
  <c r="T195" i="12" s="1"/>
  <c r="BE64" i="12"/>
  <c r="BM81" i="12"/>
  <c r="I83" i="1" s="1"/>
  <c r="H85" i="12"/>
  <c r="I94" i="1"/>
  <c r="G141" i="1"/>
  <c r="BE243" i="12"/>
  <c r="D302" i="1"/>
  <c r="G302" i="1" s="1"/>
  <c r="F223" i="12"/>
  <c r="U81" i="12"/>
  <c r="V81" i="12" s="1"/>
  <c r="I85" i="12"/>
  <c r="D328" i="12"/>
  <c r="G173" i="1"/>
  <c r="W195" i="12"/>
  <c r="X195" i="12" s="1"/>
  <c r="AE129" i="12"/>
  <c r="AF129" i="12" s="1"/>
  <c r="U223" i="12"/>
  <c r="V223" i="12" s="1"/>
  <c r="W251" i="12"/>
  <c r="X251" i="12" s="1"/>
  <c r="F233" i="8"/>
  <c r="C233" i="8" s="1"/>
  <c r="D232" i="12" s="1"/>
  <c r="BA193" i="12"/>
  <c r="D283" i="1"/>
  <c r="G283" i="1" s="1"/>
  <c r="BG193" i="12"/>
  <c r="O58" i="12"/>
  <c r="P58" i="12" s="1"/>
  <c r="L67" i="12"/>
  <c r="AE193" i="12"/>
  <c r="AF193" i="12" s="1"/>
  <c r="BM64" i="12"/>
  <c r="I66" i="1" s="1"/>
  <c r="Y243" i="12"/>
  <c r="Z243" i="12" s="1"/>
  <c r="G163" i="1"/>
  <c r="W91" i="12"/>
  <c r="X91" i="12" s="1"/>
  <c r="BG47" i="12"/>
  <c r="Q220" i="12"/>
  <c r="R220" i="12" s="1"/>
  <c r="I132" i="12"/>
  <c r="M47" i="12"/>
  <c r="N47" i="12" s="1"/>
  <c r="BK223" i="12"/>
  <c r="U90" i="12"/>
  <c r="V90" i="12" s="1"/>
  <c r="AW123" i="12"/>
  <c r="BK94" i="12"/>
  <c r="BO162" i="12"/>
  <c r="W123" i="12"/>
  <c r="X123" i="12" s="1"/>
  <c r="BE47" i="12"/>
  <c r="H243" i="12"/>
  <c r="S123" i="12"/>
  <c r="T123" i="12" s="1"/>
  <c r="D245" i="1"/>
  <c r="M193" i="12"/>
  <c r="N193" i="12" s="1"/>
  <c r="G220" i="1"/>
  <c r="BO47" i="12"/>
  <c r="AW162" i="12"/>
  <c r="BI162" i="12"/>
  <c r="BO81" i="12"/>
  <c r="K129" i="12"/>
  <c r="BA195" i="12"/>
  <c r="U195" i="12"/>
  <c r="V195" i="12" s="1"/>
  <c r="AC129" i="12"/>
  <c r="AD129" i="12" s="1"/>
  <c r="U251" i="12"/>
  <c r="V251" i="12" s="1"/>
  <c r="F81" i="12"/>
  <c r="J85" i="12"/>
  <c r="AY195" i="12"/>
  <c r="Y195" i="12"/>
  <c r="Z195" i="12" s="1"/>
  <c r="F129" i="12"/>
  <c r="S129" i="12"/>
  <c r="T129" i="12" s="1"/>
  <c r="W223" i="12"/>
  <c r="X223" i="12" s="1"/>
  <c r="Y251" i="12"/>
  <c r="Z251" i="12" s="1"/>
  <c r="D273" i="1"/>
  <c r="G273" i="1" s="1"/>
  <c r="BM58" i="12"/>
  <c r="I60" i="1" s="1"/>
  <c r="AC67" i="12"/>
  <c r="AD67" i="12" s="1"/>
  <c r="J193" i="12"/>
  <c r="J129" i="1"/>
  <c r="M64" i="12"/>
  <c r="N64" i="12" s="1"/>
  <c r="AA243" i="12"/>
  <c r="AB243" i="12" s="1"/>
  <c r="J91" i="12"/>
  <c r="S220" i="12"/>
  <c r="T220" i="12" s="1"/>
  <c r="AY251" i="12"/>
  <c r="J132" i="12"/>
  <c r="Q47" i="12"/>
  <c r="R47" i="12" s="1"/>
  <c r="BG223" i="12"/>
  <c r="AE90" i="12"/>
  <c r="AF90" i="12" s="1"/>
  <c r="BG251" i="12"/>
  <c r="BK123" i="12"/>
  <c r="AE123" i="12"/>
  <c r="AF123" i="12" s="1"/>
  <c r="BC220" i="12"/>
  <c r="AW220" i="12"/>
  <c r="Y162" i="12"/>
  <c r="Z162" i="12" s="1"/>
  <c r="AC47" i="12"/>
  <c r="AD47" i="12" s="1"/>
  <c r="BC47" i="12"/>
  <c r="F47" i="12"/>
  <c r="L81" i="12"/>
  <c r="I243" i="12"/>
  <c r="Q251" i="12"/>
  <c r="R251" i="12" s="1"/>
  <c r="AW243" i="12"/>
  <c r="I67" i="12"/>
  <c r="J243" i="12"/>
  <c r="K47" i="12"/>
  <c r="D243" i="1"/>
  <c r="D241" i="12"/>
  <c r="I81" i="12"/>
  <c r="Y85" i="12"/>
  <c r="Z85" i="12" s="1"/>
  <c r="I195" i="12"/>
  <c r="Y223" i="12"/>
  <c r="Z223" i="12" s="1"/>
  <c r="BA67" i="12"/>
  <c r="M67" i="12"/>
  <c r="N67" i="12" s="1"/>
  <c r="O193" i="12"/>
  <c r="P193" i="12" s="1"/>
  <c r="AC243" i="12"/>
  <c r="AD243" i="12" s="1"/>
  <c r="M220" i="12"/>
  <c r="N220" i="12" s="1"/>
  <c r="O47" i="12"/>
  <c r="P47" i="12" s="1"/>
  <c r="AW223" i="12"/>
  <c r="AA90" i="12"/>
  <c r="AB90" i="12" s="1"/>
  <c r="AA162" i="12"/>
  <c r="AB162" i="12" s="1"/>
  <c r="AY243" i="12"/>
  <c r="D271" i="1"/>
  <c r="G271" i="1" s="1"/>
  <c r="D269" i="12"/>
  <c r="BM269" i="12" s="1"/>
  <c r="I271" i="1" s="1"/>
  <c r="J154" i="1"/>
  <c r="G154" i="1"/>
  <c r="Q170" i="12"/>
  <c r="R170" i="12" s="1"/>
  <c r="F170" i="12"/>
  <c r="S170" i="12"/>
  <c r="T170" i="12" s="1"/>
  <c r="D285" i="1"/>
  <c r="G285" i="1" s="1"/>
  <c r="H170" i="12"/>
  <c r="J170" i="12"/>
  <c r="BC85" i="12"/>
  <c r="O132" i="12"/>
  <c r="P132" i="12" s="1"/>
  <c r="L90" i="12"/>
  <c r="BG166" i="12"/>
  <c r="AW166" i="12"/>
  <c r="BE166" i="12"/>
  <c r="AL166" i="12"/>
  <c r="AY166" i="12"/>
  <c r="J138" i="1"/>
  <c r="U86" i="12"/>
  <c r="V86" i="12" s="1"/>
  <c r="F166" i="12"/>
  <c r="BK88" i="12"/>
  <c r="K166" i="12"/>
  <c r="S85" i="12"/>
  <c r="T85" i="12" s="1"/>
  <c r="K170" i="12"/>
  <c r="AC90" i="12"/>
  <c r="AD90" i="12" s="1"/>
  <c r="G215" i="1"/>
  <c r="J215" i="1"/>
  <c r="AE166" i="12"/>
  <c r="AF166" i="12" s="1"/>
  <c r="BC88" i="12"/>
  <c r="BC166" i="12"/>
  <c r="K90" i="12"/>
  <c r="F86" i="12"/>
  <c r="W86" i="12"/>
  <c r="X86" i="12" s="1"/>
  <c r="W81" i="12"/>
  <c r="X81" i="12" s="1"/>
  <c r="L166" i="12"/>
  <c r="U85" i="12"/>
  <c r="V85" i="12" s="1"/>
  <c r="BI88" i="12"/>
  <c r="U170" i="12"/>
  <c r="V170" i="12" s="1"/>
  <c r="BA166" i="12"/>
  <c r="F227" i="8"/>
  <c r="C227" i="8" s="1"/>
  <c r="D226" i="12" s="1"/>
  <c r="S226" i="12" s="1"/>
  <c r="T226" i="12" s="1"/>
  <c r="Q90" i="12"/>
  <c r="R90" i="12" s="1"/>
  <c r="J92" i="1"/>
  <c r="AL123" i="12"/>
  <c r="Q123" i="12"/>
  <c r="R123" i="12" s="1"/>
  <c r="AY123" i="12"/>
  <c r="I123" i="12"/>
  <c r="BM123" i="12"/>
  <c r="I125" i="1" s="1"/>
  <c r="BC123" i="12"/>
  <c r="M123" i="12"/>
  <c r="N123" i="12" s="1"/>
  <c r="L123" i="12"/>
  <c r="O123" i="12"/>
  <c r="P123" i="12" s="1"/>
  <c r="Y123" i="12"/>
  <c r="Z123" i="12" s="1"/>
  <c r="W170" i="12"/>
  <c r="X170" i="12" s="1"/>
  <c r="BG170" i="12"/>
  <c r="AW170" i="12"/>
  <c r="O88" i="12"/>
  <c r="P88" i="12" s="1"/>
  <c r="I170" i="12"/>
  <c r="BM63" i="12"/>
  <c r="I65" i="1" s="1"/>
  <c r="H283" i="8"/>
  <c r="C283" i="8" s="1"/>
  <c r="BI170" i="12"/>
  <c r="L86" i="12"/>
  <c r="O81" i="12"/>
  <c r="P81" i="12" s="1"/>
  <c r="BO166" i="12"/>
  <c r="L85" i="12"/>
  <c r="Q88" i="12"/>
  <c r="R88" i="12" s="1"/>
  <c r="Y176" i="12"/>
  <c r="Z176" i="12" s="1"/>
  <c r="G213" i="1"/>
  <c r="AA170" i="12"/>
  <c r="AB170" i="12" s="1"/>
  <c r="G181" i="1"/>
  <c r="BA63" i="12"/>
  <c r="BG81" i="12"/>
  <c r="BA170" i="12"/>
  <c r="BM166" i="12"/>
  <c r="I168" i="1" s="1"/>
  <c r="AC86" i="12"/>
  <c r="AD86" i="12" s="1"/>
  <c r="Q166" i="12"/>
  <c r="R166" i="12" s="1"/>
  <c r="BO88" i="12"/>
  <c r="AC176" i="12"/>
  <c r="AD176" i="12" s="1"/>
  <c r="L170" i="12"/>
  <c r="I114" i="1"/>
  <c r="AY170" i="12"/>
  <c r="AY63" i="12"/>
  <c r="BI176" i="12"/>
  <c r="BI85" i="12"/>
  <c r="AL170" i="12"/>
  <c r="BO170" i="12"/>
  <c r="BG88" i="12"/>
  <c r="D275" i="1"/>
  <c r="J275" i="1" s="1"/>
  <c r="AA86" i="12"/>
  <c r="AB86" i="12" s="1"/>
  <c r="O166" i="12"/>
  <c r="P166" i="12" s="1"/>
  <c r="W88" i="12"/>
  <c r="X88" i="12" s="1"/>
  <c r="O63" i="12"/>
  <c r="P63" i="12" s="1"/>
  <c r="AA81" i="12"/>
  <c r="AB81" i="12" s="1"/>
  <c r="U166" i="12"/>
  <c r="V166" i="12" s="1"/>
  <c r="I127" i="1"/>
  <c r="C12" i="7"/>
  <c r="S88" i="12"/>
  <c r="T88" i="12" s="1"/>
  <c r="AA176" i="12"/>
  <c r="AB176" i="12" s="1"/>
  <c r="M170" i="12"/>
  <c r="N170" i="12" s="1"/>
  <c r="AC132" i="12"/>
  <c r="AD132" i="12" s="1"/>
  <c r="AW81" i="12"/>
  <c r="L63" i="12"/>
  <c r="BI90" i="12"/>
  <c r="J170" i="1"/>
  <c r="BG129" i="12"/>
  <c r="AY129" i="12"/>
  <c r="H129" i="12"/>
  <c r="BK129" i="12"/>
  <c r="AW129" i="12"/>
  <c r="AL129" i="12"/>
  <c r="BC129" i="12"/>
  <c r="BA129" i="12"/>
  <c r="J209" i="1"/>
  <c r="BK170" i="12"/>
  <c r="H166" i="12"/>
  <c r="S166" i="12"/>
  <c r="T166" i="12" s="1"/>
  <c r="BC176" i="12"/>
  <c r="BC170" i="12"/>
  <c r="I166" i="12"/>
  <c r="BM85" i="12"/>
  <c r="I87" i="1" s="1"/>
  <c r="AE81" i="12"/>
  <c r="AF81" i="12" s="1"/>
  <c r="J166" i="12"/>
  <c r="AE85" i="12"/>
  <c r="AF85" i="12" s="1"/>
  <c r="G210" i="1"/>
  <c r="AL88" i="12"/>
  <c r="I88" i="12"/>
  <c r="L176" i="12"/>
  <c r="BM170" i="12"/>
  <c r="I172" i="1" s="1"/>
  <c r="F132" i="12"/>
  <c r="Y63" i="12"/>
  <c r="Z63" i="12" s="1"/>
  <c r="BG90" i="12"/>
  <c r="J86" i="12"/>
  <c r="Y170" i="12"/>
  <c r="Z170" i="12" s="1"/>
  <c r="K176" i="12"/>
  <c r="AC170" i="12"/>
  <c r="AD170" i="12" s="1"/>
  <c r="M166" i="12"/>
  <c r="N166" i="12" s="1"/>
  <c r="BI166" i="12"/>
  <c r="BA88" i="12"/>
  <c r="J88" i="12"/>
  <c r="Q176" i="12"/>
  <c r="R176" i="12" s="1"/>
  <c r="BE86" i="12"/>
  <c r="AE132" i="12"/>
  <c r="AF132" i="12" s="1"/>
  <c r="BC90" i="12"/>
  <c r="Y151" i="12"/>
  <c r="Z151" i="12" s="1"/>
  <c r="J187" i="12"/>
  <c r="K187" i="12"/>
  <c r="J65" i="1"/>
  <c r="AC63" i="12"/>
  <c r="AD63" i="12" s="1"/>
  <c r="BG176" i="12"/>
  <c r="AC151" i="12"/>
  <c r="AD151" i="12" s="1"/>
  <c r="L187" i="12"/>
  <c r="AA187" i="12"/>
  <c r="AB187" i="12" s="1"/>
  <c r="BK151" i="12"/>
  <c r="AE68" i="12"/>
  <c r="AF68" i="12" s="1"/>
  <c r="U88" i="12"/>
  <c r="V88" i="12" s="1"/>
  <c r="O176" i="12"/>
  <c r="P176" i="12" s="1"/>
  <c r="BC151" i="12"/>
  <c r="Q132" i="12"/>
  <c r="R132" i="12" s="1"/>
  <c r="AA63" i="12"/>
  <c r="AB63" i="12" s="1"/>
  <c r="AL90" i="12"/>
  <c r="BO90" i="12"/>
  <c r="BG178" i="12"/>
  <c r="BA176" i="12"/>
  <c r="BI151" i="12"/>
  <c r="K86" i="12"/>
  <c r="F151" i="12"/>
  <c r="AE187" i="12"/>
  <c r="AF187" i="12" s="1"/>
  <c r="O68" i="12"/>
  <c r="P68" i="12" s="1"/>
  <c r="Y88" i="12"/>
  <c r="Z88" i="12" s="1"/>
  <c r="AE176" i="12"/>
  <c r="AF176" i="12" s="1"/>
  <c r="L132" i="12"/>
  <c r="W63" i="12"/>
  <c r="X63" i="12" s="1"/>
  <c r="AW90" i="12"/>
  <c r="S90" i="12"/>
  <c r="T90" i="12" s="1"/>
  <c r="O187" i="12"/>
  <c r="P187" i="12" s="1"/>
  <c r="D335" i="12"/>
  <c r="M335" i="12" s="1"/>
  <c r="N335" i="12" s="1"/>
  <c r="AW254" i="12"/>
  <c r="BE88" i="12"/>
  <c r="AA132" i="12"/>
  <c r="AB132" i="12" s="1"/>
  <c r="Q63" i="12"/>
  <c r="R63" i="12" s="1"/>
  <c r="Y90" i="12"/>
  <c r="Z90" i="12" s="1"/>
  <c r="AY151" i="12"/>
  <c r="BK86" i="12"/>
  <c r="BA151" i="12"/>
  <c r="BC68" i="12"/>
  <c r="BO187" i="12"/>
  <c r="AY88" i="12"/>
  <c r="AY78" i="12"/>
  <c r="G78" i="1"/>
  <c r="M78" i="12"/>
  <c r="N78" i="12" s="1"/>
  <c r="J68" i="12"/>
  <c r="BM88" i="12"/>
  <c r="I90" i="1" s="1"/>
  <c r="J176" i="12"/>
  <c r="BA132" i="12"/>
  <c r="BO132" i="12"/>
  <c r="BM90" i="12"/>
  <c r="I92" i="1" s="1"/>
  <c r="I82" i="1"/>
  <c r="AW86" i="12"/>
  <c r="BE81" i="12"/>
  <c r="BK81" i="12"/>
  <c r="BA81" i="12"/>
  <c r="AY81" i="12"/>
  <c r="BC81" i="12"/>
  <c r="BI81" i="12"/>
  <c r="J151" i="1"/>
  <c r="G151" i="1"/>
  <c r="L151" i="12"/>
  <c r="BE63" i="12"/>
  <c r="AL63" i="12"/>
  <c r="AW63" i="12"/>
  <c r="W151" i="12"/>
  <c r="X151" i="12" s="1"/>
  <c r="BK187" i="12"/>
  <c r="J151" i="12"/>
  <c r="BG187" i="12"/>
  <c r="L50" i="12"/>
  <c r="BI50" i="12"/>
  <c r="J50" i="12"/>
  <c r="BG50" i="12"/>
  <c r="I50" i="12"/>
  <c r="AA50" i="12"/>
  <c r="AB50" i="12" s="1"/>
  <c r="F50" i="12"/>
  <c r="BC50" i="12"/>
  <c r="S50" i="12"/>
  <c r="T50" i="12" s="1"/>
  <c r="K50" i="12"/>
  <c r="AL50" i="12"/>
  <c r="AY50" i="12"/>
  <c r="M50" i="12"/>
  <c r="N50" i="12" s="1"/>
  <c r="AC50" i="12"/>
  <c r="AD50" i="12" s="1"/>
  <c r="W50" i="12"/>
  <c r="X50" i="12" s="1"/>
  <c r="O50" i="12"/>
  <c r="P50" i="12" s="1"/>
  <c r="U50" i="12"/>
  <c r="V50" i="12" s="1"/>
  <c r="Q50" i="12"/>
  <c r="R50" i="12" s="1"/>
  <c r="BO50" i="12"/>
  <c r="H50" i="12"/>
  <c r="BA50" i="12"/>
  <c r="BK50" i="12"/>
  <c r="AW50" i="12"/>
  <c r="Y50" i="12"/>
  <c r="Z50" i="12" s="1"/>
  <c r="AE50" i="12"/>
  <c r="AF50" i="12" s="1"/>
  <c r="BM50" i="12"/>
  <c r="I52" i="1" s="1"/>
  <c r="BE50" i="12"/>
  <c r="F176" i="12"/>
  <c r="M86" i="12"/>
  <c r="N86" i="12" s="1"/>
  <c r="AW151" i="12"/>
  <c r="M176" i="12"/>
  <c r="N176" i="12" s="1"/>
  <c r="BM86" i="12"/>
  <c r="I88" i="1" s="1"/>
  <c r="BI68" i="12"/>
  <c r="J64" i="1"/>
  <c r="AC187" i="12"/>
  <c r="AD187" i="12" s="1"/>
  <c r="K68" i="12"/>
  <c r="AL151" i="12"/>
  <c r="AE86" i="12"/>
  <c r="AF86" i="12" s="1"/>
  <c r="AE151" i="12"/>
  <c r="AF151" i="12" s="1"/>
  <c r="Q187" i="12"/>
  <c r="R187" i="12" s="1"/>
  <c r="J224" i="1"/>
  <c r="M88" i="12"/>
  <c r="N88" i="12" s="1"/>
  <c r="H86" i="12"/>
  <c r="Q86" i="12"/>
  <c r="R86" i="12" s="1"/>
  <c r="BO151" i="12"/>
  <c r="U187" i="12"/>
  <c r="V187" i="12" s="1"/>
  <c r="BO78" i="12"/>
  <c r="AE88" i="12"/>
  <c r="AF88" i="12" s="1"/>
  <c r="U176" i="12"/>
  <c r="V176" i="12" s="1"/>
  <c r="G246" i="1"/>
  <c r="S132" i="12"/>
  <c r="T132" i="12" s="1"/>
  <c r="U63" i="12"/>
  <c r="V63" i="12" s="1"/>
  <c r="F90" i="12"/>
  <c r="BE90" i="12"/>
  <c r="BC86" i="12"/>
  <c r="K151" i="12"/>
  <c r="AL187" i="12"/>
  <c r="J63" i="12"/>
  <c r="I63" i="12"/>
  <c r="BG151" i="12"/>
  <c r="AA151" i="12"/>
  <c r="AB151" i="12" s="1"/>
  <c r="BG283" i="12"/>
  <c r="BO176" i="12"/>
  <c r="AY187" i="12"/>
  <c r="BI63" i="12"/>
  <c r="H63" i="12"/>
  <c r="M151" i="12"/>
  <c r="N151" i="12" s="1"/>
  <c r="S187" i="12"/>
  <c r="T187" i="12" s="1"/>
  <c r="AA88" i="12"/>
  <c r="AB88" i="12" s="1"/>
  <c r="AW68" i="12"/>
  <c r="AY68" i="12"/>
  <c r="BE68" i="12"/>
  <c r="BK68" i="12"/>
  <c r="F68" i="12"/>
  <c r="AC88" i="12"/>
  <c r="AD88" i="12" s="1"/>
  <c r="H176" i="12"/>
  <c r="K132" i="12"/>
  <c r="O90" i="12"/>
  <c r="P90" i="12" s="1"/>
  <c r="BC78" i="12"/>
  <c r="O86" i="12"/>
  <c r="P86" i="12" s="1"/>
  <c r="BO86" i="12"/>
  <c r="J97" i="1"/>
  <c r="Q151" i="12"/>
  <c r="R151" i="12" s="1"/>
  <c r="BE187" i="12"/>
  <c r="AL283" i="12"/>
  <c r="F187" i="12"/>
  <c r="I193" i="1"/>
  <c r="S78" i="12"/>
  <c r="T78" i="12" s="1"/>
  <c r="W68" i="12"/>
  <c r="X68" i="12" s="1"/>
  <c r="AW187" i="12"/>
  <c r="G70" i="1"/>
  <c r="F88" i="12"/>
  <c r="S176" i="12"/>
  <c r="T176" i="12" s="1"/>
  <c r="W132" i="12"/>
  <c r="X132" i="12" s="1"/>
  <c r="BG63" i="12"/>
  <c r="F63" i="12"/>
  <c r="BI86" i="12"/>
  <c r="AY64" i="12"/>
  <c r="BI64" i="12"/>
  <c r="BG64" i="12"/>
  <c r="BI220" i="12"/>
  <c r="BA220" i="12"/>
  <c r="BK220" i="12"/>
  <c r="I187" i="12"/>
  <c r="BE151" i="12"/>
  <c r="Y187" i="12"/>
  <c r="Z187" i="12" s="1"/>
  <c r="BI187" i="12"/>
  <c r="U151" i="12"/>
  <c r="V151" i="12" s="1"/>
  <c r="BK254" i="12"/>
  <c r="BO63" i="12"/>
  <c r="M187" i="12"/>
  <c r="N187" i="12" s="1"/>
  <c r="BC187" i="12"/>
  <c r="AY90" i="12"/>
  <c r="BK90" i="12"/>
  <c r="M63" i="12"/>
  <c r="N63" i="12" s="1"/>
  <c r="M90" i="12"/>
  <c r="N90" i="12" s="1"/>
  <c r="H132" i="12"/>
  <c r="AW132" i="12"/>
  <c r="AY132" i="12"/>
  <c r="BE132" i="12"/>
  <c r="BC132" i="12"/>
  <c r="AL132" i="12"/>
  <c r="BM151" i="12"/>
  <c r="I153" i="1" s="1"/>
  <c r="AL176" i="12"/>
  <c r="AL86" i="12"/>
  <c r="AE63" i="12"/>
  <c r="AF63" i="12" s="1"/>
  <c r="BG68" i="12"/>
  <c r="H68" i="12"/>
  <c r="AA68" i="12"/>
  <c r="AB68" i="12" s="1"/>
  <c r="I176" i="12"/>
  <c r="O151" i="12"/>
  <c r="P151" i="12" s="1"/>
  <c r="S86" i="12"/>
  <c r="T86" i="12" s="1"/>
  <c r="Y86" i="12"/>
  <c r="Z86" i="12" s="1"/>
  <c r="AW176" i="12"/>
  <c r="W187" i="12"/>
  <c r="X187" i="12" s="1"/>
  <c r="BK176" i="12"/>
  <c r="AC78" i="12"/>
  <c r="AD78" i="12" s="1"/>
  <c r="Y68" i="12"/>
  <c r="Z68" i="12" s="1"/>
  <c r="H88" i="12"/>
  <c r="W176" i="12"/>
  <c r="X176" i="12" s="1"/>
  <c r="Y132" i="12"/>
  <c r="Z132" i="12" s="1"/>
  <c r="AY176" i="12"/>
  <c r="BK63" i="12"/>
  <c r="K63" i="12"/>
  <c r="J90" i="12"/>
  <c r="F149" i="12"/>
  <c r="I149" i="12"/>
  <c r="AY149" i="12"/>
  <c r="S149" i="12"/>
  <c r="T149" i="12" s="1"/>
  <c r="H149" i="12"/>
  <c r="O149" i="12"/>
  <c r="P149" i="12" s="1"/>
  <c r="Q149" i="12"/>
  <c r="R149" i="12" s="1"/>
  <c r="BO149" i="12"/>
  <c r="AW149" i="12"/>
  <c r="AL149" i="12"/>
  <c r="BM149" i="12"/>
  <c r="I151" i="1" s="1"/>
  <c r="AC149" i="12"/>
  <c r="AD149" i="12" s="1"/>
  <c r="BC149" i="12"/>
  <c r="Y149" i="12"/>
  <c r="Z149" i="12" s="1"/>
  <c r="BI149" i="12"/>
  <c r="BE149" i="12"/>
  <c r="U149" i="12"/>
  <c r="V149" i="12" s="1"/>
  <c r="BK149" i="12"/>
  <c r="W149" i="12"/>
  <c r="X149" i="12" s="1"/>
  <c r="M149" i="12"/>
  <c r="N149" i="12" s="1"/>
  <c r="J149" i="12"/>
  <c r="L149" i="12"/>
  <c r="K149" i="12"/>
  <c r="BG149" i="12"/>
  <c r="BA149" i="12"/>
  <c r="AE149" i="12"/>
  <c r="AF149" i="12" s="1"/>
  <c r="AA149" i="12"/>
  <c r="AB149" i="12" s="1"/>
  <c r="BA178" i="12"/>
  <c r="BM78" i="12"/>
  <c r="I80" i="1" s="1"/>
  <c r="AW283" i="12"/>
  <c r="BC69" i="12"/>
  <c r="AL69" i="12"/>
  <c r="AY69" i="12"/>
  <c r="BC283" i="12"/>
  <c r="AY283" i="12"/>
  <c r="AL78" i="12"/>
  <c r="U78" i="12"/>
  <c r="V78" i="12" s="1"/>
  <c r="AW178" i="12"/>
  <c r="BC178" i="12"/>
  <c r="AY178" i="12"/>
  <c r="AL178" i="12"/>
  <c r="I69" i="12"/>
  <c r="Q78" i="12"/>
  <c r="R78" i="12" s="1"/>
  <c r="L69" i="12"/>
  <c r="BK283" i="12"/>
  <c r="AC69" i="12"/>
  <c r="AD69" i="12" s="1"/>
  <c r="AA78" i="12"/>
  <c r="AB78" i="12" s="1"/>
  <c r="I39" i="1"/>
  <c r="BI283" i="12"/>
  <c r="W78" i="12"/>
  <c r="X78" i="12" s="1"/>
  <c r="BA78" i="12"/>
  <c r="BE85" i="12"/>
  <c r="AW85" i="12"/>
  <c r="BA85" i="12"/>
  <c r="BK85" i="12"/>
  <c r="AY85" i="12"/>
  <c r="F210" i="12"/>
  <c r="H210" i="12"/>
  <c r="W210" i="12"/>
  <c r="X210" i="12" s="1"/>
  <c r="AE210" i="12"/>
  <c r="AF210" i="12" s="1"/>
  <c r="S210" i="12"/>
  <c r="T210" i="12" s="1"/>
  <c r="AY210" i="12"/>
  <c r="BO210" i="12"/>
  <c r="BI210" i="12"/>
  <c r="Q210" i="12"/>
  <c r="R210" i="12" s="1"/>
  <c r="U210" i="12"/>
  <c r="V210" i="12" s="1"/>
  <c r="BK210" i="12"/>
  <c r="M210" i="12"/>
  <c r="N210" i="12" s="1"/>
  <c r="L210" i="12"/>
  <c r="AL210" i="12"/>
  <c r="AC210" i="12"/>
  <c r="AD210" i="12" s="1"/>
  <c r="BE210" i="12"/>
  <c r="BG210" i="12"/>
  <c r="O210" i="12"/>
  <c r="P210" i="12" s="1"/>
  <c r="J210" i="12"/>
  <c r="I210" i="12"/>
  <c r="AW210" i="12"/>
  <c r="K210" i="12"/>
  <c r="AA210" i="12"/>
  <c r="AB210" i="12" s="1"/>
  <c r="Y210" i="12"/>
  <c r="Z210" i="12" s="1"/>
  <c r="BA210" i="12"/>
  <c r="BC210" i="12"/>
  <c r="BG69" i="12"/>
  <c r="H69" i="12"/>
  <c r="BO69" i="12"/>
  <c r="J71" i="1"/>
  <c r="F78" i="12"/>
  <c r="I78" i="12"/>
  <c r="BI69" i="12"/>
  <c r="K88" i="12"/>
  <c r="H178" i="12"/>
  <c r="BM178" i="12"/>
  <c r="I180" i="1" s="1"/>
  <c r="AE178" i="12"/>
  <c r="AF178" i="12" s="1"/>
  <c r="AC178" i="12"/>
  <c r="AD178" i="12" s="1"/>
  <c r="S178" i="12"/>
  <c r="T178" i="12" s="1"/>
  <c r="W178" i="12"/>
  <c r="X178" i="12" s="1"/>
  <c r="F178" i="12"/>
  <c r="U178" i="12"/>
  <c r="V178" i="12" s="1"/>
  <c r="BO178" i="12"/>
  <c r="Y178" i="12"/>
  <c r="Z178" i="12" s="1"/>
  <c r="O178" i="12"/>
  <c r="P178" i="12" s="1"/>
  <c r="M178" i="12"/>
  <c r="N178" i="12" s="1"/>
  <c r="L178" i="12"/>
  <c r="BE178" i="12"/>
  <c r="K178" i="12"/>
  <c r="AA178" i="12"/>
  <c r="AB178" i="12" s="1"/>
  <c r="J178" i="12"/>
  <c r="I178" i="12"/>
  <c r="Q178" i="12"/>
  <c r="R178" i="12" s="1"/>
  <c r="G180" i="1"/>
  <c r="J180" i="1"/>
  <c r="BA283" i="12"/>
  <c r="AE78" i="12"/>
  <c r="AF78" i="12" s="1"/>
  <c r="O69" i="12"/>
  <c r="P69" i="12" s="1"/>
  <c r="K78" i="12"/>
  <c r="F69" i="12"/>
  <c r="Q69" i="12"/>
  <c r="R69" i="12" s="1"/>
  <c r="H78" i="12"/>
  <c r="I198" i="1"/>
  <c r="J69" i="12"/>
  <c r="S69" i="12"/>
  <c r="T69" i="12" s="1"/>
  <c r="BG78" i="12"/>
  <c r="BE78" i="12"/>
  <c r="O78" i="12"/>
  <c r="P78" i="12" s="1"/>
  <c r="Y78" i="12"/>
  <c r="Z78" i="12" s="1"/>
  <c r="AW69" i="12"/>
  <c r="L88" i="12"/>
  <c r="I161" i="1"/>
  <c r="AE69" i="12"/>
  <c r="AF69" i="12" s="1"/>
  <c r="BK78" i="12"/>
  <c r="BA259" i="12"/>
  <c r="U69" i="12"/>
  <c r="V69" i="12" s="1"/>
  <c r="AW259" i="12"/>
  <c r="BI78" i="12"/>
  <c r="L78" i="12"/>
  <c r="J212" i="1"/>
  <c r="G212" i="1"/>
  <c r="BK178" i="12"/>
  <c r="J183" i="1"/>
  <c r="G183" i="1"/>
  <c r="AY254" i="12"/>
  <c r="BI181" i="12"/>
  <c r="M181" i="12"/>
  <c r="N181" i="12" s="1"/>
  <c r="BC181" i="12"/>
  <c r="L181" i="12"/>
  <c r="AL181" i="12"/>
  <c r="BG181" i="12"/>
  <c r="BK181" i="12"/>
  <c r="BA181" i="12"/>
  <c r="Q181" i="12"/>
  <c r="R181" i="12" s="1"/>
  <c r="AY181" i="12"/>
  <c r="K181" i="12"/>
  <c r="J181" i="12"/>
  <c r="BE181" i="12"/>
  <c r="AA181" i="12"/>
  <c r="AB181" i="12" s="1"/>
  <c r="AC181" i="12"/>
  <c r="AD181" i="12" s="1"/>
  <c r="AW181" i="12"/>
  <c r="BM181" i="12"/>
  <c r="I183" i="1" s="1"/>
  <c r="Y181" i="12"/>
  <c r="Z181" i="12" s="1"/>
  <c r="I181" i="12"/>
  <c r="H181" i="12"/>
  <c r="W181" i="12"/>
  <c r="X181" i="12" s="1"/>
  <c r="AE181" i="12"/>
  <c r="AF181" i="12" s="1"/>
  <c r="O181" i="12"/>
  <c r="P181" i="12" s="1"/>
  <c r="F181" i="12"/>
  <c r="U181" i="12"/>
  <c r="V181" i="12" s="1"/>
  <c r="S181" i="12"/>
  <c r="T181" i="12" s="1"/>
  <c r="BO181" i="12"/>
  <c r="AI357" i="12"/>
  <c r="BC254" i="12"/>
  <c r="J85" i="1"/>
  <c r="G85" i="1"/>
  <c r="J288" i="8"/>
  <c r="C288" i="8" s="1"/>
  <c r="H278" i="8"/>
  <c r="C278" i="8" s="1"/>
  <c r="L341" i="8"/>
  <c r="C341" i="8" s="1"/>
  <c r="H325" i="8"/>
  <c r="C325" i="8" s="1"/>
  <c r="P314" i="8"/>
  <c r="C314" i="8" s="1"/>
  <c r="N346" i="8"/>
  <c r="C346" i="8" s="1"/>
  <c r="N306" i="8"/>
  <c r="C306" i="8" s="1"/>
  <c r="F235" i="8"/>
  <c r="C235" i="8" s="1"/>
  <c r="H320" i="8"/>
  <c r="C320" i="8" s="1"/>
  <c r="H264" i="8"/>
  <c r="C264" i="8" s="1"/>
  <c r="L298" i="8"/>
  <c r="C298" i="8" s="1"/>
  <c r="J333" i="8"/>
  <c r="C333" i="8" s="1"/>
  <c r="BR357" i="12"/>
  <c r="AE83" i="12"/>
  <c r="AF83" i="12" s="1"/>
  <c r="M83" i="12"/>
  <c r="N83" i="12" s="1"/>
  <c r="H83" i="12"/>
  <c r="I83" i="12"/>
  <c r="Y83" i="12"/>
  <c r="Z83" i="12" s="1"/>
  <c r="AA83" i="12"/>
  <c r="AB83" i="12" s="1"/>
  <c r="AC83" i="12"/>
  <c r="AD83" i="12" s="1"/>
  <c r="J83" i="12"/>
  <c r="Q83" i="12"/>
  <c r="R83" i="12" s="1"/>
  <c r="S83" i="12"/>
  <c r="T83" i="12" s="1"/>
  <c r="O83" i="12"/>
  <c r="P83" i="12" s="1"/>
  <c r="W83" i="12"/>
  <c r="X83" i="12" s="1"/>
  <c r="F83" i="12"/>
  <c r="U83" i="12"/>
  <c r="V83" i="12" s="1"/>
  <c r="L83" i="12"/>
  <c r="K83" i="12"/>
  <c r="BO83" i="12"/>
  <c r="BK83" i="12"/>
  <c r="BI83" i="12"/>
  <c r="AY83" i="12"/>
  <c r="AL83" i="12"/>
  <c r="BC83" i="12"/>
  <c r="AW83" i="12"/>
  <c r="BE83" i="12"/>
  <c r="BM83" i="12"/>
  <c r="I85" i="1" s="1"/>
  <c r="BG83" i="12"/>
  <c r="BA83" i="12"/>
  <c r="D256" i="12"/>
  <c r="D258" i="1"/>
  <c r="BP357" i="12"/>
  <c r="H55" i="12"/>
  <c r="K55" i="12"/>
  <c r="AY55" i="12"/>
  <c r="BK55" i="12"/>
  <c r="AA55" i="12"/>
  <c r="AB55" i="12" s="1"/>
  <c r="J55" i="12"/>
  <c r="AW55" i="12"/>
  <c r="I55" i="12"/>
  <c r="BA55" i="12"/>
  <c r="Y55" i="12"/>
  <c r="Z55" i="12" s="1"/>
  <c r="U55" i="12"/>
  <c r="V55" i="12" s="1"/>
  <c r="L55" i="12"/>
  <c r="W55" i="12"/>
  <c r="X55" i="12" s="1"/>
  <c r="BO55" i="12"/>
  <c r="AL55" i="12"/>
  <c r="O55" i="12"/>
  <c r="P55" i="12" s="1"/>
  <c r="AE55" i="12"/>
  <c r="AF55" i="12" s="1"/>
  <c r="BG55" i="12"/>
  <c r="BM55" i="12"/>
  <c r="I57" i="1" s="1"/>
  <c r="BE55" i="12"/>
  <c r="BC55" i="12"/>
  <c r="BI55" i="12"/>
  <c r="M55" i="12"/>
  <c r="N55" i="12" s="1"/>
  <c r="AC55" i="12"/>
  <c r="AD55" i="12" s="1"/>
  <c r="F55" i="12"/>
  <c r="S55" i="12"/>
  <c r="T55" i="12" s="1"/>
  <c r="Q55" i="12"/>
  <c r="R55" i="12" s="1"/>
  <c r="AG357" i="12"/>
  <c r="G57" i="1"/>
  <c r="J57" i="1"/>
  <c r="BQ357" i="12"/>
  <c r="BK346" i="12"/>
  <c r="AH357" i="12"/>
  <c r="I188" i="1"/>
  <c r="BN357" i="12"/>
  <c r="I140" i="1"/>
  <c r="J186" i="1"/>
  <c r="G186" i="1"/>
  <c r="G202" i="1"/>
  <c r="J202" i="1"/>
  <c r="I354" i="1"/>
  <c r="Y184" i="12"/>
  <c r="Z184" i="12" s="1"/>
  <c r="I184" i="12"/>
  <c r="W184" i="12"/>
  <c r="X184" i="12" s="1"/>
  <c r="U184" i="12"/>
  <c r="V184" i="12" s="1"/>
  <c r="S184" i="12"/>
  <c r="T184" i="12" s="1"/>
  <c r="O184" i="12"/>
  <c r="P184" i="12" s="1"/>
  <c r="K184" i="12"/>
  <c r="M184" i="12"/>
  <c r="N184" i="12" s="1"/>
  <c r="L184" i="12"/>
  <c r="AA184" i="12"/>
  <c r="AB184" i="12" s="1"/>
  <c r="H184" i="12"/>
  <c r="J184" i="12"/>
  <c r="Q184" i="12"/>
  <c r="R184" i="12" s="1"/>
  <c r="AE184" i="12"/>
  <c r="AF184" i="12" s="1"/>
  <c r="AC184" i="12"/>
  <c r="AD184" i="12" s="1"/>
  <c r="BO184" i="12"/>
  <c r="F184" i="12"/>
  <c r="BI184" i="12"/>
  <c r="BE184" i="12"/>
  <c r="BC184" i="12"/>
  <c r="BG184" i="12"/>
  <c r="AL184" i="12"/>
  <c r="AW184" i="12"/>
  <c r="BK184" i="12"/>
  <c r="BA184" i="12"/>
  <c r="AY184" i="12"/>
  <c r="H200" i="12"/>
  <c r="M200" i="12"/>
  <c r="N200" i="12" s="1"/>
  <c r="L200" i="12"/>
  <c r="AC200" i="12"/>
  <c r="AD200" i="12" s="1"/>
  <c r="BE200" i="12"/>
  <c r="BI200" i="12"/>
  <c r="BC200" i="12"/>
  <c r="AW200" i="12"/>
  <c r="AL200" i="12"/>
  <c r="BK200" i="12"/>
  <c r="I200" i="12"/>
  <c r="Y200" i="12"/>
  <c r="Z200" i="12" s="1"/>
  <c r="W200" i="12"/>
  <c r="X200" i="12" s="1"/>
  <c r="F200" i="12"/>
  <c r="U200" i="12"/>
  <c r="V200" i="12" s="1"/>
  <c r="O200" i="12"/>
  <c r="P200" i="12" s="1"/>
  <c r="Q200" i="12"/>
  <c r="R200" i="12" s="1"/>
  <c r="BA200" i="12"/>
  <c r="S200" i="12"/>
  <c r="T200" i="12" s="1"/>
  <c r="AY200" i="12"/>
  <c r="BO200" i="12"/>
  <c r="AE200" i="12"/>
  <c r="AF200" i="12" s="1"/>
  <c r="BM200" i="12"/>
  <c r="I202" i="1" s="1"/>
  <c r="BG200" i="12"/>
  <c r="K200" i="12"/>
  <c r="J200" i="12"/>
  <c r="AA200" i="12"/>
  <c r="AB200" i="12" s="1"/>
  <c r="I191" i="1"/>
  <c r="J232" i="1"/>
  <c r="G232" i="1"/>
  <c r="T2" i="12"/>
  <c r="AA300" i="12"/>
  <c r="AB300" i="12" s="1"/>
  <c r="J300" i="12"/>
  <c r="I300" i="12"/>
  <c r="Y300" i="12"/>
  <c r="Z300" i="12" s="1"/>
  <c r="U300" i="12"/>
  <c r="V300" i="12" s="1"/>
  <c r="S300" i="12"/>
  <c r="T300" i="12" s="1"/>
  <c r="M300" i="12"/>
  <c r="N300" i="12" s="1"/>
  <c r="L300" i="12"/>
  <c r="K300" i="12"/>
  <c r="AE300" i="12"/>
  <c r="AF300" i="12" s="1"/>
  <c r="BO300" i="12"/>
  <c r="AC300" i="12"/>
  <c r="AD300" i="12" s="1"/>
  <c r="W300" i="12"/>
  <c r="X300" i="12" s="1"/>
  <c r="Q300" i="12"/>
  <c r="R300" i="12" s="1"/>
  <c r="O300" i="12"/>
  <c r="P300" i="12" s="1"/>
  <c r="H300" i="12"/>
  <c r="F300" i="12"/>
  <c r="AW300" i="12"/>
  <c r="AY300" i="12"/>
  <c r="BG300" i="12"/>
  <c r="AL300" i="12"/>
  <c r="BC300" i="12"/>
  <c r="BK300" i="12"/>
  <c r="BA300" i="12"/>
  <c r="BE300" i="12"/>
  <c r="BI300" i="12"/>
  <c r="J303" i="1"/>
  <c r="G303" i="1"/>
  <c r="BO230" i="12"/>
  <c r="Y230" i="12"/>
  <c r="Z230" i="12" s="1"/>
  <c r="W230" i="12"/>
  <c r="X230" i="12" s="1"/>
  <c r="U230" i="12"/>
  <c r="V230" i="12" s="1"/>
  <c r="S230" i="12"/>
  <c r="T230" i="12" s="1"/>
  <c r="Q230" i="12"/>
  <c r="R230" i="12" s="1"/>
  <c r="O230" i="12"/>
  <c r="P230" i="12" s="1"/>
  <c r="AE230" i="12"/>
  <c r="AF230" i="12" s="1"/>
  <c r="AC230" i="12"/>
  <c r="AD230" i="12" s="1"/>
  <c r="AA230" i="12"/>
  <c r="AB230" i="12" s="1"/>
  <c r="BM230" i="12"/>
  <c r="I232" i="1" s="1"/>
  <c r="M230" i="12"/>
  <c r="N230" i="12" s="1"/>
  <c r="L230" i="12"/>
  <c r="K230" i="12"/>
  <c r="J230" i="12"/>
  <c r="I230" i="12"/>
  <c r="F230" i="12"/>
  <c r="H230" i="12"/>
  <c r="BA230" i="12"/>
  <c r="AY230" i="12"/>
  <c r="BK230" i="12"/>
  <c r="AW230" i="12"/>
  <c r="BE230" i="12"/>
  <c r="BC230" i="12"/>
  <c r="BG230" i="12"/>
  <c r="BI230" i="12"/>
  <c r="V2" i="12"/>
  <c r="BM315" i="12"/>
  <c r="I317" i="1" s="1"/>
  <c r="M315" i="12"/>
  <c r="N315" i="12" s="1"/>
  <c r="AC315" i="12"/>
  <c r="AD315" i="12" s="1"/>
  <c r="L315" i="12"/>
  <c r="K315" i="12"/>
  <c r="AA315" i="12"/>
  <c r="AB315" i="12" s="1"/>
  <c r="J315" i="12"/>
  <c r="Y315" i="12"/>
  <c r="Z315" i="12" s="1"/>
  <c r="W315" i="12"/>
  <c r="X315" i="12" s="1"/>
  <c r="S315" i="12"/>
  <c r="T315" i="12" s="1"/>
  <c r="I315" i="12"/>
  <c r="AE315" i="12"/>
  <c r="AF315" i="12" s="1"/>
  <c r="BO315" i="12"/>
  <c r="U315" i="12"/>
  <c r="V315" i="12" s="1"/>
  <c r="Q315" i="12"/>
  <c r="R315" i="12" s="1"/>
  <c r="O315" i="12"/>
  <c r="P315" i="12" s="1"/>
  <c r="F315" i="12"/>
  <c r="H315" i="12"/>
  <c r="BA315" i="12"/>
  <c r="AY315" i="12"/>
  <c r="BK315" i="12"/>
  <c r="BI315" i="12"/>
  <c r="AW315" i="12"/>
  <c r="AL315" i="12"/>
  <c r="BE315" i="12"/>
  <c r="BC315" i="12"/>
  <c r="BG315" i="12"/>
  <c r="U271" i="12"/>
  <c r="V271" i="12" s="1"/>
  <c r="S271" i="12"/>
  <c r="T271" i="12" s="1"/>
  <c r="BO271" i="12"/>
  <c r="BM271" i="12"/>
  <c r="I273" i="1" s="1"/>
  <c r="AE271" i="12"/>
  <c r="AF271" i="12" s="1"/>
  <c r="O271" i="12"/>
  <c r="P271" i="12" s="1"/>
  <c r="AC271" i="12"/>
  <c r="AD271" i="12" s="1"/>
  <c r="M271" i="12"/>
  <c r="N271" i="12" s="1"/>
  <c r="AA271" i="12"/>
  <c r="AB271" i="12" s="1"/>
  <c r="K271" i="12"/>
  <c r="J271" i="12"/>
  <c r="I271" i="12"/>
  <c r="H271" i="12"/>
  <c r="F271" i="12"/>
  <c r="Y271" i="12"/>
  <c r="Z271" i="12" s="1"/>
  <c r="Q271" i="12"/>
  <c r="R271" i="12" s="1"/>
  <c r="W271" i="12"/>
  <c r="X271" i="12" s="1"/>
  <c r="L271" i="12"/>
  <c r="BK271" i="12"/>
  <c r="AL271" i="12"/>
  <c r="AY271" i="12"/>
  <c r="BE271" i="12"/>
  <c r="BC271" i="12"/>
  <c r="BA271" i="12"/>
  <c r="BG271" i="12"/>
  <c r="BI271" i="12"/>
  <c r="AW271" i="12"/>
  <c r="BG254" i="12"/>
  <c r="BC346" i="12"/>
  <c r="AA273" i="12"/>
  <c r="AB273" i="12" s="1"/>
  <c r="K273" i="12"/>
  <c r="J273" i="12"/>
  <c r="Y273" i="12"/>
  <c r="Z273" i="12" s="1"/>
  <c r="I273" i="12"/>
  <c r="U273" i="12"/>
  <c r="V273" i="12" s="1"/>
  <c r="S273" i="12"/>
  <c r="T273" i="12" s="1"/>
  <c r="BO273" i="12"/>
  <c r="Q273" i="12"/>
  <c r="R273" i="12" s="1"/>
  <c r="O273" i="12"/>
  <c r="P273" i="12" s="1"/>
  <c r="M273" i="12"/>
  <c r="N273" i="12" s="1"/>
  <c r="L273" i="12"/>
  <c r="AE273" i="12"/>
  <c r="AF273" i="12" s="1"/>
  <c r="AC273" i="12"/>
  <c r="AD273" i="12" s="1"/>
  <c r="W273" i="12"/>
  <c r="X273" i="12" s="1"/>
  <c r="BM273" i="12"/>
  <c r="I275" i="1" s="1"/>
  <c r="F273" i="12"/>
  <c r="H273" i="12"/>
  <c r="AY273" i="12"/>
  <c r="AL273" i="12"/>
  <c r="BE273" i="12"/>
  <c r="BK273" i="12"/>
  <c r="BG273" i="12"/>
  <c r="AW273" i="12"/>
  <c r="BC273" i="12"/>
  <c r="BI273" i="12"/>
  <c r="BA273" i="12"/>
  <c r="S253" i="12"/>
  <c r="T253" i="12" s="1"/>
  <c r="BO253" i="12"/>
  <c r="AC253" i="12"/>
  <c r="AD253" i="12" s="1"/>
  <c r="L253" i="12"/>
  <c r="K253" i="12"/>
  <c r="AA253" i="12"/>
  <c r="AB253" i="12" s="1"/>
  <c r="J253" i="12"/>
  <c r="I253" i="12"/>
  <c r="Y253" i="12"/>
  <c r="Z253" i="12" s="1"/>
  <c r="H253" i="12"/>
  <c r="W253" i="12"/>
  <c r="X253" i="12" s="1"/>
  <c r="AE253" i="12"/>
  <c r="AF253" i="12" s="1"/>
  <c r="U253" i="12"/>
  <c r="V253" i="12" s="1"/>
  <c r="O253" i="12"/>
  <c r="P253" i="12" s="1"/>
  <c r="Q253" i="12"/>
  <c r="R253" i="12" s="1"/>
  <c r="M253" i="12"/>
  <c r="N253" i="12" s="1"/>
  <c r="F253" i="12"/>
  <c r="AW253" i="12"/>
  <c r="BK253" i="12"/>
  <c r="BE253" i="12"/>
  <c r="BI253" i="12"/>
  <c r="BC253" i="12"/>
  <c r="AY253" i="12"/>
  <c r="BA253" i="12"/>
  <c r="BG253" i="12"/>
  <c r="BE346" i="12"/>
  <c r="AA242" i="12"/>
  <c r="AB242" i="12" s="1"/>
  <c r="K242" i="12"/>
  <c r="J242" i="12"/>
  <c r="Y242" i="12"/>
  <c r="Z242" i="12" s="1"/>
  <c r="I242" i="12"/>
  <c r="H242" i="12"/>
  <c r="W242" i="12"/>
  <c r="X242" i="12" s="1"/>
  <c r="U242" i="12"/>
  <c r="V242" i="12" s="1"/>
  <c r="S242" i="12"/>
  <c r="T242" i="12" s="1"/>
  <c r="Q242" i="12"/>
  <c r="R242" i="12" s="1"/>
  <c r="O242" i="12"/>
  <c r="P242" i="12" s="1"/>
  <c r="BO242" i="12"/>
  <c r="M242" i="12"/>
  <c r="N242" i="12" s="1"/>
  <c r="L242" i="12"/>
  <c r="AC242" i="12"/>
  <c r="AD242" i="12" s="1"/>
  <c r="BM242" i="12"/>
  <c r="I244" i="1" s="1"/>
  <c r="AE242" i="12"/>
  <c r="AF242" i="12" s="1"/>
  <c r="F242" i="12"/>
  <c r="AY242" i="12"/>
  <c r="BC242" i="12"/>
  <c r="BK242" i="12"/>
  <c r="BG242" i="12"/>
  <c r="BA242" i="12"/>
  <c r="BE242" i="12"/>
  <c r="BI242" i="12"/>
  <c r="AW242" i="12"/>
  <c r="D238" i="12"/>
  <c r="D240" i="1"/>
  <c r="X2" i="12"/>
  <c r="Z2" i="12"/>
  <c r="BI254" i="12"/>
  <c r="I111" i="1"/>
  <c r="G337" i="1"/>
  <c r="J337" i="1"/>
  <c r="Q259" i="12"/>
  <c r="R259" i="12" s="1"/>
  <c r="J259" i="12"/>
  <c r="U259" i="12"/>
  <c r="V259" i="12" s="1"/>
  <c r="S259" i="12"/>
  <c r="T259" i="12" s="1"/>
  <c r="O259" i="12"/>
  <c r="P259" i="12" s="1"/>
  <c r="AE259" i="12"/>
  <c r="AF259" i="12" s="1"/>
  <c r="M259" i="12"/>
  <c r="N259" i="12" s="1"/>
  <c r="Y259" i="12"/>
  <c r="Z259" i="12" s="1"/>
  <c r="W259" i="12"/>
  <c r="X259" i="12" s="1"/>
  <c r="L259" i="12"/>
  <c r="K259" i="12"/>
  <c r="I259" i="12"/>
  <c r="AC259" i="12"/>
  <c r="AD259" i="12" s="1"/>
  <c r="H259" i="12"/>
  <c r="BO259" i="12"/>
  <c r="BM259" i="12"/>
  <c r="I261" i="1" s="1"/>
  <c r="AA259" i="12"/>
  <c r="AB259" i="12" s="1"/>
  <c r="F259" i="12"/>
  <c r="BI346" i="12"/>
  <c r="AL259" i="12"/>
  <c r="AA348" i="12"/>
  <c r="AB348" i="12" s="1"/>
  <c r="K348" i="12"/>
  <c r="J348" i="12"/>
  <c r="O348" i="12"/>
  <c r="P348" i="12" s="1"/>
  <c r="L348" i="12"/>
  <c r="I348" i="12"/>
  <c r="AE348" i="12"/>
  <c r="AF348" i="12" s="1"/>
  <c r="U348" i="12"/>
  <c r="V348" i="12" s="1"/>
  <c r="S348" i="12"/>
  <c r="T348" i="12" s="1"/>
  <c r="BO348" i="12"/>
  <c r="AC348" i="12"/>
  <c r="AD348" i="12" s="1"/>
  <c r="BM348" i="12"/>
  <c r="I350" i="1" s="1"/>
  <c r="Y348" i="12"/>
  <c r="Z348" i="12" s="1"/>
  <c r="W348" i="12"/>
  <c r="X348" i="12" s="1"/>
  <c r="Q348" i="12"/>
  <c r="R348" i="12" s="1"/>
  <c r="M348" i="12"/>
  <c r="N348" i="12" s="1"/>
  <c r="H348" i="12"/>
  <c r="F348" i="12"/>
  <c r="AY348" i="12"/>
  <c r="BI348" i="12"/>
  <c r="BA348" i="12"/>
  <c r="BE348" i="12"/>
  <c r="BG348" i="12"/>
  <c r="BK348" i="12"/>
  <c r="AW348" i="12"/>
  <c r="BC348" i="12"/>
  <c r="AL348" i="12"/>
  <c r="G330" i="1"/>
  <c r="J330" i="1"/>
  <c r="AB2" i="12"/>
  <c r="BG346" i="12"/>
  <c r="AL346" i="12"/>
  <c r="AA245" i="12"/>
  <c r="AB245" i="12" s="1"/>
  <c r="K245" i="12"/>
  <c r="U245" i="12"/>
  <c r="V245" i="12" s="1"/>
  <c r="S245" i="12"/>
  <c r="T245" i="12" s="1"/>
  <c r="Q245" i="12"/>
  <c r="R245" i="12" s="1"/>
  <c r="BO245" i="12"/>
  <c r="O245" i="12"/>
  <c r="P245" i="12" s="1"/>
  <c r="J245" i="12"/>
  <c r="W245" i="12"/>
  <c r="X245" i="12" s="1"/>
  <c r="M245" i="12"/>
  <c r="N245" i="12" s="1"/>
  <c r="L245" i="12"/>
  <c r="I245" i="12"/>
  <c r="AE245" i="12"/>
  <c r="AF245" i="12" s="1"/>
  <c r="Y245" i="12"/>
  <c r="Z245" i="12" s="1"/>
  <c r="F245" i="12"/>
  <c r="BM245" i="12"/>
  <c r="I247" i="1" s="1"/>
  <c r="AC245" i="12"/>
  <c r="AD245" i="12" s="1"/>
  <c r="H245" i="12"/>
  <c r="AW245" i="12"/>
  <c r="BI245" i="12"/>
  <c r="AY245" i="12"/>
  <c r="BG245" i="12"/>
  <c r="BC245" i="12"/>
  <c r="BK245" i="12"/>
  <c r="BA245" i="12"/>
  <c r="BE245" i="12"/>
  <c r="L255" i="12"/>
  <c r="AA255" i="12"/>
  <c r="AB255" i="12" s="1"/>
  <c r="K255" i="12"/>
  <c r="J255" i="12"/>
  <c r="Y255" i="12"/>
  <c r="Z255" i="12" s="1"/>
  <c r="I255" i="12"/>
  <c r="W255" i="12"/>
  <c r="X255" i="12" s="1"/>
  <c r="U255" i="12"/>
  <c r="V255" i="12" s="1"/>
  <c r="Q255" i="12"/>
  <c r="R255" i="12" s="1"/>
  <c r="O255" i="12"/>
  <c r="P255" i="12" s="1"/>
  <c r="BO255" i="12"/>
  <c r="M255" i="12"/>
  <c r="N255" i="12" s="1"/>
  <c r="H255" i="12"/>
  <c r="AE255" i="12"/>
  <c r="AF255" i="12" s="1"/>
  <c r="F255" i="12"/>
  <c r="AC255" i="12"/>
  <c r="AD255" i="12" s="1"/>
  <c r="S255" i="12"/>
  <c r="T255" i="12" s="1"/>
  <c r="AW255" i="12"/>
  <c r="BE255" i="12"/>
  <c r="BG255" i="12"/>
  <c r="BA255" i="12"/>
  <c r="BC255" i="12"/>
  <c r="AY255" i="12"/>
  <c r="BK255" i="12"/>
  <c r="BI255" i="12"/>
  <c r="D278" i="12"/>
  <c r="D280" i="1"/>
  <c r="AY346" i="12"/>
  <c r="J250" i="1"/>
  <c r="G250" i="1"/>
  <c r="N2" i="12"/>
  <c r="W249" i="12"/>
  <c r="X249" i="12" s="1"/>
  <c r="BO249" i="12"/>
  <c r="O249" i="12"/>
  <c r="P249" i="12" s="1"/>
  <c r="AE249" i="12"/>
  <c r="AF249" i="12" s="1"/>
  <c r="M249" i="12"/>
  <c r="N249" i="12" s="1"/>
  <c r="AC249" i="12"/>
  <c r="AD249" i="12" s="1"/>
  <c r="L249" i="12"/>
  <c r="K249" i="12"/>
  <c r="AA249" i="12"/>
  <c r="AB249" i="12" s="1"/>
  <c r="J249" i="12"/>
  <c r="I249" i="12"/>
  <c r="Y249" i="12"/>
  <c r="Z249" i="12" s="1"/>
  <c r="U249" i="12"/>
  <c r="V249" i="12" s="1"/>
  <c r="S249" i="12"/>
  <c r="T249" i="12" s="1"/>
  <c r="Q249" i="12"/>
  <c r="R249" i="12" s="1"/>
  <c r="H249" i="12"/>
  <c r="F249" i="12"/>
  <c r="AY249" i="12"/>
  <c r="BK249" i="12"/>
  <c r="BG249" i="12"/>
  <c r="BI249" i="12"/>
  <c r="AW249" i="12"/>
  <c r="BA249" i="12"/>
  <c r="BC249" i="12"/>
  <c r="BE249" i="12"/>
  <c r="AA320" i="12"/>
  <c r="AB320" i="12" s="1"/>
  <c r="K320" i="12"/>
  <c r="Q320" i="12"/>
  <c r="R320" i="12" s="1"/>
  <c r="O320" i="12"/>
  <c r="P320" i="12" s="1"/>
  <c r="AE320" i="12"/>
  <c r="AF320" i="12" s="1"/>
  <c r="M320" i="12"/>
  <c r="N320" i="12" s="1"/>
  <c r="BO320" i="12"/>
  <c r="L320" i="12"/>
  <c r="AC320" i="12"/>
  <c r="AD320" i="12" s="1"/>
  <c r="J320" i="12"/>
  <c r="BM320" i="12"/>
  <c r="I322" i="1" s="1"/>
  <c r="I320" i="12"/>
  <c r="Y320" i="12"/>
  <c r="Z320" i="12" s="1"/>
  <c r="W320" i="12"/>
  <c r="X320" i="12" s="1"/>
  <c r="U320" i="12"/>
  <c r="V320" i="12" s="1"/>
  <c r="S320" i="12"/>
  <c r="T320" i="12" s="1"/>
  <c r="F320" i="12"/>
  <c r="H320" i="12"/>
  <c r="BG320" i="12"/>
  <c r="BA320" i="12"/>
  <c r="BK320" i="12"/>
  <c r="BE320" i="12"/>
  <c r="AY320" i="12"/>
  <c r="BC320" i="12"/>
  <c r="AL320" i="12"/>
  <c r="BI320" i="12"/>
  <c r="AW320" i="12"/>
  <c r="D275" i="12"/>
  <c r="D277" i="1"/>
  <c r="J248" i="1"/>
  <c r="G248" i="1"/>
  <c r="AD2" i="12"/>
  <c r="Q283" i="12"/>
  <c r="R283" i="12" s="1"/>
  <c r="Y283" i="12"/>
  <c r="Z283" i="12" s="1"/>
  <c r="W283" i="12"/>
  <c r="X283" i="12" s="1"/>
  <c r="S283" i="12"/>
  <c r="T283" i="12" s="1"/>
  <c r="O283" i="12"/>
  <c r="P283" i="12" s="1"/>
  <c r="M283" i="12"/>
  <c r="N283" i="12" s="1"/>
  <c r="BM283" i="12"/>
  <c r="I285" i="1" s="1"/>
  <c r="K283" i="12"/>
  <c r="J283" i="12"/>
  <c r="I283" i="12"/>
  <c r="AE283" i="12"/>
  <c r="AF283" i="12" s="1"/>
  <c r="AC283" i="12"/>
  <c r="AD283" i="12" s="1"/>
  <c r="BO283" i="12"/>
  <c r="U283" i="12"/>
  <c r="V283" i="12" s="1"/>
  <c r="L283" i="12"/>
  <c r="AA283" i="12"/>
  <c r="AB283" i="12" s="1"/>
  <c r="F283" i="12"/>
  <c r="H283" i="12"/>
  <c r="D239" i="12"/>
  <c r="D241" i="1"/>
  <c r="L331" i="12"/>
  <c r="U331" i="12"/>
  <c r="V331" i="12" s="1"/>
  <c r="S331" i="12"/>
  <c r="T331" i="12" s="1"/>
  <c r="Q331" i="12"/>
  <c r="R331" i="12" s="1"/>
  <c r="O331" i="12"/>
  <c r="P331" i="12" s="1"/>
  <c r="AE331" i="12"/>
  <c r="AF331" i="12" s="1"/>
  <c r="M331" i="12"/>
  <c r="N331" i="12" s="1"/>
  <c r="AC331" i="12"/>
  <c r="AD331" i="12" s="1"/>
  <c r="J331" i="12"/>
  <c r="AA331" i="12"/>
  <c r="AB331" i="12" s="1"/>
  <c r="Y331" i="12"/>
  <c r="Z331" i="12" s="1"/>
  <c r="W331" i="12"/>
  <c r="X331" i="12" s="1"/>
  <c r="K331" i="12"/>
  <c r="I331" i="12"/>
  <c r="BO331" i="12"/>
  <c r="F331" i="12"/>
  <c r="H331" i="12"/>
  <c r="BE331" i="12"/>
  <c r="AL331" i="12"/>
  <c r="BC331" i="12"/>
  <c r="BA331" i="12"/>
  <c r="BI331" i="12"/>
  <c r="BG331" i="12"/>
  <c r="AW331" i="12"/>
  <c r="AY331" i="12"/>
  <c r="BK331" i="12"/>
  <c r="BO346" i="12"/>
  <c r="U346" i="12"/>
  <c r="V346" i="12" s="1"/>
  <c r="I346" i="12"/>
  <c r="BM346" i="12"/>
  <c r="I348" i="1" s="1"/>
  <c r="Y346" i="12"/>
  <c r="Z346" i="12" s="1"/>
  <c r="F346" i="12"/>
  <c r="S346" i="12"/>
  <c r="T346" i="12" s="1"/>
  <c r="Q346" i="12"/>
  <c r="R346" i="12" s="1"/>
  <c r="AC346" i="12"/>
  <c r="AD346" i="12" s="1"/>
  <c r="AA346" i="12"/>
  <c r="AB346" i="12" s="1"/>
  <c r="W346" i="12"/>
  <c r="X346" i="12" s="1"/>
  <c r="O346" i="12"/>
  <c r="P346" i="12" s="1"/>
  <c r="M346" i="12"/>
  <c r="N346" i="12" s="1"/>
  <c r="J346" i="12"/>
  <c r="H346" i="12"/>
  <c r="AE346" i="12"/>
  <c r="AF346" i="12" s="1"/>
  <c r="L346" i="12"/>
  <c r="K346" i="12"/>
  <c r="BI259" i="12"/>
  <c r="D341" i="12"/>
  <c r="D343" i="1"/>
  <c r="P2" i="12"/>
  <c r="BK259" i="12"/>
  <c r="BA346" i="12"/>
  <c r="BO309" i="12"/>
  <c r="Q309" i="12"/>
  <c r="R309" i="12" s="1"/>
  <c r="O309" i="12"/>
  <c r="P309" i="12" s="1"/>
  <c r="AA309" i="12"/>
  <c r="AB309" i="12" s="1"/>
  <c r="J309" i="12"/>
  <c r="BM309" i="12"/>
  <c r="I311" i="1" s="1"/>
  <c r="W309" i="12"/>
  <c r="X309" i="12" s="1"/>
  <c r="U309" i="12"/>
  <c r="V309" i="12" s="1"/>
  <c r="M309" i="12"/>
  <c r="N309" i="12" s="1"/>
  <c r="L309" i="12"/>
  <c r="AE309" i="12"/>
  <c r="AF309" i="12" s="1"/>
  <c r="K309" i="12"/>
  <c r="I309" i="12"/>
  <c r="Y309" i="12"/>
  <c r="Z309" i="12" s="1"/>
  <c r="S309" i="12"/>
  <c r="T309" i="12" s="1"/>
  <c r="AC309" i="12"/>
  <c r="AD309" i="12" s="1"/>
  <c r="H309" i="12"/>
  <c r="F309" i="12"/>
  <c r="BC309" i="12"/>
  <c r="AY309" i="12"/>
  <c r="BK309" i="12"/>
  <c r="AL309" i="12"/>
  <c r="BG309" i="12"/>
  <c r="AW309" i="12"/>
  <c r="BE309" i="12"/>
  <c r="BA309" i="12"/>
  <c r="BI309" i="12"/>
  <c r="Y293" i="12"/>
  <c r="Z293" i="12" s="1"/>
  <c r="I293" i="12"/>
  <c r="AE293" i="12"/>
  <c r="AF293" i="12" s="1"/>
  <c r="S293" i="12"/>
  <c r="T293" i="12" s="1"/>
  <c r="Q293" i="12"/>
  <c r="R293" i="12" s="1"/>
  <c r="M293" i="12"/>
  <c r="N293" i="12" s="1"/>
  <c r="L293" i="12"/>
  <c r="K293" i="12"/>
  <c r="J293" i="12"/>
  <c r="AC293" i="12"/>
  <c r="AD293" i="12" s="1"/>
  <c r="BO293" i="12"/>
  <c r="BM293" i="12"/>
  <c r="I295" i="1" s="1"/>
  <c r="AA293" i="12"/>
  <c r="AB293" i="12" s="1"/>
  <c r="W293" i="12"/>
  <c r="X293" i="12" s="1"/>
  <c r="U293" i="12"/>
  <c r="V293" i="12" s="1"/>
  <c r="O293" i="12"/>
  <c r="P293" i="12" s="1"/>
  <c r="F293" i="12"/>
  <c r="H293" i="12"/>
  <c r="BA293" i="12"/>
  <c r="BK293" i="12"/>
  <c r="AW293" i="12"/>
  <c r="AL293" i="12"/>
  <c r="BC293" i="12"/>
  <c r="AY293" i="12"/>
  <c r="BI293" i="12"/>
  <c r="BG293" i="12"/>
  <c r="BE293" i="12"/>
  <c r="BC259" i="12"/>
  <c r="AF2" i="12"/>
  <c r="BM254" i="12"/>
  <c r="I256" i="1" s="1"/>
  <c r="AE254" i="12"/>
  <c r="AF254" i="12" s="1"/>
  <c r="O254" i="12"/>
  <c r="P254" i="12" s="1"/>
  <c r="L254" i="12"/>
  <c r="J254" i="12"/>
  <c r="BO254" i="12"/>
  <c r="S254" i="12"/>
  <c r="T254" i="12" s="1"/>
  <c r="Q254" i="12"/>
  <c r="R254" i="12" s="1"/>
  <c r="M254" i="12"/>
  <c r="N254" i="12" s="1"/>
  <c r="K254" i="12"/>
  <c r="I254" i="12"/>
  <c r="AC254" i="12"/>
  <c r="AD254" i="12" s="1"/>
  <c r="F254" i="12"/>
  <c r="AA254" i="12"/>
  <c r="AB254" i="12" s="1"/>
  <c r="W254" i="12"/>
  <c r="X254" i="12" s="1"/>
  <c r="U254" i="12"/>
  <c r="V254" i="12" s="1"/>
  <c r="Y254" i="12"/>
  <c r="Z254" i="12" s="1"/>
  <c r="H254" i="12"/>
  <c r="J309" i="1"/>
  <c r="G309" i="1"/>
  <c r="BG259" i="12"/>
  <c r="C26" i="7"/>
  <c r="C19" i="7"/>
  <c r="BO281" i="12"/>
  <c r="AA281" i="12"/>
  <c r="AB281" i="12" s="1"/>
  <c r="K281" i="12"/>
  <c r="Q281" i="12"/>
  <c r="R281" i="12" s="1"/>
  <c r="L281" i="12"/>
  <c r="AC281" i="12"/>
  <c r="AD281" i="12" s="1"/>
  <c r="J281" i="12"/>
  <c r="M281" i="12"/>
  <c r="N281" i="12" s="1"/>
  <c r="I281" i="12"/>
  <c r="Y281" i="12"/>
  <c r="Z281" i="12" s="1"/>
  <c r="W281" i="12"/>
  <c r="X281" i="12" s="1"/>
  <c r="AE281" i="12"/>
  <c r="AF281" i="12" s="1"/>
  <c r="U281" i="12"/>
  <c r="V281" i="12" s="1"/>
  <c r="S281" i="12"/>
  <c r="T281" i="12" s="1"/>
  <c r="O281" i="12"/>
  <c r="P281" i="12" s="1"/>
  <c r="BM281" i="12"/>
  <c r="I283" i="1" s="1"/>
  <c r="F281" i="12"/>
  <c r="H281" i="12"/>
  <c r="BG281" i="12"/>
  <c r="BA281" i="12"/>
  <c r="BC281" i="12"/>
  <c r="BI281" i="12"/>
  <c r="AW281" i="12"/>
  <c r="AL281" i="12"/>
  <c r="AY281" i="12"/>
  <c r="BE281" i="12"/>
  <c r="BK281" i="12"/>
  <c r="I281" i="3"/>
  <c r="I133" i="3"/>
  <c r="I287" i="3"/>
  <c r="I165" i="3"/>
  <c r="I175" i="3"/>
  <c r="I171" i="3"/>
  <c r="I324" i="3"/>
  <c r="I249" i="3"/>
  <c r="I150" i="3"/>
  <c r="I271" i="3"/>
  <c r="I182" i="3"/>
  <c r="I297" i="3"/>
  <c r="I212" i="3"/>
  <c r="I90" i="3"/>
  <c r="I65" i="3"/>
  <c r="I13" i="3"/>
  <c r="I257" i="3"/>
  <c r="I345" i="3"/>
  <c r="I275" i="3"/>
  <c r="I224" i="3"/>
  <c r="I203" i="3"/>
  <c r="I199" i="3"/>
  <c r="I194" i="3"/>
  <c r="I81" i="3"/>
  <c r="I309" i="3"/>
  <c r="I301" i="3"/>
  <c r="I292" i="3"/>
  <c r="I265" i="3"/>
  <c r="I261" i="3"/>
  <c r="I252" i="3"/>
  <c r="I240" i="3"/>
  <c r="I215" i="3"/>
  <c r="I149" i="3"/>
  <c r="I140" i="3"/>
  <c r="I85" i="3"/>
  <c r="I47" i="3"/>
  <c r="I173" i="3"/>
  <c r="I308" i="3"/>
  <c r="I172" i="3"/>
  <c r="I340" i="3"/>
  <c r="I235" i="3"/>
  <c r="I219" i="3"/>
  <c r="I97" i="3"/>
  <c r="M11" i="3"/>
  <c r="I223" i="3"/>
  <c r="I38" i="3"/>
  <c r="I31" i="3"/>
  <c r="I356" i="3"/>
  <c r="I316" i="3"/>
  <c r="I112" i="3"/>
  <c r="I218" i="3"/>
  <c r="I100" i="3"/>
  <c r="I246" i="3"/>
  <c r="I329" i="3"/>
  <c r="I263" i="3"/>
  <c r="I159" i="3"/>
  <c r="I87" i="3"/>
  <c r="I54" i="3"/>
  <c r="I22" i="3"/>
  <c r="I343" i="3"/>
  <c r="I125" i="3"/>
  <c r="I7" i="3"/>
  <c r="I320" i="3"/>
  <c r="I347" i="3"/>
  <c r="I303" i="3"/>
  <c r="I285" i="3"/>
  <c r="I108" i="3"/>
  <c r="I58" i="3"/>
  <c r="I91" i="3"/>
  <c r="I74" i="3"/>
  <c r="I37" i="3"/>
  <c r="I26" i="3"/>
  <c r="I213" i="3"/>
  <c r="I294" i="3"/>
  <c r="I96" i="3"/>
  <c r="I64" i="3"/>
  <c r="I168" i="3"/>
  <c r="I313" i="3"/>
  <c r="I131" i="3"/>
  <c r="I250" i="3"/>
  <c r="I304" i="3"/>
  <c r="I269" i="3"/>
  <c r="I72" i="3"/>
  <c r="I51" i="3"/>
  <c r="I105" i="3"/>
  <c r="I207" i="3"/>
  <c r="I274" i="3"/>
  <c r="I160" i="3"/>
  <c r="I335" i="3"/>
  <c r="I145" i="3"/>
  <c r="I106" i="3"/>
  <c r="I98" i="3"/>
  <c r="I323" i="3"/>
  <c r="I69" i="3"/>
  <c r="I195" i="3"/>
  <c r="I253" i="3"/>
  <c r="I289" i="3"/>
  <c r="I53" i="3"/>
  <c r="I351" i="3"/>
  <c r="I325" i="3"/>
  <c r="I151" i="3"/>
  <c r="I286" i="3"/>
  <c r="I198" i="3"/>
  <c r="I88" i="3"/>
  <c r="I230" i="3"/>
  <c r="I164" i="3"/>
  <c r="I15" i="3"/>
  <c r="I186" i="3"/>
  <c r="I266" i="3"/>
  <c r="I312" i="3"/>
  <c r="I135" i="3"/>
  <c r="I179" i="3"/>
  <c r="I189" i="3"/>
  <c r="I148" i="3"/>
  <c r="I299" i="3"/>
  <c r="I166" i="3"/>
  <c r="I237" i="3"/>
  <c r="I4" i="3"/>
  <c r="I202" i="3"/>
  <c r="I19" i="3"/>
  <c r="I348" i="3"/>
  <c r="I136" i="3"/>
  <c r="I190" i="3"/>
  <c r="I216" i="3"/>
  <c r="I280" i="3"/>
  <c r="I57" i="3"/>
  <c r="I319" i="3"/>
  <c r="I73" i="3"/>
  <c r="I338" i="3"/>
  <c r="I42" i="3"/>
  <c r="I337" i="3"/>
  <c r="I295" i="3"/>
  <c r="I231" i="3"/>
  <c r="I321" i="3"/>
  <c r="I210" i="3"/>
  <c r="I121" i="3"/>
  <c r="I111" i="3"/>
  <c r="I14" i="3"/>
  <c r="I227" i="3"/>
  <c r="I23" i="3"/>
  <c r="I157" i="3"/>
  <c r="I208" i="3"/>
  <c r="I341" i="3"/>
  <c r="I86" i="3"/>
  <c r="I6" i="3"/>
  <c r="I284" i="3"/>
  <c r="I62" i="3"/>
  <c r="I350" i="3"/>
  <c r="I184" i="3"/>
  <c r="I196" i="3"/>
  <c r="I221" i="3"/>
  <c r="I33" i="3"/>
  <c r="I305" i="3"/>
  <c r="I138" i="3"/>
  <c r="I277" i="3"/>
  <c r="I129" i="3"/>
  <c r="I35" i="3"/>
  <c r="I248" i="3"/>
  <c r="I84" i="3"/>
  <c r="I344" i="3"/>
  <c r="I282" i="3"/>
  <c r="I176" i="3"/>
  <c r="I201" i="3"/>
  <c r="I162" i="3"/>
  <c r="I353" i="3"/>
  <c r="I79" i="3"/>
  <c r="I262" i="3"/>
  <c r="I66" i="3"/>
  <c r="I268" i="3"/>
  <c r="I104" i="3"/>
  <c r="I333" i="3"/>
  <c r="I50" i="3"/>
  <c r="I357" i="3"/>
  <c r="I322" i="3"/>
  <c r="I27" i="3"/>
  <c r="I214" i="3"/>
  <c r="I174" i="3"/>
  <c r="I242" i="3"/>
  <c r="I126" i="3"/>
  <c r="I99" i="3"/>
  <c r="I144" i="3"/>
  <c r="I317" i="3"/>
  <c r="I290" i="3"/>
  <c r="I177" i="3"/>
  <c r="I279" i="3"/>
  <c r="I139" i="3"/>
  <c r="I288" i="3"/>
  <c r="I228" i="3"/>
  <c r="I102" i="3"/>
  <c r="I48" i="3"/>
  <c r="I293" i="3"/>
  <c r="I167" i="3"/>
  <c r="I63" i="3"/>
  <c r="I243" i="3"/>
  <c r="I255" i="3"/>
  <c r="I76" i="3"/>
  <c r="I298" i="3"/>
  <c r="I181" i="3"/>
  <c r="I155" i="3"/>
  <c r="I67" i="3"/>
  <c r="I205" i="3"/>
  <c r="I327" i="3"/>
  <c r="I101" i="3"/>
  <c r="I232" i="3"/>
  <c r="I103" i="3"/>
  <c r="I154" i="3"/>
  <c r="I183" i="3"/>
  <c r="I236" i="3"/>
  <c r="I92" i="3"/>
  <c r="I254" i="3"/>
  <c r="I11" i="3"/>
  <c r="I30" i="3"/>
  <c r="I115" i="3"/>
  <c r="I8" i="3"/>
  <c r="I315" i="3"/>
  <c r="I143" i="3"/>
  <c r="I258" i="3"/>
  <c r="I41" i="3"/>
  <c r="I346" i="3"/>
  <c r="I234" i="3"/>
  <c r="I117" i="3"/>
  <c r="I296" i="3"/>
  <c r="I206" i="3"/>
  <c r="I55" i="3"/>
  <c r="I110" i="3"/>
  <c r="I336" i="3"/>
  <c r="I128" i="3"/>
  <c r="I306" i="3"/>
  <c r="I245" i="3"/>
  <c r="I120" i="3"/>
  <c r="I302" i="3"/>
  <c r="I225" i="3"/>
  <c r="I21" i="3"/>
  <c r="I273" i="3"/>
  <c r="I191" i="3"/>
  <c r="I59" i="3"/>
  <c r="I44" i="3"/>
  <c r="I211" i="3"/>
  <c r="I78" i="3"/>
  <c r="I68" i="3"/>
  <c r="I80" i="3"/>
  <c r="I123" i="3"/>
  <c r="I39" i="3"/>
  <c r="I318" i="3"/>
  <c r="I5" i="3"/>
  <c r="I141" i="3"/>
  <c r="I158" i="3"/>
  <c r="I200" i="3"/>
  <c r="I229" i="3"/>
  <c r="I326" i="3"/>
  <c r="I45" i="3"/>
  <c r="I70" i="3"/>
  <c r="I118" i="3"/>
  <c r="I187" i="3"/>
  <c r="I217" i="3"/>
  <c r="I260" i="3"/>
  <c r="I264" i="3"/>
  <c r="I291" i="3"/>
  <c r="I209" i="3"/>
  <c r="I163" i="3"/>
  <c r="I137" i="3"/>
  <c r="I192" i="3"/>
  <c r="I146" i="3"/>
  <c r="I152" i="3"/>
  <c r="I270" i="3"/>
  <c r="I20" i="3"/>
  <c r="I161" i="3"/>
  <c r="I332" i="3"/>
  <c r="I342" i="3"/>
  <c r="I259" i="3"/>
  <c r="I352" i="3"/>
  <c r="I124" i="3"/>
  <c r="I75" i="3"/>
  <c r="I71" i="3"/>
  <c r="I328" i="3"/>
  <c r="I278" i="3"/>
  <c r="I83" i="3"/>
  <c r="I300" i="3"/>
  <c r="I18" i="3"/>
  <c r="I12" i="3"/>
  <c r="I169" i="3"/>
  <c r="I28" i="3"/>
  <c r="I355" i="3"/>
  <c r="I233" i="3"/>
  <c r="I339" i="3"/>
  <c r="I226" i="3"/>
  <c r="I197" i="3"/>
  <c r="I180" i="3"/>
  <c r="I109" i="3"/>
  <c r="I222" i="3"/>
  <c r="I134" i="3"/>
  <c r="I188" i="3"/>
  <c r="I49" i="3"/>
  <c r="I122" i="3"/>
  <c r="I119" i="3"/>
  <c r="I9" i="3"/>
  <c r="I32" i="3"/>
  <c r="I170" i="3"/>
  <c r="I349" i="3"/>
  <c r="I310" i="3"/>
  <c r="I267" i="3"/>
  <c r="I130" i="3"/>
  <c r="I114" i="3"/>
  <c r="I239" i="3"/>
  <c r="I34" i="3"/>
  <c r="I25" i="3"/>
  <c r="I89" i="3"/>
  <c r="I193" i="3"/>
  <c r="I256" i="3"/>
  <c r="I132" i="3"/>
  <c r="I43" i="3"/>
  <c r="I77" i="3"/>
  <c r="I40" i="3"/>
  <c r="I178" i="3"/>
  <c r="I241" i="3"/>
  <c r="I10" i="3"/>
  <c r="I272" i="3"/>
  <c r="I147" i="3"/>
  <c r="I244" i="3"/>
  <c r="I46" i="3"/>
  <c r="I204" i="3"/>
  <c r="I142" i="3"/>
  <c r="I251" i="3"/>
  <c r="I307" i="3"/>
  <c r="I52" i="3"/>
  <c r="I247" i="3"/>
  <c r="I156" i="3"/>
  <c r="I331" i="3"/>
  <c r="I94" i="3"/>
  <c r="I56" i="3"/>
  <c r="I17" i="3"/>
  <c r="I276" i="3"/>
  <c r="I311" i="3"/>
  <c r="I61" i="3"/>
  <c r="I185" i="3"/>
  <c r="I107" i="3"/>
  <c r="I116" i="3"/>
  <c r="I354" i="3"/>
  <c r="I334" i="3"/>
  <c r="I127" i="3"/>
  <c r="I283" i="3"/>
  <c r="I93" i="3"/>
  <c r="I238" i="3"/>
  <c r="I36" i="3"/>
  <c r="I60" i="3"/>
  <c r="I220" i="3"/>
  <c r="I16" i="3"/>
  <c r="I113" i="3"/>
  <c r="I82" i="3"/>
  <c r="I29" i="3"/>
  <c r="I95" i="3"/>
  <c r="I153" i="3"/>
  <c r="I24" i="3"/>
  <c r="I314" i="3"/>
  <c r="I330" i="3"/>
  <c r="BA254" i="12"/>
  <c r="R2" i="12"/>
  <c r="K377" i="3"/>
  <c r="K378" i="3"/>
  <c r="D237" i="12"/>
  <c r="D239" i="1"/>
  <c r="D272" i="12"/>
  <c r="D274" i="1"/>
  <c r="BE259" i="12"/>
  <c r="K373" i="3" l="1"/>
  <c r="BM265" i="12"/>
  <c r="I267" i="1" s="1"/>
  <c r="U265" i="12"/>
  <c r="V265" i="12" s="1"/>
  <c r="F248" i="12"/>
  <c r="I265" i="12"/>
  <c r="W265" i="12"/>
  <c r="X265" i="12" s="1"/>
  <c r="J373" i="3"/>
  <c r="L265" i="12"/>
  <c r="D269" i="1"/>
  <c r="G269" i="1" s="1"/>
  <c r="BC299" i="12"/>
  <c r="D267" i="1"/>
  <c r="G267" i="1" s="1"/>
  <c r="S265" i="12"/>
  <c r="T265" i="12" s="1"/>
  <c r="BK265" i="12"/>
  <c r="G261" i="1"/>
  <c r="I246" i="12"/>
  <c r="H265" i="12"/>
  <c r="BG265" i="12"/>
  <c r="F265" i="12"/>
  <c r="J265" i="12"/>
  <c r="Y265" i="12"/>
  <c r="Z265" i="12" s="1"/>
  <c r="AC236" i="12"/>
  <c r="AD236" i="12" s="1"/>
  <c r="AA307" i="12"/>
  <c r="AB307" i="12" s="1"/>
  <c r="BI265" i="12"/>
  <c r="AC265" i="12"/>
  <c r="AD265" i="12" s="1"/>
  <c r="L236" i="12"/>
  <c r="Q307" i="12"/>
  <c r="R307" i="12" s="1"/>
  <c r="BA265" i="12"/>
  <c r="K265" i="12"/>
  <c r="W236" i="12"/>
  <c r="X236" i="12" s="1"/>
  <c r="I236" i="12"/>
  <c r="BO265" i="12"/>
  <c r="J236" i="12"/>
  <c r="W307" i="12"/>
  <c r="X307" i="12" s="1"/>
  <c r="K307" i="12"/>
  <c r="S307" i="12"/>
  <c r="T307" i="12" s="1"/>
  <c r="BE265" i="12"/>
  <c r="AY265" i="12"/>
  <c r="M265" i="12"/>
  <c r="N265" i="12" s="1"/>
  <c r="AA236" i="12"/>
  <c r="AB236" i="12" s="1"/>
  <c r="D326" i="12"/>
  <c r="Q326" i="12" s="1"/>
  <c r="R326" i="12" s="1"/>
  <c r="BC265" i="12"/>
  <c r="AE265" i="12"/>
  <c r="AF265" i="12" s="1"/>
  <c r="K236" i="12"/>
  <c r="H236" i="12"/>
  <c r="AL265" i="12"/>
  <c r="O265" i="12"/>
  <c r="P265" i="12" s="1"/>
  <c r="S236" i="12"/>
  <c r="T236" i="12" s="1"/>
  <c r="BE299" i="12"/>
  <c r="AL307" i="12"/>
  <c r="AA265" i="12"/>
  <c r="AB265" i="12" s="1"/>
  <c r="AW265" i="12"/>
  <c r="U236" i="12"/>
  <c r="V236" i="12" s="1"/>
  <c r="AY299" i="12"/>
  <c r="Y226" i="12"/>
  <c r="Z226" i="12" s="1"/>
  <c r="M269" i="12"/>
  <c r="N269" i="12" s="1"/>
  <c r="BM299" i="12"/>
  <c r="I301" i="1" s="1"/>
  <c r="BE301" i="12"/>
  <c r="BG301" i="12"/>
  <c r="G336" i="1"/>
  <c r="D290" i="1"/>
  <c r="G290" i="1" s="1"/>
  <c r="S269" i="12"/>
  <c r="T269" i="12" s="1"/>
  <c r="S248" i="12"/>
  <c r="T248" i="12" s="1"/>
  <c r="AE301" i="12"/>
  <c r="AF301" i="12" s="1"/>
  <c r="O269" i="12"/>
  <c r="P269" i="12" s="1"/>
  <c r="Q286" i="12"/>
  <c r="R286" i="12" s="1"/>
  <c r="I335" i="12"/>
  <c r="D238" i="1"/>
  <c r="G238" i="1" s="1"/>
  <c r="BK276" i="12"/>
  <c r="W335" i="12"/>
  <c r="X335" i="12" s="1"/>
  <c r="D334" i="12"/>
  <c r="W334" i="12" s="1"/>
  <c r="X334" i="12" s="1"/>
  <c r="AY236" i="12"/>
  <c r="W269" i="12"/>
  <c r="X269" i="12" s="1"/>
  <c r="I269" i="12"/>
  <c r="K301" i="12"/>
  <c r="U248" i="12"/>
  <c r="V248" i="12" s="1"/>
  <c r="AC269" i="12"/>
  <c r="AD269" i="12" s="1"/>
  <c r="L248" i="12"/>
  <c r="U335" i="12"/>
  <c r="V335" i="12" s="1"/>
  <c r="G328" i="1"/>
  <c r="BC269" i="12"/>
  <c r="AW236" i="12"/>
  <c r="BG299" i="12"/>
  <c r="U269" i="12"/>
  <c r="V269" i="12" s="1"/>
  <c r="J269" i="12"/>
  <c r="J249" i="1"/>
  <c r="L307" i="12"/>
  <c r="AE269" i="12"/>
  <c r="AF269" i="12" s="1"/>
  <c r="BE269" i="12"/>
  <c r="AA269" i="12"/>
  <c r="AB269" i="12" s="1"/>
  <c r="F236" i="12"/>
  <c r="BA299" i="12"/>
  <c r="BA301" i="12"/>
  <c r="G325" i="1"/>
  <c r="H248" i="12"/>
  <c r="BO344" i="12"/>
  <c r="AW301" i="12"/>
  <c r="W301" i="12"/>
  <c r="X301" i="12" s="1"/>
  <c r="H299" i="12"/>
  <c r="D301" i="1"/>
  <c r="G301" i="1" s="1"/>
  <c r="AY286" i="12"/>
  <c r="Y248" i="12"/>
  <c r="Z248" i="12" s="1"/>
  <c r="Y236" i="12"/>
  <c r="Z236" i="12" s="1"/>
  <c r="F301" i="12"/>
  <c r="Y301" i="12"/>
  <c r="Z301" i="12" s="1"/>
  <c r="W299" i="12"/>
  <c r="X299" i="12" s="1"/>
  <c r="J295" i="1"/>
  <c r="J248" i="12"/>
  <c r="BI301" i="12"/>
  <c r="I248" i="12"/>
  <c r="H301" i="12"/>
  <c r="BE248" i="12"/>
  <c r="BO299" i="12"/>
  <c r="AY248" i="12"/>
  <c r="AE248" i="12"/>
  <c r="AF248" i="12" s="1"/>
  <c r="BI236" i="12"/>
  <c r="AA301" i="12"/>
  <c r="AB301" i="12" s="1"/>
  <c r="U299" i="12"/>
  <c r="V299" i="12" s="1"/>
  <c r="AC307" i="12"/>
  <c r="AD307" i="12" s="1"/>
  <c r="D266" i="1"/>
  <c r="G266" i="1" s="1"/>
  <c r="L246" i="12"/>
  <c r="BA248" i="12"/>
  <c r="O248" i="12"/>
  <c r="P248" i="12" s="1"/>
  <c r="BE236" i="12"/>
  <c r="O236" i="12"/>
  <c r="P236" i="12" s="1"/>
  <c r="BC301" i="12"/>
  <c r="AC301" i="12"/>
  <c r="AD301" i="12" s="1"/>
  <c r="Y299" i="12"/>
  <c r="Z299" i="12" s="1"/>
  <c r="W248" i="12"/>
  <c r="X248" i="12" s="1"/>
  <c r="O301" i="12"/>
  <c r="P301" i="12" s="1"/>
  <c r="Q301" i="12"/>
  <c r="R301" i="12" s="1"/>
  <c r="AA248" i="12"/>
  <c r="AB248" i="12" s="1"/>
  <c r="M301" i="12"/>
  <c r="N301" i="12" s="1"/>
  <c r="AC299" i="12"/>
  <c r="AD299" i="12" s="1"/>
  <c r="D323" i="12"/>
  <c r="BO323" i="12" s="1"/>
  <c r="BC236" i="12"/>
  <c r="U301" i="12"/>
  <c r="V301" i="12" s="1"/>
  <c r="M299" i="12"/>
  <c r="N299" i="12" s="1"/>
  <c r="BG248" i="12"/>
  <c r="BK236" i="12"/>
  <c r="J233" i="12"/>
  <c r="BK248" i="12"/>
  <c r="U246" i="12"/>
  <c r="V246" i="12" s="1"/>
  <c r="BI248" i="12"/>
  <c r="BO248" i="12"/>
  <c r="W279" i="12"/>
  <c r="X279" i="12" s="1"/>
  <c r="BA236" i="12"/>
  <c r="BO236" i="12"/>
  <c r="AL301" i="12"/>
  <c r="I301" i="12"/>
  <c r="I299" i="12"/>
  <c r="BO301" i="12"/>
  <c r="AY301" i="12"/>
  <c r="S301" i="12"/>
  <c r="T301" i="12" s="1"/>
  <c r="AW248" i="12"/>
  <c r="K248" i="12"/>
  <c r="L301" i="12"/>
  <c r="AC248" i="12"/>
  <c r="AD248" i="12" s="1"/>
  <c r="M236" i="12"/>
  <c r="N236" i="12" s="1"/>
  <c r="BG233" i="12"/>
  <c r="BA307" i="12"/>
  <c r="M248" i="12"/>
  <c r="N248" i="12" s="1"/>
  <c r="BM236" i="12"/>
  <c r="I238" i="1" s="1"/>
  <c r="BM301" i="12"/>
  <c r="I303" i="1" s="1"/>
  <c r="S299" i="12"/>
  <c r="T299" i="12" s="1"/>
  <c r="BG307" i="12"/>
  <c r="AE236" i="12"/>
  <c r="AF236" i="12" s="1"/>
  <c r="BM233" i="12"/>
  <c r="I235" i="1" s="1"/>
  <c r="H307" i="12"/>
  <c r="I307" i="12"/>
  <c r="BC248" i="12"/>
  <c r="BG236" i="12"/>
  <c r="BK301" i="12"/>
  <c r="K299" i="12"/>
  <c r="D268" i="1"/>
  <c r="J268" i="1" s="1"/>
  <c r="M307" i="12"/>
  <c r="N307" i="12" s="1"/>
  <c r="O276" i="12"/>
  <c r="P276" i="12" s="1"/>
  <c r="BE279" i="12"/>
  <c r="BK299" i="12"/>
  <c r="J299" i="12"/>
  <c r="J242" i="1"/>
  <c r="BK279" i="12"/>
  <c r="H226" i="12"/>
  <c r="BC307" i="12"/>
  <c r="O307" i="12"/>
  <c r="P307" i="12" s="1"/>
  <c r="AY279" i="12"/>
  <c r="O335" i="12"/>
  <c r="P335" i="12" s="1"/>
  <c r="O299" i="12"/>
  <c r="P299" i="12" s="1"/>
  <c r="AA299" i="12"/>
  <c r="AB299" i="12" s="1"/>
  <c r="U226" i="12"/>
  <c r="V226" i="12" s="1"/>
  <c r="L279" i="12"/>
  <c r="AL279" i="12"/>
  <c r="BC279" i="12"/>
  <c r="D308" i="12"/>
  <c r="J308" i="12" s="1"/>
  <c r="D314" i="12"/>
  <c r="J314" i="12" s="1"/>
  <c r="BK307" i="12"/>
  <c r="Y307" i="12"/>
  <c r="Z307" i="12" s="1"/>
  <c r="W304" i="12"/>
  <c r="X304" i="12" s="1"/>
  <c r="BM279" i="12"/>
  <c r="I281" i="1" s="1"/>
  <c r="J317" i="1"/>
  <c r="AE299" i="12"/>
  <c r="AF299" i="12" s="1"/>
  <c r="I226" i="12"/>
  <c r="S279" i="12"/>
  <c r="T279" i="12" s="1"/>
  <c r="F307" i="12"/>
  <c r="D281" i="1"/>
  <c r="J281" i="1" s="1"/>
  <c r="D335" i="1"/>
  <c r="J335" i="1" s="1"/>
  <c r="F279" i="12"/>
  <c r="AW299" i="12"/>
  <c r="F299" i="12"/>
  <c r="BO279" i="12"/>
  <c r="AW307" i="12"/>
  <c r="J279" i="12"/>
  <c r="BI307" i="12"/>
  <c r="BM307" i="12"/>
  <c r="I309" i="1" s="1"/>
  <c r="AY307" i="12"/>
  <c r="BO307" i="12"/>
  <c r="Y279" i="12"/>
  <c r="Z279" i="12" s="1"/>
  <c r="AY269" i="12"/>
  <c r="AL299" i="12"/>
  <c r="L299" i="12"/>
  <c r="D288" i="1"/>
  <c r="J288" i="1" s="1"/>
  <c r="BE307" i="12"/>
  <c r="AE307" i="12"/>
  <c r="AF307" i="12" s="1"/>
  <c r="M279" i="12"/>
  <c r="N279" i="12" s="1"/>
  <c r="J307" i="12"/>
  <c r="O279" i="12"/>
  <c r="P279" i="12" s="1"/>
  <c r="AL269" i="12"/>
  <c r="BI299" i="12"/>
  <c r="D262" i="12"/>
  <c r="J262" i="12" s="1"/>
  <c r="D297" i="1"/>
  <c r="G297" i="1" s="1"/>
  <c r="G254" i="1"/>
  <c r="BO269" i="12"/>
  <c r="D280" i="12"/>
  <c r="Y280" i="12" s="1"/>
  <c r="Z280" i="12" s="1"/>
  <c r="F318" i="12"/>
  <c r="BK335" i="12"/>
  <c r="BK269" i="12"/>
  <c r="J333" i="1"/>
  <c r="BI269" i="12"/>
  <c r="D234" i="1"/>
  <c r="J234" i="1" s="1"/>
  <c r="AC335" i="12"/>
  <c r="AD335" i="12" s="1"/>
  <c r="H269" i="12"/>
  <c r="D258" i="12"/>
  <c r="Y258" i="12" s="1"/>
  <c r="Z258" i="12" s="1"/>
  <c r="D294" i="1"/>
  <c r="J294" i="1" s="1"/>
  <c r="K318" i="12"/>
  <c r="K9" i="2"/>
  <c r="G251" i="1"/>
  <c r="S335" i="12"/>
  <c r="T335" i="12" s="1"/>
  <c r="F269" i="12"/>
  <c r="G244" i="1"/>
  <c r="F335" i="12"/>
  <c r="J344" i="12"/>
  <c r="AE335" i="12"/>
  <c r="AF335" i="12" s="1"/>
  <c r="Y269" i="12"/>
  <c r="Z269" i="12" s="1"/>
  <c r="D291" i="12"/>
  <c r="L291" i="12" s="1"/>
  <c r="Y246" i="12"/>
  <c r="Z246" i="12" s="1"/>
  <c r="J246" i="12"/>
  <c r="BE246" i="12"/>
  <c r="L318" i="12"/>
  <c r="M318" i="12"/>
  <c r="N318" i="12" s="1"/>
  <c r="I318" i="12"/>
  <c r="Q279" i="12"/>
  <c r="R279" i="12" s="1"/>
  <c r="Q289" i="12"/>
  <c r="R289" i="12" s="1"/>
  <c r="AL289" i="12"/>
  <c r="AY289" i="12"/>
  <c r="D329" i="1"/>
  <c r="G329" i="1" s="1"/>
  <c r="D300" i="1"/>
  <c r="J300" i="1" s="1"/>
  <c r="K286" i="12"/>
  <c r="G311" i="1"/>
  <c r="BA344" i="12"/>
  <c r="BI279" i="12"/>
  <c r="I279" i="12"/>
  <c r="BO289" i="12"/>
  <c r="W246" i="12"/>
  <c r="X246" i="12" s="1"/>
  <c r="J318" i="12"/>
  <c r="J247" i="1"/>
  <c r="AW289" i="12"/>
  <c r="H279" i="12"/>
  <c r="AY344" i="12"/>
  <c r="AW279" i="12"/>
  <c r="AC279" i="12"/>
  <c r="AD279" i="12" s="1"/>
  <c r="AE289" i="12"/>
  <c r="AF289" i="12" s="1"/>
  <c r="D231" i="1"/>
  <c r="G231" i="1" s="1"/>
  <c r="BI246" i="12"/>
  <c r="AA318" i="12"/>
  <c r="AB318" i="12" s="1"/>
  <c r="BG246" i="12"/>
  <c r="S286" i="12"/>
  <c r="T286" i="12" s="1"/>
  <c r="BK344" i="12"/>
  <c r="BA279" i="12"/>
  <c r="AA279" i="12"/>
  <c r="AB279" i="12" s="1"/>
  <c r="Y289" i="12"/>
  <c r="Z289" i="12" s="1"/>
  <c r="Q344" i="12"/>
  <c r="R344" i="12" s="1"/>
  <c r="BG279" i="12"/>
  <c r="K279" i="12"/>
  <c r="U289" i="12"/>
  <c r="V289" i="12" s="1"/>
  <c r="AW246" i="12"/>
  <c r="W289" i="12"/>
  <c r="X289" i="12" s="1"/>
  <c r="AY246" i="12"/>
  <c r="BE289" i="12"/>
  <c r="BA246" i="12"/>
  <c r="J339" i="12"/>
  <c r="AE246" i="12"/>
  <c r="AF246" i="12" s="1"/>
  <c r="W344" i="12"/>
  <c r="X344" i="12" s="1"/>
  <c r="BG289" i="12"/>
  <c r="BM289" i="12"/>
  <c r="I291" i="1" s="1"/>
  <c r="D237" i="1"/>
  <c r="G237" i="1" s="1"/>
  <c r="BC344" i="12"/>
  <c r="AL344" i="12"/>
  <c r="L344" i="12"/>
  <c r="AW344" i="12"/>
  <c r="H344" i="12"/>
  <c r="BA289" i="12"/>
  <c r="BA339" i="12"/>
  <c r="F344" i="12"/>
  <c r="J302" i="1"/>
  <c r="O246" i="12"/>
  <c r="P246" i="12" s="1"/>
  <c r="D303" i="12"/>
  <c r="Q303" i="12" s="1"/>
  <c r="R303" i="12" s="1"/>
  <c r="BO246" i="12"/>
  <c r="BE318" i="12"/>
  <c r="AC289" i="12"/>
  <c r="AD289" i="12" s="1"/>
  <c r="J264" i="1"/>
  <c r="Q246" i="12"/>
  <c r="R246" i="12" s="1"/>
  <c r="D320" i="1"/>
  <c r="J320" i="1" s="1"/>
  <c r="AC344" i="12"/>
  <c r="AD344" i="12" s="1"/>
  <c r="BI344" i="12"/>
  <c r="D313" i="1"/>
  <c r="G313" i="1" s="1"/>
  <c r="AE344" i="12"/>
  <c r="AF344" i="12" s="1"/>
  <c r="AA289" i="12"/>
  <c r="AB289" i="12" s="1"/>
  <c r="D292" i="1"/>
  <c r="J292" i="1" s="1"/>
  <c r="I289" i="12"/>
  <c r="G322" i="1"/>
  <c r="D346" i="1"/>
  <c r="J346" i="1" s="1"/>
  <c r="D229" i="1"/>
  <c r="G229" i="1" s="1"/>
  <c r="D325" i="12"/>
  <c r="W325" i="12" s="1"/>
  <c r="X325" i="12" s="1"/>
  <c r="J293" i="1"/>
  <c r="BC318" i="12"/>
  <c r="AA344" i="12"/>
  <c r="AB344" i="12" s="1"/>
  <c r="H289" i="12"/>
  <c r="S289" i="12"/>
  <c r="T289" i="12" s="1"/>
  <c r="D324" i="1"/>
  <c r="G324" i="1" s="1"/>
  <c r="F246" i="12"/>
  <c r="S246" i="12"/>
  <c r="T246" i="12" s="1"/>
  <c r="BG318" i="12"/>
  <c r="I344" i="12"/>
  <c r="AE279" i="12"/>
  <c r="AF279" i="12" s="1"/>
  <c r="L289" i="12"/>
  <c r="J289" i="12"/>
  <c r="J298" i="1"/>
  <c r="G252" i="1"/>
  <c r="K344" i="12"/>
  <c r="AA246" i="12"/>
  <c r="AB246" i="12" s="1"/>
  <c r="O344" i="12"/>
  <c r="P344" i="12" s="1"/>
  <c r="F289" i="12"/>
  <c r="K246" i="12"/>
  <c r="M246" i="12"/>
  <c r="N246" i="12" s="1"/>
  <c r="K289" i="12"/>
  <c r="AY318" i="12"/>
  <c r="S344" i="12"/>
  <c r="T344" i="12" s="1"/>
  <c r="D272" i="1"/>
  <c r="G272" i="1" s="1"/>
  <c r="M289" i="12"/>
  <c r="N289" i="12" s="1"/>
  <c r="BG335" i="12"/>
  <c r="BC246" i="12"/>
  <c r="BC289" i="12"/>
  <c r="U318" i="12"/>
  <c r="V318" i="12" s="1"/>
  <c r="D263" i="1"/>
  <c r="G263" i="1" s="1"/>
  <c r="U344" i="12"/>
  <c r="V344" i="12" s="1"/>
  <c r="BI289" i="12"/>
  <c r="D291" i="1"/>
  <c r="J291" i="1" s="1"/>
  <c r="Y344" i="12"/>
  <c r="Z344" i="12" s="1"/>
  <c r="BK289" i="12"/>
  <c r="H246" i="12"/>
  <c r="BG344" i="12"/>
  <c r="AC246" i="12"/>
  <c r="AD246" i="12" s="1"/>
  <c r="H318" i="12"/>
  <c r="BE344" i="12"/>
  <c r="D330" i="12"/>
  <c r="AA330" i="12" s="1"/>
  <c r="AB330" i="12" s="1"/>
  <c r="AW335" i="12"/>
  <c r="D287" i="1"/>
  <c r="G287" i="1" s="1"/>
  <c r="AY233" i="12"/>
  <c r="BK233" i="12"/>
  <c r="D340" i="1"/>
  <c r="G340" i="1" s="1"/>
  <c r="BI233" i="12"/>
  <c r="L244" i="12"/>
  <c r="BA233" i="12"/>
  <c r="AL276" i="12"/>
  <c r="AA233" i="12"/>
  <c r="AB233" i="12" s="1"/>
  <c r="BI276" i="12"/>
  <c r="I233" i="12"/>
  <c r="H276" i="12"/>
  <c r="K233" i="12"/>
  <c r="L276" i="12"/>
  <c r="Y233" i="12"/>
  <c r="Z233" i="12" s="1"/>
  <c r="AE276" i="12"/>
  <c r="AF276" i="12" s="1"/>
  <c r="M233" i="12"/>
  <c r="N233" i="12" s="1"/>
  <c r="Q276" i="12"/>
  <c r="R276" i="12" s="1"/>
  <c r="O233" i="12"/>
  <c r="P233" i="12" s="1"/>
  <c r="AA276" i="12"/>
  <c r="AB276" i="12" s="1"/>
  <c r="BO233" i="12"/>
  <c r="U233" i="12"/>
  <c r="V233" i="12" s="1"/>
  <c r="D235" i="1"/>
  <c r="J235" i="1" s="1"/>
  <c r="Q244" i="12"/>
  <c r="R244" i="12" s="1"/>
  <c r="J283" i="1"/>
  <c r="AE339" i="12"/>
  <c r="AF339" i="12" s="1"/>
  <c r="S244" i="12"/>
  <c r="T244" i="12" s="1"/>
  <c r="J244" i="12"/>
  <c r="I339" i="12"/>
  <c r="H244" i="12"/>
  <c r="BE244" i="12"/>
  <c r="D341" i="1"/>
  <c r="J341" i="1" s="1"/>
  <c r="BM244" i="12"/>
  <c r="I246" i="1" s="1"/>
  <c r="BG339" i="12"/>
  <c r="M339" i="12"/>
  <c r="N339" i="12" s="1"/>
  <c r="AC244" i="12"/>
  <c r="AD244" i="12" s="1"/>
  <c r="BG244" i="12"/>
  <c r="BK244" i="12"/>
  <c r="U244" i="12"/>
  <c r="V244" i="12" s="1"/>
  <c r="BC339" i="12"/>
  <c r="O339" i="12"/>
  <c r="P339" i="12" s="1"/>
  <c r="D306" i="1"/>
  <c r="J306" i="1" s="1"/>
  <c r="BA244" i="12"/>
  <c r="O244" i="12"/>
  <c r="P244" i="12" s="1"/>
  <c r="AA339" i="12"/>
  <c r="AB339" i="12" s="1"/>
  <c r="BO244" i="12"/>
  <c r="BI339" i="12"/>
  <c r="Q339" i="12"/>
  <c r="R339" i="12" s="1"/>
  <c r="W244" i="12"/>
  <c r="X244" i="12" s="1"/>
  <c r="AE244" i="12"/>
  <c r="AF244" i="12" s="1"/>
  <c r="AW339" i="12"/>
  <c r="U339" i="12"/>
  <c r="V339" i="12" s="1"/>
  <c r="D228" i="12"/>
  <c r="D230" i="1"/>
  <c r="AY339" i="12"/>
  <c r="L339" i="12"/>
  <c r="D257" i="12"/>
  <c r="D259" i="1"/>
  <c r="BO339" i="12"/>
  <c r="W339" i="12"/>
  <c r="X339" i="12" s="1"/>
  <c r="Y244" i="12"/>
  <c r="Z244" i="12" s="1"/>
  <c r="AY244" i="12"/>
  <c r="AW244" i="12"/>
  <c r="F244" i="12"/>
  <c r="F339" i="12"/>
  <c r="G348" i="1"/>
  <c r="K339" i="12"/>
  <c r="AL339" i="12"/>
  <c r="H339" i="12"/>
  <c r="G257" i="1"/>
  <c r="D306" i="12"/>
  <c r="M306" i="12" s="1"/>
  <c r="N306" i="12" s="1"/>
  <c r="I244" i="12"/>
  <c r="BC244" i="12"/>
  <c r="BE339" i="12"/>
  <c r="BK339" i="12"/>
  <c r="AC339" i="12"/>
  <c r="AD339" i="12" s="1"/>
  <c r="D270" i="1"/>
  <c r="J270" i="1" s="1"/>
  <c r="S339" i="12"/>
  <c r="T339" i="12" s="1"/>
  <c r="J335" i="12"/>
  <c r="M244" i="12"/>
  <c r="N244" i="12" s="1"/>
  <c r="AA244" i="12"/>
  <c r="AB244" i="12" s="1"/>
  <c r="K244" i="12"/>
  <c r="U286" i="12"/>
  <c r="V286" i="12" s="1"/>
  <c r="AY304" i="12"/>
  <c r="U276" i="12"/>
  <c r="V276" i="12" s="1"/>
  <c r="Y304" i="12"/>
  <c r="Z304" i="12" s="1"/>
  <c r="J255" i="1"/>
  <c r="AE286" i="12"/>
  <c r="AF286" i="12" s="1"/>
  <c r="BC276" i="12"/>
  <c r="I304" i="12"/>
  <c r="BE276" i="12"/>
  <c r="BI304" i="12"/>
  <c r="BM304" i="12"/>
  <c r="I306" i="1" s="1"/>
  <c r="BE304" i="12"/>
  <c r="M226" i="12"/>
  <c r="N226" i="12" s="1"/>
  <c r="AW286" i="12"/>
  <c r="J286" i="12"/>
  <c r="AW276" i="12"/>
  <c r="Y276" i="12"/>
  <c r="Z276" i="12" s="1"/>
  <c r="BC304" i="12"/>
  <c r="J304" i="12"/>
  <c r="AE318" i="12"/>
  <c r="AF318" i="12" s="1"/>
  <c r="BE233" i="12"/>
  <c r="L233" i="12"/>
  <c r="BM226" i="12"/>
  <c r="I228" i="1" s="1"/>
  <c r="F304" i="12"/>
  <c r="BG286" i="12"/>
  <c r="BC286" i="12"/>
  <c r="AA286" i="12"/>
  <c r="AB286" i="12" s="1"/>
  <c r="W276" i="12"/>
  <c r="X276" i="12" s="1"/>
  <c r="AC318" i="12"/>
  <c r="AD318" i="12" s="1"/>
  <c r="BA286" i="12"/>
  <c r="BM286" i="12"/>
  <c r="I288" i="1" s="1"/>
  <c r="AY276" i="12"/>
  <c r="K276" i="12"/>
  <c r="AW304" i="12"/>
  <c r="AC304" i="12"/>
  <c r="AD304" i="12" s="1"/>
  <c r="BO318" i="12"/>
  <c r="AW233" i="12"/>
  <c r="AC233" i="12"/>
  <c r="AD233" i="12" s="1"/>
  <c r="J273" i="1"/>
  <c r="G253" i="1"/>
  <c r="AL304" i="12"/>
  <c r="G350" i="1"/>
  <c r="BI286" i="12"/>
  <c r="BO286" i="12"/>
  <c r="AC276" i="12"/>
  <c r="AD276" i="12" s="1"/>
  <c r="O304" i="12"/>
  <c r="P304" i="12" s="1"/>
  <c r="AA304" i="12"/>
  <c r="AB304" i="12" s="1"/>
  <c r="BK318" i="12"/>
  <c r="O318" i="12"/>
  <c r="P318" i="12" s="1"/>
  <c r="BC233" i="12"/>
  <c r="Q233" i="12"/>
  <c r="R233" i="12" s="1"/>
  <c r="D278" i="1"/>
  <c r="BE286" i="12"/>
  <c r="S276" i="12"/>
  <c r="T276" i="12" s="1"/>
  <c r="O286" i="12"/>
  <c r="P286" i="12" s="1"/>
  <c r="K304" i="12"/>
  <c r="F276" i="12"/>
  <c r="Q304" i="12"/>
  <c r="R304" i="12" s="1"/>
  <c r="BI318" i="12"/>
  <c r="BE226" i="12"/>
  <c r="F286" i="12"/>
  <c r="Y286" i="12"/>
  <c r="Z286" i="12" s="1"/>
  <c r="I276" i="12"/>
  <c r="S304" i="12"/>
  <c r="T304" i="12" s="1"/>
  <c r="D345" i="1"/>
  <c r="J345" i="1" s="1"/>
  <c r="AW318" i="12"/>
  <c r="S318" i="12"/>
  <c r="T318" i="12" s="1"/>
  <c r="H233" i="12"/>
  <c r="W233" i="12"/>
  <c r="X233" i="12" s="1"/>
  <c r="BK226" i="12"/>
  <c r="L304" i="12"/>
  <c r="L286" i="12"/>
  <c r="BG304" i="12"/>
  <c r="D319" i="1"/>
  <c r="J319" i="1" s="1"/>
  <c r="BA304" i="12"/>
  <c r="I286" i="12"/>
  <c r="BO304" i="12"/>
  <c r="Q318" i="12"/>
  <c r="R318" i="12" s="1"/>
  <c r="W286" i="12"/>
  <c r="X286" i="12" s="1"/>
  <c r="BA276" i="12"/>
  <c r="J276" i="12"/>
  <c r="H304" i="12"/>
  <c r="J256" i="1"/>
  <c r="BA318" i="12"/>
  <c r="W318" i="12"/>
  <c r="X318" i="12" s="1"/>
  <c r="Q335" i="12"/>
  <c r="R335" i="12" s="1"/>
  <c r="F233" i="12"/>
  <c r="S233" i="12"/>
  <c r="T233" i="12" s="1"/>
  <c r="BG226" i="12"/>
  <c r="D296" i="12"/>
  <c r="BI296" i="12" s="1"/>
  <c r="BK286" i="12"/>
  <c r="AC286" i="12"/>
  <c r="AD286" i="12" s="1"/>
  <c r="BK304" i="12"/>
  <c r="M304" i="12"/>
  <c r="N304" i="12" s="1"/>
  <c r="AE304" i="12"/>
  <c r="AF304" i="12" s="1"/>
  <c r="AL286" i="12"/>
  <c r="BO276" i="12"/>
  <c r="H286" i="12"/>
  <c r="BG276" i="12"/>
  <c r="AL318" i="12"/>
  <c r="AW226" i="12"/>
  <c r="K328" i="12"/>
  <c r="U328" i="12"/>
  <c r="V328" i="12" s="1"/>
  <c r="S328" i="12"/>
  <c r="T328" i="12" s="1"/>
  <c r="BG328" i="12"/>
  <c r="M328" i="12"/>
  <c r="N328" i="12" s="1"/>
  <c r="Q328" i="12"/>
  <c r="R328" i="12" s="1"/>
  <c r="AE328" i="12"/>
  <c r="AF328" i="12" s="1"/>
  <c r="BI328" i="12"/>
  <c r="AY328" i="12"/>
  <c r="BO328" i="12"/>
  <c r="AW328" i="12"/>
  <c r="W328" i="12"/>
  <c r="X328" i="12" s="1"/>
  <c r="L328" i="12"/>
  <c r="BK328" i="12"/>
  <c r="AC328" i="12"/>
  <c r="AD328" i="12" s="1"/>
  <c r="BA328" i="12"/>
  <c r="J328" i="12"/>
  <c r="AL328" i="12"/>
  <c r="BM328" i="12"/>
  <c r="I330" i="1" s="1"/>
  <c r="BC328" i="12"/>
  <c r="I328" i="12"/>
  <c r="BE328" i="12"/>
  <c r="Y328" i="12"/>
  <c r="Z328" i="12" s="1"/>
  <c r="F328" i="12"/>
  <c r="D296" i="1"/>
  <c r="D294" i="12"/>
  <c r="H328" i="12"/>
  <c r="O328" i="12"/>
  <c r="P328" i="12" s="1"/>
  <c r="AA328" i="12"/>
  <c r="AB328" i="12" s="1"/>
  <c r="D321" i="12"/>
  <c r="D323" i="1"/>
  <c r="D312" i="12"/>
  <c r="D314" i="1"/>
  <c r="D349" i="12"/>
  <c r="D351" i="1"/>
  <c r="D310" i="12"/>
  <c r="D312" i="1"/>
  <c r="D342" i="12"/>
  <c r="D344" i="1"/>
  <c r="BO335" i="12"/>
  <c r="K269" i="12"/>
  <c r="D284" i="12"/>
  <c r="D286" i="1"/>
  <c r="D331" i="1"/>
  <c r="D329" i="12"/>
  <c r="D302" i="12"/>
  <c r="D304" i="1"/>
  <c r="BE241" i="12"/>
  <c r="K241" i="12"/>
  <c r="BA241" i="12"/>
  <c r="J241" i="12"/>
  <c r="Q241" i="12"/>
  <c r="R241" i="12" s="1"/>
  <c r="M241" i="12"/>
  <c r="N241" i="12" s="1"/>
  <c r="BI241" i="12"/>
  <c r="W241" i="12"/>
  <c r="X241" i="12" s="1"/>
  <c r="AA241" i="12"/>
  <c r="AB241" i="12" s="1"/>
  <c r="BO241" i="12"/>
  <c r="BM241" i="12"/>
  <c r="I243" i="1" s="1"/>
  <c r="BK241" i="12"/>
  <c r="I241" i="12"/>
  <c r="AW241" i="12"/>
  <c r="BC241" i="12"/>
  <c r="Y241" i="12"/>
  <c r="Z241" i="12" s="1"/>
  <c r="U241" i="12"/>
  <c r="V241" i="12" s="1"/>
  <c r="L241" i="12"/>
  <c r="AY241" i="12"/>
  <c r="S241" i="12"/>
  <c r="T241" i="12" s="1"/>
  <c r="F241" i="12"/>
  <c r="AC241" i="12"/>
  <c r="AD241" i="12" s="1"/>
  <c r="AE241" i="12"/>
  <c r="AF241" i="12" s="1"/>
  <c r="BG241" i="12"/>
  <c r="O241" i="12"/>
  <c r="P241" i="12" s="1"/>
  <c r="H241" i="12"/>
  <c r="D347" i="12"/>
  <c r="D349" i="1"/>
  <c r="J243" i="1"/>
  <c r="G243" i="1"/>
  <c r="D337" i="12"/>
  <c r="D339" i="1"/>
  <c r="D316" i="12"/>
  <c r="D318" i="1"/>
  <c r="AY335" i="12"/>
  <c r="Y335" i="12"/>
  <c r="Z335" i="12" s="1"/>
  <c r="BA269" i="12"/>
  <c r="L269" i="12"/>
  <c r="D231" i="12"/>
  <c r="D233" i="1"/>
  <c r="BC335" i="12"/>
  <c r="AW269" i="12"/>
  <c r="Q269" i="12"/>
  <c r="R269" i="12" s="1"/>
  <c r="J245" i="1"/>
  <c r="G245" i="1"/>
  <c r="D336" i="12"/>
  <c r="D338" i="1"/>
  <c r="D274" i="12"/>
  <c r="D276" i="1"/>
  <c r="BE335" i="12"/>
  <c r="BG269" i="12"/>
  <c r="D260" i="12"/>
  <c r="D262" i="1"/>
  <c r="BC226" i="12"/>
  <c r="K226" i="12"/>
  <c r="AA226" i="12"/>
  <c r="AB226" i="12" s="1"/>
  <c r="AY226" i="12"/>
  <c r="L226" i="12"/>
  <c r="D228" i="1"/>
  <c r="J228" i="1" s="1"/>
  <c r="BA226" i="12"/>
  <c r="BI226" i="12"/>
  <c r="AC226" i="12"/>
  <c r="AD226" i="12" s="1"/>
  <c r="BO226" i="12"/>
  <c r="G275" i="1"/>
  <c r="J226" i="12"/>
  <c r="F226" i="12"/>
  <c r="J285" i="1"/>
  <c r="J271" i="1"/>
  <c r="O226" i="12"/>
  <c r="P226" i="12" s="1"/>
  <c r="AE226" i="12"/>
  <c r="AF226" i="12" s="1"/>
  <c r="W226" i="12"/>
  <c r="X226" i="12" s="1"/>
  <c r="Q226" i="12"/>
  <c r="R226" i="12" s="1"/>
  <c r="D282" i="12"/>
  <c r="D284" i="1"/>
  <c r="H335" i="12"/>
  <c r="AA335" i="12"/>
  <c r="AB335" i="12" s="1"/>
  <c r="AL335" i="12"/>
  <c r="K335" i="12"/>
  <c r="C7" i="7"/>
  <c r="D364" i="12" s="1"/>
  <c r="E371" i="12" s="1"/>
  <c r="BI335" i="12"/>
  <c r="L335" i="12"/>
  <c r="BA335" i="12"/>
  <c r="J258" i="1"/>
  <c r="G258" i="1"/>
  <c r="D332" i="12"/>
  <c r="D334" i="1"/>
  <c r="BA256" i="12"/>
  <c r="BI256" i="12"/>
  <c r="AY256" i="12"/>
  <c r="BC256" i="12"/>
  <c r="BE256" i="12"/>
  <c r="AW256" i="12"/>
  <c r="BK256" i="12"/>
  <c r="BG256" i="12"/>
  <c r="BO256" i="12"/>
  <c r="AA256" i="12"/>
  <c r="AB256" i="12" s="1"/>
  <c r="AC256" i="12"/>
  <c r="AD256" i="12" s="1"/>
  <c r="Y256" i="12"/>
  <c r="Z256" i="12" s="1"/>
  <c r="Q256" i="12"/>
  <c r="R256" i="12" s="1"/>
  <c r="O256" i="12"/>
  <c r="P256" i="12" s="1"/>
  <c r="L256" i="12"/>
  <c r="AE256" i="12"/>
  <c r="AF256" i="12" s="1"/>
  <c r="M256" i="12"/>
  <c r="N256" i="12" s="1"/>
  <c r="S256" i="12"/>
  <c r="T256" i="12" s="1"/>
  <c r="K256" i="12"/>
  <c r="H256" i="12"/>
  <c r="J256" i="12"/>
  <c r="BM256" i="12"/>
  <c r="I258" i="1" s="1"/>
  <c r="I256" i="12"/>
  <c r="W256" i="12"/>
  <c r="X256" i="12" s="1"/>
  <c r="F256" i="12"/>
  <c r="U256" i="12"/>
  <c r="V256" i="12" s="1"/>
  <c r="D297" i="12"/>
  <c r="D299" i="1"/>
  <c r="D265" i="1"/>
  <c r="D263" i="12"/>
  <c r="D319" i="12"/>
  <c r="D321" i="1"/>
  <c r="D234" i="12"/>
  <c r="D236" i="1"/>
  <c r="D305" i="12"/>
  <c r="D307" i="1"/>
  <c r="D347" i="1"/>
  <c r="D345" i="12"/>
  <c r="D313" i="12"/>
  <c r="D315" i="1"/>
  <c r="D324" i="12"/>
  <c r="D326" i="1"/>
  <c r="D342" i="1"/>
  <c r="D340" i="12"/>
  <c r="D277" i="12"/>
  <c r="D279" i="1"/>
  <c r="D287" i="12"/>
  <c r="D289" i="1"/>
  <c r="G241" i="1"/>
  <c r="J241" i="1"/>
  <c r="E378" i="3"/>
  <c r="I378" i="3" s="1"/>
  <c r="U239" i="12"/>
  <c r="V239" i="12" s="1"/>
  <c r="Q239" i="12"/>
  <c r="R239" i="12" s="1"/>
  <c r="O239" i="12"/>
  <c r="P239" i="12" s="1"/>
  <c r="AE239" i="12"/>
  <c r="AF239" i="12" s="1"/>
  <c r="M239" i="12"/>
  <c r="N239" i="12" s="1"/>
  <c r="L239" i="12"/>
  <c r="BO239" i="12"/>
  <c r="AC239" i="12"/>
  <c r="AD239" i="12" s="1"/>
  <c r="K239" i="12"/>
  <c r="J239" i="12"/>
  <c r="H239" i="12"/>
  <c r="Y239" i="12"/>
  <c r="Z239" i="12" s="1"/>
  <c r="AA239" i="12"/>
  <c r="AB239" i="12" s="1"/>
  <c r="W239" i="12"/>
  <c r="X239" i="12" s="1"/>
  <c r="BM239" i="12"/>
  <c r="I241" i="1" s="1"/>
  <c r="S239" i="12"/>
  <c r="T239" i="12" s="1"/>
  <c r="I239" i="12"/>
  <c r="F239" i="12"/>
  <c r="BA239" i="12"/>
  <c r="BK239" i="12"/>
  <c r="BG239" i="12"/>
  <c r="BC239" i="12"/>
  <c r="BE239" i="12"/>
  <c r="AY239" i="12"/>
  <c r="BI239" i="12"/>
  <c r="AW239" i="12"/>
  <c r="AC268" i="12"/>
  <c r="AD268" i="12" s="1"/>
  <c r="M268" i="12"/>
  <c r="N268" i="12" s="1"/>
  <c r="O268" i="12"/>
  <c r="P268" i="12" s="1"/>
  <c r="AE268" i="12"/>
  <c r="AF268" i="12" s="1"/>
  <c r="L268" i="12"/>
  <c r="BO268" i="12"/>
  <c r="K268" i="12"/>
  <c r="J268" i="12"/>
  <c r="BM268" i="12"/>
  <c r="I270" i="1" s="1"/>
  <c r="AA268" i="12"/>
  <c r="AB268" i="12" s="1"/>
  <c r="I268" i="12"/>
  <c r="Y268" i="12"/>
  <c r="Z268" i="12" s="1"/>
  <c r="W268" i="12"/>
  <c r="X268" i="12" s="1"/>
  <c r="H268" i="12"/>
  <c r="F268" i="12"/>
  <c r="U268" i="12"/>
  <c r="V268" i="12" s="1"/>
  <c r="S268" i="12"/>
  <c r="T268" i="12" s="1"/>
  <c r="Q268" i="12"/>
  <c r="R268" i="12" s="1"/>
  <c r="AW268" i="12"/>
  <c r="BI268" i="12"/>
  <c r="AY268" i="12"/>
  <c r="BG268" i="12"/>
  <c r="BK268" i="12"/>
  <c r="BE268" i="12"/>
  <c r="AL268" i="12"/>
  <c r="BA268" i="12"/>
  <c r="BC268" i="12"/>
  <c r="J317" i="12"/>
  <c r="AC317" i="12"/>
  <c r="AD317" i="12" s="1"/>
  <c r="L317" i="12"/>
  <c r="K317" i="12"/>
  <c r="AA317" i="12"/>
  <c r="AB317" i="12" s="1"/>
  <c r="I317" i="12"/>
  <c r="Y317" i="12"/>
  <c r="Z317" i="12" s="1"/>
  <c r="W317" i="12"/>
  <c r="X317" i="12" s="1"/>
  <c r="U317" i="12"/>
  <c r="V317" i="12" s="1"/>
  <c r="O317" i="12"/>
  <c r="P317" i="12" s="1"/>
  <c r="M317" i="12"/>
  <c r="N317" i="12" s="1"/>
  <c r="AE317" i="12"/>
  <c r="AF317" i="12" s="1"/>
  <c r="BO317" i="12"/>
  <c r="BM317" i="12"/>
  <c r="I319" i="1" s="1"/>
  <c r="S317" i="12"/>
  <c r="T317" i="12" s="1"/>
  <c r="Q317" i="12"/>
  <c r="R317" i="12" s="1"/>
  <c r="H317" i="12"/>
  <c r="F317" i="12"/>
  <c r="BA317" i="12"/>
  <c r="AW317" i="12"/>
  <c r="AY317" i="12"/>
  <c r="AL317" i="12"/>
  <c r="BC317" i="12"/>
  <c r="BG317" i="12"/>
  <c r="BI317" i="12"/>
  <c r="BE317" i="12"/>
  <c r="BK317" i="12"/>
  <c r="Q292" i="12"/>
  <c r="R292" i="12" s="1"/>
  <c r="I292" i="12"/>
  <c r="AC292" i="12"/>
  <c r="AD292" i="12" s="1"/>
  <c r="J292" i="12"/>
  <c r="BO292" i="12"/>
  <c r="AA292" i="12"/>
  <c r="AB292" i="12" s="1"/>
  <c r="Y292" i="12"/>
  <c r="Z292" i="12" s="1"/>
  <c r="W292" i="12"/>
  <c r="X292" i="12" s="1"/>
  <c r="U292" i="12"/>
  <c r="V292" i="12" s="1"/>
  <c r="S292" i="12"/>
  <c r="T292" i="12" s="1"/>
  <c r="AE292" i="12"/>
  <c r="AF292" i="12" s="1"/>
  <c r="M292" i="12"/>
  <c r="N292" i="12" s="1"/>
  <c r="L292" i="12"/>
  <c r="K292" i="12"/>
  <c r="O292" i="12"/>
  <c r="P292" i="12" s="1"/>
  <c r="F292" i="12"/>
  <c r="H292" i="12"/>
  <c r="BE292" i="12"/>
  <c r="AL292" i="12"/>
  <c r="BI292" i="12"/>
  <c r="BC292" i="12"/>
  <c r="BK292" i="12"/>
  <c r="BG292" i="12"/>
  <c r="AW292" i="12"/>
  <c r="BA292" i="12"/>
  <c r="AY292" i="12"/>
  <c r="G327" i="1"/>
  <c r="J327" i="1"/>
  <c r="E377" i="3"/>
  <c r="I377" i="3" s="1"/>
  <c r="K380" i="3"/>
  <c r="J240" i="1"/>
  <c r="G240" i="1"/>
  <c r="J308" i="1"/>
  <c r="G308" i="1"/>
  <c r="AE288" i="12"/>
  <c r="AF288" i="12" s="1"/>
  <c r="O288" i="12"/>
  <c r="P288" i="12" s="1"/>
  <c r="Y288" i="12"/>
  <c r="Z288" i="12" s="1"/>
  <c r="W288" i="12"/>
  <c r="X288" i="12" s="1"/>
  <c r="S288" i="12"/>
  <c r="T288" i="12" s="1"/>
  <c r="Q288" i="12"/>
  <c r="R288" i="12" s="1"/>
  <c r="BO288" i="12"/>
  <c r="AC288" i="12"/>
  <c r="AD288" i="12" s="1"/>
  <c r="AA288" i="12"/>
  <c r="AB288" i="12" s="1"/>
  <c r="U288" i="12"/>
  <c r="V288" i="12" s="1"/>
  <c r="M288" i="12"/>
  <c r="N288" i="12" s="1"/>
  <c r="L288" i="12"/>
  <c r="K288" i="12"/>
  <c r="J288" i="12"/>
  <c r="I288" i="12"/>
  <c r="F288" i="12"/>
  <c r="H288" i="12"/>
  <c r="BA288" i="12"/>
  <c r="AL288" i="12"/>
  <c r="AW288" i="12"/>
  <c r="BK288" i="12"/>
  <c r="AY288" i="12"/>
  <c r="BE288" i="12"/>
  <c r="BC288" i="12"/>
  <c r="BG288" i="12"/>
  <c r="BI288" i="12"/>
  <c r="J238" i="12"/>
  <c r="S238" i="12"/>
  <c r="T238" i="12" s="1"/>
  <c r="Q238" i="12"/>
  <c r="R238" i="12" s="1"/>
  <c r="BO238" i="12"/>
  <c r="O238" i="12"/>
  <c r="P238" i="12" s="1"/>
  <c r="AE238" i="12"/>
  <c r="AF238" i="12" s="1"/>
  <c r="BM238" i="12"/>
  <c r="I240" i="1" s="1"/>
  <c r="M238" i="12"/>
  <c r="N238" i="12" s="1"/>
  <c r="AC238" i="12"/>
  <c r="AD238" i="12" s="1"/>
  <c r="L238" i="12"/>
  <c r="AA238" i="12"/>
  <c r="AB238" i="12" s="1"/>
  <c r="I238" i="12"/>
  <c r="Y238" i="12"/>
  <c r="Z238" i="12" s="1"/>
  <c r="K238" i="12"/>
  <c r="U238" i="12"/>
  <c r="V238" i="12" s="1"/>
  <c r="W238" i="12"/>
  <c r="X238" i="12" s="1"/>
  <c r="H238" i="12"/>
  <c r="F238" i="12"/>
  <c r="AY238" i="12"/>
  <c r="BA238" i="12"/>
  <c r="BK238" i="12"/>
  <c r="BE238" i="12"/>
  <c r="BC238" i="12"/>
  <c r="BI238" i="12"/>
  <c r="AW238" i="12"/>
  <c r="BG238" i="12"/>
  <c r="Q322" i="12"/>
  <c r="R322" i="12" s="1"/>
  <c r="AE322" i="12"/>
  <c r="AF322" i="12" s="1"/>
  <c r="O322" i="12"/>
  <c r="P322" i="12" s="1"/>
  <c r="J322" i="12"/>
  <c r="AA322" i="12"/>
  <c r="AB322" i="12" s="1"/>
  <c r="BO322" i="12"/>
  <c r="Y322" i="12"/>
  <c r="Z322" i="12" s="1"/>
  <c r="U322" i="12"/>
  <c r="V322" i="12" s="1"/>
  <c r="S322" i="12"/>
  <c r="T322" i="12" s="1"/>
  <c r="AC322" i="12"/>
  <c r="AD322" i="12" s="1"/>
  <c r="W322" i="12"/>
  <c r="X322" i="12" s="1"/>
  <c r="M322" i="12"/>
  <c r="N322" i="12" s="1"/>
  <c r="L322" i="12"/>
  <c r="I322" i="12"/>
  <c r="K322" i="12"/>
  <c r="H322" i="12"/>
  <c r="F322" i="12"/>
  <c r="BC322" i="12"/>
  <c r="AW322" i="12"/>
  <c r="AL322" i="12"/>
  <c r="BI322" i="12"/>
  <c r="BG322" i="12"/>
  <c r="AY322" i="12"/>
  <c r="BE322" i="12"/>
  <c r="BA322" i="12"/>
  <c r="BK322" i="12"/>
  <c r="S333" i="12"/>
  <c r="T333" i="12" s="1"/>
  <c r="Q333" i="12"/>
  <c r="R333" i="12" s="1"/>
  <c r="AE333" i="12"/>
  <c r="AF333" i="12" s="1"/>
  <c r="O333" i="12"/>
  <c r="P333" i="12" s="1"/>
  <c r="Y333" i="12"/>
  <c r="Z333" i="12" s="1"/>
  <c r="K333" i="12"/>
  <c r="J333" i="12"/>
  <c r="I333" i="12"/>
  <c r="F333" i="12"/>
  <c r="AA333" i="12"/>
  <c r="AB333" i="12" s="1"/>
  <c r="W333" i="12"/>
  <c r="X333" i="12" s="1"/>
  <c r="AC333" i="12"/>
  <c r="AD333" i="12" s="1"/>
  <c r="U333" i="12"/>
  <c r="V333" i="12" s="1"/>
  <c r="M333" i="12"/>
  <c r="N333" i="12" s="1"/>
  <c r="L333" i="12"/>
  <c r="BO333" i="12"/>
  <c r="H333" i="12"/>
  <c r="BC333" i="12"/>
  <c r="AL333" i="12"/>
  <c r="BK333" i="12"/>
  <c r="AW333" i="12"/>
  <c r="BG333" i="12"/>
  <c r="AY333" i="12"/>
  <c r="BA333" i="12"/>
  <c r="BI333" i="12"/>
  <c r="BE333" i="12"/>
  <c r="W229" i="12"/>
  <c r="X229" i="12" s="1"/>
  <c r="AA229" i="12"/>
  <c r="AB229" i="12" s="1"/>
  <c r="J229" i="12"/>
  <c r="I229" i="12"/>
  <c r="Y229" i="12"/>
  <c r="Z229" i="12" s="1"/>
  <c r="H229" i="12"/>
  <c r="F229" i="12"/>
  <c r="U229" i="12"/>
  <c r="V229" i="12" s="1"/>
  <c r="S229" i="12"/>
  <c r="T229" i="12" s="1"/>
  <c r="Q229" i="12"/>
  <c r="R229" i="12" s="1"/>
  <c r="BO229" i="12"/>
  <c r="BM229" i="12"/>
  <c r="I231" i="1" s="1"/>
  <c r="O229" i="12"/>
  <c r="P229" i="12" s="1"/>
  <c r="M229" i="12"/>
  <c r="N229" i="12" s="1"/>
  <c r="L229" i="12"/>
  <c r="K229" i="12"/>
  <c r="AC229" i="12"/>
  <c r="AD229" i="12" s="1"/>
  <c r="AE229" i="12"/>
  <c r="AF229" i="12" s="1"/>
  <c r="BI229" i="12"/>
  <c r="BC229" i="12"/>
  <c r="AY229" i="12"/>
  <c r="BA229" i="12"/>
  <c r="BK229" i="12"/>
  <c r="BE229" i="12"/>
  <c r="BG229" i="12"/>
  <c r="AW229" i="12"/>
  <c r="J310" i="1"/>
  <c r="G310" i="1"/>
  <c r="G305" i="1"/>
  <c r="J305" i="1"/>
  <c r="K298" i="12"/>
  <c r="AA298" i="12"/>
  <c r="AB298" i="12" s="1"/>
  <c r="J298" i="12"/>
  <c r="I298" i="12"/>
  <c r="Y298" i="12"/>
  <c r="Z298" i="12" s="1"/>
  <c r="W298" i="12"/>
  <c r="X298" i="12" s="1"/>
  <c r="U298" i="12"/>
  <c r="V298" i="12" s="1"/>
  <c r="L298" i="12"/>
  <c r="AE298" i="12"/>
  <c r="AF298" i="12" s="1"/>
  <c r="BO298" i="12"/>
  <c r="AC298" i="12"/>
  <c r="AD298" i="12" s="1"/>
  <c r="S298" i="12"/>
  <c r="T298" i="12" s="1"/>
  <c r="Q298" i="12"/>
  <c r="R298" i="12" s="1"/>
  <c r="O298" i="12"/>
  <c r="P298" i="12" s="1"/>
  <c r="M298" i="12"/>
  <c r="N298" i="12" s="1"/>
  <c r="F298" i="12"/>
  <c r="H298" i="12"/>
  <c r="BC298" i="12"/>
  <c r="BG298" i="12"/>
  <c r="AY298" i="12"/>
  <c r="BK298" i="12"/>
  <c r="BA298" i="12"/>
  <c r="AW298" i="12"/>
  <c r="BI298" i="12"/>
  <c r="AL298" i="12"/>
  <c r="BE298" i="12"/>
  <c r="W285" i="12"/>
  <c r="X285" i="12" s="1"/>
  <c r="M285" i="12"/>
  <c r="N285" i="12" s="1"/>
  <c r="AE285" i="12"/>
  <c r="AF285" i="12" s="1"/>
  <c r="L285" i="12"/>
  <c r="BO285" i="12"/>
  <c r="AC285" i="12"/>
  <c r="AD285" i="12" s="1"/>
  <c r="K285" i="12"/>
  <c r="BM285" i="12"/>
  <c r="I287" i="1" s="1"/>
  <c r="AA285" i="12"/>
  <c r="AB285" i="12" s="1"/>
  <c r="I285" i="12"/>
  <c r="H285" i="12"/>
  <c r="Y285" i="12"/>
  <c r="Z285" i="12" s="1"/>
  <c r="U285" i="12"/>
  <c r="V285" i="12" s="1"/>
  <c r="S285" i="12"/>
  <c r="T285" i="12" s="1"/>
  <c r="Q285" i="12"/>
  <c r="R285" i="12" s="1"/>
  <c r="O285" i="12"/>
  <c r="P285" i="12" s="1"/>
  <c r="J285" i="12"/>
  <c r="F285" i="12"/>
  <c r="BA285" i="12"/>
  <c r="AW285" i="12"/>
  <c r="AL285" i="12"/>
  <c r="AY285" i="12"/>
  <c r="BE285" i="12"/>
  <c r="BC285" i="12"/>
  <c r="BK285" i="12"/>
  <c r="BI285" i="12"/>
  <c r="BG285" i="12"/>
  <c r="G260" i="1"/>
  <c r="J260" i="1"/>
  <c r="J332" i="1"/>
  <c r="G332" i="1"/>
  <c r="BM327" i="12"/>
  <c r="I329" i="1" s="1"/>
  <c r="J327" i="12"/>
  <c r="AA327" i="12"/>
  <c r="AB327" i="12" s="1"/>
  <c r="I327" i="12"/>
  <c r="Y327" i="12"/>
  <c r="Z327" i="12" s="1"/>
  <c r="W327" i="12"/>
  <c r="X327" i="12" s="1"/>
  <c r="U327" i="12"/>
  <c r="V327" i="12" s="1"/>
  <c r="Q327" i="12"/>
  <c r="R327" i="12" s="1"/>
  <c r="S327" i="12"/>
  <c r="T327" i="12" s="1"/>
  <c r="O327" i="12"/>
  <c r="P327" i="12" s="1"/>
  <c r="L327" i="12"/>
  <c r="K327" i="12"/>
  <c r="F327" i="12"/>
  <c r="M327" i="12"/>
  <c r="N327" i="12" s="1"/>
  <c r="BO327" i="12"/>
  <c r="AE327" i="12"/>
  <c r="AF327" i="12" s="1"/>
  <c r="AC327" i="12"/>
  <c r="AD327" i="12" s="1"/>
  <c r="H327" i="12"/>
  <c r="AL327" i="12"/>
  <c r="BG327" i="12"/>
  <c r="BI327" i="12"/>
  <c r="BA327" i="12"/>
  <c r="AW327" i="12"/>
  <c r="BC327" i="12"/>
  <c r="AY327" i="12"/>
  <c r="BE327" i="12"/>
  <c r="BK327" i="12"/>
  <c r="W266" i="12"/>
  <c r="X266" i="12" s="1"/>
  <c r="H266" i="12"/>
  <c r="Y266" i="12"/>
  <c r="Z266" i="12" s="1"/>
  <c r="F266" i="12"/>
  <c r="U266" i="12"/>
  <c r="V266" i="12" s="1"/>
  <c r="O266" i="12"/>
  <c r="P266" i="12" s="1"/>
  <c r="AE266" i="12"/>
  <c r="AF266" i="12" s="1"/>
  <c r="AC266" i="12"/>
  <c r="AD266" i="12" s="1"/>
  <c r="BO266" i="12"/>
  <c r="AA266" i="12"/>
  <c r="AB266" i="12" s="1"/>
  <c r="S266" i="12"/>
  <c r="T266" i="12" s="1"/>
  <c r="M266" i="12"/>
  <c r="N266" i="12" s="1"/>
  <c r="L266" i="12"/>
  <c r="Q266" i="12"/>
  <c r="R266" i="12" s="1"/>
  <c r="K266" i="12"/>
  <c r="J266" i="12"/>
  <c r="I266" i="12"/>
  <c r="BM266" i="12"/>
  <c r="I268" i="1" s="1"/>
  <c r="BE266" i="12"/>
  <c r="BA266" i="12"/>
  <c r="AL266" i="12"/>
  <c r="BI266" i="12"/>
  <c r="BK266" i="12"/>
  <c r="AY266" i="12"/>
  <c r="BC266" i="12"/>
  <c r="AW266" i="12"/>
  <c r="BG266" i="12"/>
  <c r="BO311" i="12"/>
  <c r="O311" i="12"/>
  <c r="P311" i="12" s="1"/>
  <c r="AE311" i="12"/>
  <c r="AF311" i="12" s="1"/>
  <c r="AA311" i="12"/>
  <c r="AB311" i="12" s="1"/>
  <c r="I311" i="12"/>
  <c r="L311" i="12"/>
  <c r="K311" i="12"/>
  <c r="J311" i="12"/>
  <c r="AC311" i="12"/>
  <c r="AD311" i="12" s="1"/>
  <c r="Y311" i="12"/>
  <c r="Z311" i="12" s="1"/>
  <c r="W311" i="12"/>
  <c r="X311" i="12" s="1"/>
  <c r="U311" i="12"/>
  <c r="V311" i="12" s="1"/>
  <c r="S311" i="12"/>
  <c r="T311" i="12" s="1"/>
  <c r="Q311" i="12"/>
  <c r="R311" i="12" s="1"/>
  <c r="M311" i="12"/>
  <c r="N311" i="12" s="1"/>
  <c r="F311" i="12"/>
  <c r="H311" i="12"/>
  <c r="BA311" i="12"/>
  <c r="BK311" i="12"/>
  <c r="BI311" i="12"/>
  <c r="AY311" i="12"/>
  <c r="BE311" i="12"/>
  <c r="AW311" i="12"/>
  <c r="AL311" i="12"/>
  <c r="BC311" i="12"/>
  <c r="BG311" i="12"/>
  <c r="J270" i="12"/>
  <c r="Y270" i="12"/>
  <c r="Z270" i="12" s="1"/>
  <c r="I270" i="12"/>
  <c r="W270" i="12"/>
  <c r="X270" i="12" s="1"/>
  <c r="U270" i="12"/>
  <c r="V270" i="12" s="1"/>
  <c r="S270" i="12"/>
  <c r="T270" i="12" s="1"/>
  <c r="BO270" i="12"/>
  <c r="BM270" i="12"/>
  <c r="I272" i="1" s="1"/>
  <c r="Q270" i="12"/>
  <c r="R270" i="12" s="1"/>
  <c r="O270" i="12"/>
  <c r="P270" i="12" s="1"/>
  <c r="M270" i="12"/>
  <c r="N270" i="12" s="1"/>
  <c r="K270" i="12"/>
  <c r="F270" i="12"/>
  <c r="AE270" i="12"/>
  <c r="AF270" i="12" s="1"/>
  <c r="AC270" i="12"/>
  <c r="AD270" i="12" s="1"/>
  <c r="L270" i="12"/>
  <c r="AA270" i="12"/>
  <c r="AB270" i="12" s="1"/>
  <c r="H270" i="12"/>
  <c r="BK270" i="12"/>
  <c r="BA270" i="12"/>
  <c r="BG270" i="12"/>
  <c r="AL270" i="12"/>
  <c r="AY270" i="12"/>
  <c r="BE270" i="12"/>
  <c r="AW270" i="12"/>
  <c r="BI270" i="12"/>
  <c r="BC270" i="12"/>
  <c r="Y267" i="12"/>
  <c r="Z267" i="12" s="1"/>
  <c r="I267" i="12"/>
  <c r="BO267" i="12"/>
  <c r="AC267" i="12"/>
  <c r="AD267" i="12" s="1"/>
  <c r="K267" i="12"/>
  <c r="BM267" i="12"/>
  <c r="I269" i="1" s="1"/>
  <c r="J267" i="12"/>
  <c r="AA267" i="12"/>
  <c r="AB267" i="12" s="1"/>
  <c r="H267" i="12"/>
  <c r="F267" i="12"/>
  <c r="W267" i="12"/>
  <c r="X267" i="12" s="1"/>
  <c r="U267" i="12"/>
  <c r="V267" i="12" s="1"/>
  <c r="S267" i="12"/>
  <c r="T267" i="12" s="1"/>
  <c r="Q267" i="12"/>
  <c r="R267" i="12" s="1"/>
  <c r="AE267" i="12"/>
  <c r="AF267" i="12" s="1"/>
  <c r="O267" i="12"/>
  <c r="P267" i="12" s="1"/>
  <c r="M267" i="12"/>
  <c r="N267" i="12" s="1"/>
  <c r="L267" i="12"/>
  <c r="BC267" i="12"/>
  <c r="BE267" i="12"/>
  <c r="BK267" i="12"/>
  <c r="BA267" i="12"/>
  <c r="AY267" i="12"/>
  <c r="BI267" i="12"/>
  <c r="AW267" i="12"/>
  <c r="BG267" i="12"/>
  <c r="AL267" i="12"/>
  <c r="J274" i="1"/>
  <c r="G274" i="1"/>
  <c r="J343" i="1"/>
  <c r="G343" i="1"/>
  <c r="Q227" i="12"/>
  <c r="AC227" i="12"/>
  <c r="L227" i="12"/>
  <c r="K227" i="12"/>
  <c r="AA227" i="12"/>
  <c r="J227" i="12"/>
  <c r="I227" i="12"/>
  <c r="Y227" i="12"/>
  <c r="H227" i="12"/>
  <c r="W227" i="12"/>
  <c r="S227" i="12"/>
  <c r="T227" i="12" s="1"/>
  <c r="O227" i="12"/>
  <c r="P227" i="12" s="1"/>
  <c r="M227" i="12"/>
  <c r="BO227" i="12"/>
  <c r="BM227" i="12"/>
  <c r="I229" i="1" s="1"/>
  <c r="AE227" i="12"/>
  <c r="U227" i="12"/>
  <c r="F227" i="12"/>
  <c r="BC227" i="12"/>
  <c r="AY227" i="12"/>
  <c r="BG227" i="12"/>
  <c r="BE227" i="12"/>
  <c r="AW227" i="12"/>
  <c r="BA227" i="12"/>
  <c r="BI227" i="12"/>
  <c r="BK227" i="12"/>
  <c r="J316" i="1"/>
  <c r="G316" i="1"/>
  <c r="W261" i="12"/>
  <c r="X261" i="12" s="1"/>
  <c r="BM261" i="12"/>
  <c r="I263" i="1" s="1"/>
  <c r="AA261" i="12"/>
  <c r="AB261" i="12" s="1"/>
  <c r="I261" i="12"/>
  <c r="H261" i="12"/>
  <c r="Y261" i="12"/>
  <c r="Z261" i="12" s="1"/>
  <c r="U261" i="12"/>
  <c r="V261" i="12" s="1"/>
  <c r="S261" i="12"/>
  <c r="T261" i="12" s="1"/>
  <c r="BO261" i="12"/>
  <c r="AE261" i="12"/>
  <c r="AF261" i="12" s="1"/>
  <c r="AC261" i="12"/>
  <c r="AD261" i="12" s="1"/>
  <c r="O261" i="12"/>
  <c r="P261" i="12" s="1"/>
  <c r="Q261" i="12"/>
  <c r="R261" i="12" s="1"/>
  <c r="M261" i="12"/>
  <c r="N261" i="12" s="1"/>
  <c r="L261" i="12"/>
  <c r="J261" i="12"/>
  <c r="K261" i="12"/>
  <c r="F261" i="12"/>
  <c r="AY261" i="12"/>
  <c r="BI261" i="12"/>
  <c r="BA261" i="12"/>
  <c r="AL261" i="12"/>
  <c r="BK261" i="12"/>
  <c r="BC261" i="12"/>
  <c r="BE261" i="12"/>
  <c r="AW261" i="12"/>
  <c r="BG261" i="12"/>
  <c r="BM272" i="12"/>
  <c r="I274" i="1" s="1"/>
  <c r="AE272" i="12"/>
  <c r="AF272" i="12" s="1"/>
  <c r="O272" i="12"/>
  <c r="P272" i="12" s="1"/>
  <c r="AC272" i="12"/>
  <c r="AD272" i="12" s="1"/>
  <c r="M272" i="12"/>
  <c r="N272" i="12" s="1"/>
  <c r="AA272" i="12"/>
  <c r="AB272" i="12" s="1"/>
  <c r="K272" i="12"/>
  <c r="J272" i="12"/>
  <c r="Y272" i="12"/>
  <c r="Z272" i="12" s="1"/>
  <c r="I272" i="12"/>
  <c r="Q272" i="12"/>
  <c r="R272" i="12" s="1"/>
  <c r="L272" i="12"/>
  <c r="W272" i="12"/>
  <c r="X272" i="12" s="1"/>
  <c r="S272" i="12"/>
  <c r="T272" i="12" s="1"/>
  <c r="BO272" i="12"/>
  <c r="U272" i="12"/>
  <c r="V272" i="12" s="1"/>
  <c r="F272" i="12"/>
  <c r="H272" i="12"/>
  <c r="AW272" i="12"/>
  <c r="BI272" i="12"/>
  <c r="AY272" i="12"/>
  <c r="BA272" i="12"/>
  <c r="AL272" i="12"/>
  <c r="BE272" i="12"/>
  <c r="BK272" i="12"/>
  <c r="BC272" i="12"/>
  <c r="BG272" i="12"/>
  <c r="AC341" i="12"/>
  <c r="AD341" i="12" s="1"/>
  <c r="M341" i="12"/>
  <c r="N341" i="12" s="1"/>
  <c r="U341" i="12"/>
  <c r="V341" i="12" s="1"/>
  <c r="S341" i="12"/>
  <c r="T341" i="12" s="1"/>
  <c r="Q341" i="12"/>
  <c r="R341" i="12" s="1"/>
  <c r="AA341" i="12"/>
  <c r="AB341" i="12" s="1"/>
  <c r="F341" i="12"/>
  <c r="AE341" i="12"/>
  <c r="AF341" i="12" s="1"/>
  <c r="Y341" i="12"/>
  <c r="Z341" i="12" s="1"/>
  <c r="W341" i="12"/>
  <c r="X341" i="12" s="1"/>
  <c r="O341" i="12"/>
  <c r="P341" i="12" s="1"/>
  <c r="BO341" i="12"/>
  <c r="L341" i="12"/>
  <c r="K341" i="12"/>
  <c r="J341" i="12"/>
  <c r="I341" i="12"/>
  <c r="H341" i="12"/>
  <c r="BE341" i="12"/>
  <c r="BA341" i="12"/>
  <c r="BG341" i="12"/>
  <c r="AW341" i="12"/>
  <c r="BK341" i="12"/>
  <c r="BI341" i="12"/>
  <c r="BC341" i="12"/>
  <c r="AY341" i="12"/>
  <c r="AL341" i="12"/>
  <c r="U290" i="12"/>
  <c r="V290" i="12" s="1"/>
  <c r="M290" i="12"/>
  <c r="N290" i="12" s="1"/>
  <c r="AE290" i="12"/>
  <c r="AF290" i="12" s="1"/>
  <c r="L290" i="12"/>
  <c r="BO290" i="12"/>
  <c r="AC290" i="12"/>
  <c r="AD290" i="12" s="1"/>
  <c r="K290" i="12"/>
  <c r="BM290" i="12"/>
  <c r="I292" i="1" s="1"/>
  <c r="AA290" i="12"/>
  <c r="AB290" i="12" s="1"/>
  <c r="I290" i="12"/>
  <c r="H290" i="12"/>
  <c r="Y290" i="12"/>
  <c r="Z290" i="12" s="1"/>
  <c r="F290" i="12"/>
  <c r="W290" i="12"/>
  <c r="X290" i="12" s="1"/>
  <c r="S290" i="12"/>
  <c r="T290" i="12" s="1"/>
  <c r="Q290" i="12"/>
  <c r="R290" i="12" s="1"/>
  <c r="O290" i="12"/>
  <c r="P290" i="12" s="1"/>
  <c r="J290" i="12"/>
  <c r="BK290" i="12"/>
  <c r="AW290" i="12"/>
  <c r="BA290" i="12"/>
  <c r="BC290" i="12"/>
  <c r="AY290" i="12"/>
  <c r="BI290" i="12"/>
  <c r="BG290" i="12"/>
  <c r="AL290" i="12"/>
  <c r="BE290" i="12"/>
  <c r="J277" i="1"/>
  <c r="G277" i="1"/>
  <c r="BM275" i="12"/>
  <c r="I277" i="1" s="1"/>
  <c r="L275" i="12"/>
  <c r="U275" i="12"/>
  <c r="V275" i="12" s="1"/>
  <c r="S275" i="12"/>
  <c r="T275" i="12" s="1"/>
  <c r="Q275" i="12"/>
  <c r="R275" i="12" s="1"/>
  <c r="O275" i="12"/>
  <c r="P275" i="12" s="1"/>
  <c r="BO275" i="12"/>
  <c r="AE275" i="12"/>
  <c r="AF275" i="12" s="1"/>
  <c r="M275" i="12"/>
  <c r="N275" i="12" s="1"/>
  <c r="AC275" i="12"/>
  <c r="AD275" i="12" s="1"/>
  <c r="K275" i="12"/>
  <c r="AA275" i="12"/>
  <c r="AB275" i="12" s="1"/>
  <c r="Y275" i="12"/>
  <c r="Z275" i="12" s="1"/>
  <c r="W275" i="12"/>
  <c r="X275" i="12" s="1"/>
  <c r="J275" i="12"/>
  <c r="I275" i="12"/>
  <c r="F275" i="12"/>
  <c r="H275" i="12"/>
  <c r="AY275" i="12"/>
  <c r="BC275" i="12"/>
  <c r="BK275" i="12"/>
  <c r="BI275" i="12"/>
  <c r="BA275" i="12"/>
  <c r="AW275" i="12"/>
  <c r="AL275" i="12"/>
  <c r="BG275" i="12"/>
  <c r="BE275" i="12"/>
  <c r="Y235" i="12"/>
  <c r="Z235" i="12" s="1"/>
  <c r="I235" i="12"/>
  <c r="U235" i="12"/>
  <c r="V235" i="12" s="1"/>
  <c r="S235" i="12"/>
  <c r="T235" i="12" s="1"/>
  <c r="Q235" i="12"/>
  <c r="R235" i="12" s="1"/>
  <c r="BO235" i="12"/>
  <c r="O235" i="12"/>
  <c r="P235" i="12" s="1"/>
  <c r="AE235" i="12"/>
  <c r="AF235" i="12" s="1"/>
  <c r="AC235" i="12"/>
  <c r="AD235" i="12" s="1"/>
  <c r="L235" i="12"/>
  <c r="K235" i="12"/>
  <c r="AA235" i="12"/>
  <c r="AB235" i="12" s="1"/>
  <c r="BM235" i="12"/>
  <c r="I237" i="1" s="1"/>
  <c r="W235" i="12"/>
  <c r="X235" i="12" s="1"/>
  <c r="M235" i="12"/>
  <c r="N235" i="12" s="1"/>
  <c r="J235" i="12"/>
  <c r="H235" i="12"/>
  <c r="F235" i="12"/>
  <c r="BC235" i="12"/>
  <c r="BK235" i="12"/>
  <c r="BI235" i="12"/>
  <c r="BA235" i="12"/>
  <c r="BG235" i="12"/>
  <c r="AY235" i="12"/>
  <c r="AW235" i="12"/>
  <c r="BE235" i="12"/>
  <c r="J239" i="1"/>
  <c r="G239" i="1"/>
  <c r="S343" i="12"/>
  <c r="T343" i="12" s="1"/>
  <c r="AC343" i="12"/>
  <c r="AD343" i="12" s="1"/>
  <c r="K343" i="12"/>
  <c r="AA343" i="12"/>
  <c r="AB343" i="12" s="1"/>
  <c r="I343" i="12"/>
  <c r="Y343" i="12"/>
  <c r="Z343" i="12" s="1"/>
  <c r="L343" i="12"/>
  <c r="J343" i="12"/>
  <c r="W343" i="12"/>
  <c r="X343" i="12" s="1"/>
  <c r="U343" i="12"/>
  <c r="V343" i="12" s="1"/>
  <c r="O343" i="12"/>
  <c r="P343" i="12" s="1"/>
  <c r="AE343" i="12"/>
  <c r="AF343" i="12" s="1"/>
  <c r="Q343" i="12"/>
  <c r="R343" i="12" s="1"/>
  <c r="BO343" i="12"/>
  <c r="M343" i="12"/>
  <c r="N343" i="12" s="1"/>
  <c r="H343" i="12"/>
  <c r="F343" i="12"/>
  <c r="BK343" i="12"/>
  <c r="BA343" i="12"/>
  <c r="BG343" i="12"/>
  <c r="AY343" i="12"/>
  <c r="BI343" i="12"/>
  <c r="BE343" i="12"/>
  <c r="AL343" i="12"/>
  <c r="BC343" i="12"/>
  <c r="AW343" i="12"/>
  <c r="G282" i="1"/>
  <c r="J282" i="1"/>
  <c r="W232" i="12"/>
  <c r="X232" i="12" s="1"/>
  <c r="U232" i="12"/>
  <c r="V232" i="12" s="1"/>
  <c r="S232" i="12"/>
  <c r="T232" i="12" s="1"/>
  <c r="Q232" i="12"/>
  <c r="R232" i="12" s="1"/>
  <c r="AE232" i="12"/>
  <c r="AF232" i="12" s="1"/>
  <c r="BM232" i="12"/>
  <c r="I234" i="1" s="1"/>
  <c r="M232" i="12"/>
  <c r="N232" i="12" s="1"/>
  <c r="K232" i="12"/>
  <c r="J232" i="12"/>
  <c r="I232" i="12"/>
  <c r="AC232" i="12"/>
  <c r="AD232" i="12" s="1"/>
  <c r="BO232" i="12"/>
  <c r="AA232" i="12"/>
  <c r="AB232" i="12" s="1"/>
  <c r="Y232" i="12"/>
  <c r="Z232" i="12" s="1"/>
  <c r="O232" i="12"/>
  <c r="P232" i="12" s="1"/>
  <c r="L232" i="12"/>
  <c r="H232" i="12"/>
  <c r="F232" i="12"/>
  <c r="AY232" i="12"/>
  <c r="BK232" i="12"/>
  <c r="BG232" i="12"/>
  <c r="BI232" i="12"/>
  <c r="BA232" i="12"/>
  <c r="BE232" i="12"/>
  <c r="BC232" i="12"/>
  <c r="AW232" i="12"/>
  <c r="G280" i="1"/>
  <c r="J280" i="1"/>
  <c r="AE295" i="12"/>
  <c r="AF295" i="12" s="1"/>
  <c r="O295" i="12"/>
  <c r="P295" i="12" s="1"/>
  <c r="BO295" i="12"/>
  <c r="AC295" i="12"/>
  <c r="AD295" i="12" s="1"/>
  <c r="L295" i="12"/>
  <c r="AA295" i="12"/>
  <c r="AB295" i="12" s="1"/>
  <c r="Y295" i="12"/>
  <c r="Z295" i="12" s="1"/>
  <c r="W295" i="12"/>
  <c r="X295" i="12" s="1"/>
  <c r="U295" i="12"/>
  <c r="V295" i="12" s="1"/>
  <c r="S295" i="12"/>
  <c r="T295" i="12" s="1"/>
  <c r="Q295" i="12"/>
  <c r="R295" i="12" s="1"/>
  <c r="J295" i="12"/>
  <c r="I295" i="12"/>
  <c r="H295" i="12"/>
  <c r="M295" i="12"/>
  <c r="N295" i="12" s="1"/>
  <c r="K295" i="12"/>
  <c r="F295" i="12"/>
  <c r="AY295" i="12"/>
  <c r="BI295" i="12"/>
  <c r="AL295" i="12"/>
  <c r="BA295" i="12"/>
  <c r="BG295" i="12"/>
  <c r="BC295" i="12"/>
  <c r="BK295" i="12"/>
  <c r="BE295" i="12"/>
  <c r="AW295" i="12"/>
  <c r="I359" i="3"/>
  <c r="AE237" i="12"/>
  <c r="AF237" i="12" s="1"/>
  <c r="O237" i="12"/>
  <c r="P237" i="12" s="1"/>
  <c r="S237" i="12"/>
  <c r="T237" i="12" s="1"/>
  <c r="Q237" i="12"/>
  <c r="R237" i="12" s="1"/>
  <c r="BO237" i="12"/>
  <c r="M237" i="12"/>
  <c r="N237" i="12" s="1"/>
  <c r="BM237" i="12"/>
  <c r="I239" i="1" s="1"/>
  <c r="AC237" i="12"/>
  <c r="AD237" i="12" s="1"/>
  <c r="L237" i="12"/>
  <c r="AA237" i="12"/>
  <c r="AB237" i="12" s="1"/>
  <c r="J237" i="12"/>
  <c r="I237" i="12"/>
  <c r="Y237" i="12"/>
  <c r="Z237" i="12" s="1"/>
  <c r="W237" i="12"/>
  <c r="X237" i="12" s="1"/>
  <c r="U237" i="12"/>
  <c r="V237" i="12" s="1"/>
  <c r="K237" i="12"/>
  <c r="F237" i="12"/>
  <c r="H237" i="12"/>
  <c r="BI237" i="12"/>
  <c r="BA237" i="12"/>
  <c r="BE237" i="12"/>
  <c r="BG237" i="12"/>
  <c r="AY237" i="12"/>
  <c r="AW237" i="12"/>
  <c r="BK237" i="12"/>
  <c r="BC237" i="12"/>
  <c r="Q264" i="12"/>
  <c r="R264" i="12" s="1"/>
  <c r="S264" i="12"/>
  <c r="T264" i="12" s="1"/>
  <c r="O264" i="12"/>
  <c r="P264" i="12" s="1"/>
  <c r="AE264" i="12"/>
  <c r="AF264" i="12" s="1"/>
  <c r="M264" i="12"/>
  <c r="N264" i="12" s="1"/>
  <c r="BO264" i="12"/>
  <c r="AC264" i="12"/>
  <c r="AD264" i="12" s="1"/>
  <c r="K264" i="12"/>
  <c r="AA264" i="12"/>
  <c r="AB264" i="12" s="1"/>
  <c r="I264" i="12"/>
  <c r="Y264" i="12"/>
  <c r="Z264" i="12" s="1"/>
  <c r="BM264" i="12"/>
  <c r="I266" i="1" s="1"/>
  <c r="W264" i="12"/>
  <c r="X264" i="12" s="1"/>
  <c r="U264" i="12"/>
  <c r="V264" i="12" s="1"/>
  <c r="L264" i="12"/>
  <c r="J264" i="12"/>
  <c r="F264" i="12"/>
  <c r="H264" i="12"/>
  <c r="AW264" i="12"/>
  <c r="BG264" i="12"/>
  <c r="BA264" i="12"/>
  <c r="AY264" i="12"/>
  <c r="BC264" i="12"/>
  <c r="AL264" i="12"/>
  <c r="BI264" i="12"/>
  <c r="BE264" i="12"/>
  <c r="BK264" i="12"/>
  <c r="Q278" i="12"/>
  <c r="R278" i="12" s="1"/>
  <c r="W278" i="12"/>
  <c r="X278" i="12" s="1"/>
  <c r="L278" i="12"/>
  <c r="BO278" i="12"/>
  <c r="AC278" i="12"/>
  <c r="AD278" i="12" s="1"/>
  <c r="K278" i="12"/>
  <c r="BM278" i="12"/>
  <c r="I280" i="1" s="1"/>
  <c r="J278" i="12"/>
  <c r="AA278" i="12"/>
  <c r="AB278" i="12" s="1"/>
  <c r="I278" i="12"/>
  <c r="Y278" i="12"/>
  <c r="Z278" i="12" s="1"/>
  <c r="U278" i="12"/>
  <c r="V278" i="12" s="1"/>
  <c r="S278" i="12"/>
  <c r="T278" i="12" s="1"/>
  <c r="AE278" i="12"/>
  <c r="AF278" i="12" s="1"/>
  <c r="O278" i="12"/>
  <c r="P278" i="12" s="1"/>
  <c r="M278" i="12"/>
  <c r="N278" i="12" s="1"/>
  <c r="H278" i="12"/>
  <c r="F278" i="12"/>
  <c r="BI278" i="12"/>
  <c r="BG278" i="12"/>
  <c r="BC278" i="12"/>
  <c r="AY278" i="12"/>
  <c r="BA278" i="12"/>
  <c r="AW278" i="12"/>
  <c r="BK278" i="12"/>
  <c r="BE278" i="12"/>
  <c r="AL278" i="12"/>
  <c r="AC338" i="12"/>
  <c r="AD338" i="12" s="1"/>
  <c r="M338" i="12"/>
  <c r="N338" i="12" s="1"/>
  <c r="AE338" i="12"/>
  <c r="AF338" i="12" s="1"/>
  <c r="K338" i="12"/>
  <c r="AA338" i="12"/>
  <c r="AB338" i="12" s="1"/>
  <c r="J338" i="12"/>
  <c r="I338" i="12"/>
  <c r="U338" i="12"/>
  <c r="V338" i="12" s="1"/>
  <c r="L338" i="12"/>
  <c r="Y338" i="12"/>
  <c r="Z338" i="12" s="1"/>
  <c r="BO338" i="12"/>
  <c r="BM338" i="12"/>
  <c r="I340" i="1" s="1"/>
  <c r="S338" i="12"/>
  <c r="T338" i="12" s="1"/>
  <c r="Q338" i="12"/>
  <c r="R338" i="12" s="1"/>
  <c r="W338" i="12"/>
  <c r="X338" i="12" s="1"/>
  <c r="O338" i="12"/>
  <c r="P338" i="12" s="1"/>
  <c r="F338" i="12"/>
  <c r="H338" i="12"/>
  <c r="BC338" i="12"/>
  <c r="BI338" i="12"/>
  <c r="AW338" i="12"/>
  <c r="BE338" i="12"/>
  <c r="BG338" i="12"/>
  <c r="BA338" i="12"/>
  <c r="BK338" i="12"/>
  <c r="AL338" i="12"/>
  <c r="AY338" i="12"/>
  <c r="J269" i="1" l="1"/>
  <c r="U308" i="12"/>
  <c r="V308" i="12" s="1"/>
  <c r="G268" i="1"/>
  <c r="J267" i="1"/>
  <c r="L323" i="12"/>
  <c r="AA326" i="12"/>
  <c r="AB326" i="12" s="1"/>
  <c r="I262" i="12"/>
  <c r="BI326" i="12"/>
  <c r="Q323" i="12"/>
  <c r="R323" i="12" s="1"/>
  <c r="O323" i="12"/>
  <c r="P323" i="12" s="1"/>
  <c r="H323" i="12"/>
  <c r="K326" i="12"/>
  <c r="AW323" i="12"/>
  <c r="BK326" i="12"/>
  <c r="U326" i="12"/>
  <c r="V326" i="12" s="1"/>
  <c r="AW280" i="12"/>
  <c r="AE326" i="12"/>
  <c r="AF326" i="12" s="1"/>
  <c r="J326" i="12"/>
  <c r="H326" i="12"/>
  <c r="K280" i="12"/>
  <c r="J290" i="1"/>
  <c r="AL326" i="12"/>
  <c r="L280" i="12"/>
  <c r="M326" i="12"/>
  <c r="N326" i="12" s="1"/>
  <c r="Y326" i="12"/>
  <c r="Z326" i="12" s="1"/>
  <c r="AC280" i="12"/>
  <c r="AD280" i="12" s="1"/>
  <c r="BC326" i="12"/>
  <c r="AW326" i="12"/>
  <c r="H280" i="12"/>
  <c r="BO326" i="12"/>
  <c r="L326" i="12"/>
  <c r="I326" i="12"/>
  <c r="S326" i="12"/>
  <c r="T326" i="12" s="1"/>
  <c r="BG326" i="12"/>
  <c r="F326" i="12"/>
  <c r="O280" i="12"/>
  <c r="P280" i="12" s="1"/>
  <c r="W280" i="12"/>
  <c r="X280" i="12" s="1"/>
  <c r="AC326" i="12"/>
  <c r="AD326" i="12" s="1"/>
  <c r="AY326" i="12"/>
  <c r="W323" i="12"/>
  <c r="X323" i="12" s="1"/>
  <c r="U303" i="12"/>
  <c r="V303" i="12" s="1"/>
  <c r="AE280" i="12"/>
  <c r="AF280" i="12" s="1"/>
  <c r="K325" i="12"/>
  <c r="BE326" i="12"/>
  <c r="O326" i="12"/>
  <c r="P326" i="12" s="1"/>
  <c r="W326" i="12"/>
  <c r="X326" i="12" s="1"/>
  <c r="AA323" i="12"/>
  <c r="AB323" i="12" s="1"/>
  <c r="Y308" i="12"/>
  <c r="Z308" i="12" s="1"/>
  <c r="Q308" i="12"/>
  <c r="R308" i="12" s="1"/>
  <c r="BA326" i="12"/>
  <c r="BC334" i="12"/>
  <c r="K308" i="12"/>
  <c r="H314" i="12"/>
  <c r="AW334" i="12"/>
  <c r="BE314" i="12"/>
  <c r="AL334" i="12"/>
  <c r="K334" i="12"/>
  <c r="O314" i="12"/>
  <c r="P314" i="12" s="1"/>
  <c r="U334" i="12"/>
  <c r="V334" i="12" s="1"/>
  <c r="W314" i="12"/>
  <c r="X314" i="12" s="1"/>
  <c r="K314" i="12"/>
  <c r="AY303" i="12"/>
  <c r="AC334" i="12"/>
  <c r="AD334" i="12" s="1"/>
  <c r="I334" i="12"/>
  <c r="K303" i="12"/>
  <c r="H308" i="12"/>
  <c r="AE308" i="12"/>
  <c r="AF308" i="12" s="1"/>
  <c r="M334" i="12"/>
  <c r="N334" i="12" s="1"/>
  <c r="AC303" i="12"/>
  <c r="AD303" i="12" s="1"/>
  <c r="BC280" i="12"/>
  <c r="BO280" i="12"/>
  <c r="S303" i="12"/>
  <c r="T303" i="12" s="1"/>
  <c r="O262" i="12"/>
  <c r="P262" i="12" s="1"/>
  <c r="J238" i="1"/>
  <c r="BK334" i="12"/>
  <c r="AE314" i="12"/>
  <c r="AF314" i="12" s="1"/>
  <c r="Y334" i="12"/>
  <c r="Z334" i="12" s="1"/>
  <c r="M323" i="12"/>
  <c r="N323" i="12" s="1"/>
  <c r="BI323" i="12"/>
  <c r="BI334" i="12"/>
  <c r="J323" i="12"/>
  <c r="I323" i="12"/>
  <c r="S334" i="12"/>
  <c r="T334" i="12" s="1"/>
  <c r="L334" i="12"/>
  <c r="BE334" i="12"/>
  <c r="J272" i="1"/>
  <c r="AC330" i="12"/>
  <c r="AD330" i="12" s="1"/>
  <c r="O334" i="12"/>
  <c r="P334" i="12" s="1"/>
  <c r="BC323" i="12"/>
  <c r="BG323" i="12"/>
  <c r="H334" i="12"/>
  <c r="J266" i="1"/>
  <c r="J334" i="12"/>
  <c r="BA334" i="12"/>
  <c r="BK323" i="12"/>
  <c r="AY323" i="12"/>
  <c r="BE323" i="12"/>
  <c r="F334" i="12"/>
  <c r="BA323" i="12"/>
  <c r="K323" i="12"/>
  <c r="L314" i="12"/>
  <c r="Y323" i="12"/>
  <c r="Z323" i="12" s="1"/>
  <c r="AW306" i="12"/>
  <c r="AY306" i="12"/>
  <c r="AY334" i="12"/>
  <c r="AL323" i="12"/>
  <c r="AA334" i="12"/>
  <c r="AB334" i="12" s="1"/>
  <c r="AE323" i="12"/>
  <c r="AF323" i="12" s="1"/>
  <c r="Q334" i="12"/>
  <c r="R334" i="12" s="1"/>
  <c r="AY314" i="12"/>
  <c r="G234" i="1"/>
  <c r="BI314" i="12"/>
  <c r="G292" i="1"/>
  <c r="BI308" i="12"/>
  <c r="G335" i="1"/>
  <c r="F323" i="12"/>
  <c r="AE334" i="12"/>
  <c r="AF334" i="12" s="1"/>
  <c r="U323" i="12"/>
  <c r="V323" i="12" s="1"/>
  <c r="AC323" i="12"/>
  <c r="AD323" i="12" s="1"/>
  <c r="S323" i="12"/>
  <c r="T323" i="12" s="1"/>
  <c r="AL314" i="12"/>
  <c r="AW308" i="12"/>
  <c r="J329" i="1"/>
  <c r="BO334" i="12"/>
  <c r="BG334" i="12"/>
  <c r="BG280" i="12"/>
  <c r="BK280" i="12"/>
  <c r="F280" i="12"/>
  <c r="G281" i="1"/>
  <c r="Q280" i="12"/>
  <c r="R280" i="12" s="1"/>
  <c r="BM330" i="12"/>
  <c r="I332" i="1" s="1"/>
  <c r="G306" i="1"/>
  <c r="K330" i="12"/>
  <c r="G288" i="1"/>
  <c r="J280" i="12"/>
  <c r="BA280" i="12"/>
  <c r="I280" i="12"/>
  <c r="J301" i="1"/>
  <c r="AL280" i="12"/>
  <c r="AA280" i="12"/>
  <c r="AB280" i="12" s="1"/>
  <c r="AY280" i="12"/>
  <c r="M280" i="12"/>
  <c r="N280" i="12" s="1"/>
  <c r="AA262" i="12"/>
  <c r="AB262" i="12" s="1"/>
  <c r="U291" i="12"/>
  <c r="V291" i="12" s="1"/>
  <c r="AC314" i="12"/>
  <c r="AD314" i="12" s="1"/>
  <c r="AA308" i="12"/>
  <c r="AB308" i="12" s="1"/>
  <c r="F291" i="12"/>
  <c r="BC262" i="12"/>
  <c r="Q262" i="12"/>
  <c r="R262" i="12" s="1"/>
  <c r="BK314" i="12"/>
  <c r="M314" i="12"/>
  <c r="N314" i="12" s="1"/>
  <c r="AL308" i="12"/>
  <c r="BO308" i="12"/>
  <c r="W303" i="12"/>
  <c r="X303" i="12" s="1"/>
  <c r="AC291" i="12"/>
  <c r="AD291" i="12" s="1"/>
  <c r="BK291" i="12"/>
  <c r="I291" i="12"/>
  <c r="BG314" i="12"/>
  <c r="BA314" i="12"/>
  <c r="BM314" i="12"/>
  <c r="I316" i="1" s="1"/>
  <c r="BA308" i="12"/>
  <c r="I308" i="12"/>
  <c r="J325" i="12"/>
  <c r="U262" i="12"/>
  <c r="V262" i="12" s="1"/>
  <c r="M262" i="12"/>
  <c r="N262" i="12" s="1"/>
  <c r="BI291" i="12"/>
  <c r="K262" i="12"/>
  <c r="BC258" i="12"/>
  <c r="S262" i="12"/>
  <c r="T262" i="12" s="1"/>
  <c r="I314" i="12"/>
  <c r="Y262" i="12"/>
  <c r="Z262" i="12" s="1"/>
  <c r="M308" i="12"/>
  <c r="N308" i="12" s="1"/>
  <c r="AW262" i="12"/>
  <c r="H262" i="12"/>
  <c r="AY291" i="12"/>
  <c r="O308" i="12"/>
  <c r="P308" i="12" s="1"/>
  <c r="Q291" i="12"/>
  <c r="R291" i="12" s="1"/>
  <c r="J291" i="12"/>
  <c r="BK262" i="12"/>
  <c r="BK308" i="12"/>
  <c r="BA291" i="12"/>
  <c r="H291" i="12"/>
  <c r="BE262" i="12"/>
  <c r="F262" i="12"/>
  <c r="AA314" i="12"/>
  <c r="AB314" i="12" s="1"/>
  <c r="AY308" i="12"/>
  <c r="S308" i="12"/>
  <c r="T308" i="12" s="1"/>
  <c r="AL303" i="12"/>
  <c r="AE262" i="12"/>
  <c r="AF262" i="12" s="1"/>
  <c r="BO291" i="12"/>
  <c r="S291" i="12"/>
  <c r="T291" i="12" s="1"/>
  <c r="AW291" i="12"/>
  <c r="BA258" i="12"/>
  <c r="J297" i="1"/>
  <c r="BC314" i="12"/>
  <c r="Y314" i="12"/>
  <c r="Z314" i="12" s="1"/>
  <c r="BG308" i="12"/>
  <c r="Y291" i="12"/>
  <c r="Z291" i="12" s="1"/>
  <c r="Q314" i="12"/>
  <c r="R314" i="12" s="1"/>
  <c r="AC258" i="12"/>
  <c r="AD258" i="12" s="1"/>
  <c r="BC308" i="12"/>
  <c r="L308" i="12"/>
  <c r="BM262" i="12"/>
  <c r="I264" i="1" s="1"/>
  <c r="BO262" i="12"/>
  <c r="BE308" i="12"/>
  <c r="BA303" i="12"/>
  <c r="L262" i="12"/>
  <c r="S280" i="12"/>
  <c r="T280" i="12" s="1"/>
  <c r="BO314" i="12"/>
  <c r="F308" i="12"/>
  <c r="W308" i="12"/>
  <c r="X308" i="12" s="1"/>
  <c r="BE303" i="12"/>
  <c r="W262" i="12"/>
  <c r="X262" i="12" s="1"/>
  <c r="AL262" i="12"/>
  <c r="AC262" i="12"/>
  <c r="AD262" i="12" s="1"/>
  <c r="BE291" i="12"/>
  <c r="AY262" i="12"/>
  <c r="F314" i="12"/>
  <c r="AA258" i="12"/>
  <c r="AB258" i="12" s="1"/>
  <c r="BG291" i="12"/>
  <c r="BG262" i="12"/>
  <c r="O291" i="12"/>
  <c r="P291" i="12" s="1"/>
  <c r="S314" i="12"/>
  <c r="T314" i="12" s="1"/>
  <c r="U314" i="12"/>
  <c r="V314" i="12" s="1"/>
  <c r="AC308" i="12"/>
  <c r="AD308" i="12" s="1"/>
  <c r="BI262" i="12"/>
  <c r="M291" i="12"/>
  <c r="N291" i="12" s="1"/>
  <c r="BI280" i="12"/>
  <c r="U280" i="12"/>
  <c r="V280" i="12" s="1"/>
  <c r="BE280" i="12"/>
  <c r="AW314" i="12"/>
  <c r="BI303" i="12"/>
  <c r="BA262" i="12"/>
  <c r="AA291" i="12"/>
  <c r="AB291" i="12" s="1"/>
  <c r="AW258" i="12"/>
  <c r="BK258" i="12"/>
  <c r="BM258" i="12"/>
  <c r="I260" i="1" s="1"/>
  <c r="BI258" i="12"/>
  <c r="BE258" i="12"/>
  <c r="O258" i="12"/>
  <c r="P258" i="12" s="1"/>
  <c r="AY330" i="12"/>
  <c r="BC303" i="12"/>
  <c r="Y325" i="12"/>
  <c r="Z325" i="12" s="1"/>
  <c r="G346" i="1"/>
  <c r="AE258" i="12"/>
  <c r="AF258" i="12" s="1"/>
  <c r="L325" i="12"/>
  <c r="M258" i="12"/>
  <c r="N258" i="12" s="1"/>
  <c r="I325" i="12"/>
  <c r="F258" i="12"/>
  <c r="Q258" i="12"/>
  <c r="R258" i="12" s="1"/>
  <c r="J330" i="12"/>
  <c r="F303" i="12"/>
  <c r="I258" i="12"/>
  <c r="J258" i="12"/>
  <c r="Y303" i="12"/>
  <c r="Z303" i="12" s="1"/>
  <c r="K258" i="12"/>
  <c r="L258" i="12"/>
  <c r="BG258" i="12"/>
  <c r="W258" i="12"/>
  <c r="X258" i="12" s="1"/>
  <c r="I303" i="12"/>
  <c r="S258" i="12"/>
  <c r="T258" i="12" s="1"/>
  <c r="J340" i="1"/>
  <c r="AY258" i="12"/>
  <c r="U258" i="12"/>
  <c r="V258" i="12" s="1"/>
  <c r="G294" i="1"/>
  <c r="J313" i="1"/>
  <c r="AA303" i="12"/>
  <c r="AB303" i="12" s="1"/>
  <c r="H258" i="12"/>
  <c r="BO258" i="12"/>
  <c r="H303" i="12"/>
  <c r="AL258" i="12"/>
  <c r="BG303" i="12"/>
  <c r="J303" i="12"/>
  <c r="K291" i="12"/>
  <c r="AE291" i="12"/>
  <c r="AF291" i="12" s="1"/>
  <c r="BM291" i="12"/>
  <c r="I293" i="1" s="1"/>
  <c r="W291" i="12"/>
  <c r="X291" i="12" s="1"/>
  <c r="BC291" i="12"/>
  <c r="AL291" i="12"/>
  <c r="BK325" i="12"/>
  <c r="G235" i="1"/>
  <c r="G300" i="1"/>
  <c r="J324" i="1"/>
  <c r="J231" i="1"/>
  <c r="BC330" i="12"/>
  <c r="H325" i="12"/>
  <c r="G291" i="1"/>
  <c r="AL330" i="12"/>
  <c r="AC325" i="12"/>
  <c r="AD325" i="12" s="1"/>
  <c r="BK330" i="12"/>
  <c r="BO325" i="12"/>
  <c r="L330" i="12"/>
  <c r="O330" i="12"/>
  <c r="P330" i="12" s="1"/>
  <c r="G320" i="1"/>
  <c r="J263" i="1"/>
  <c r="H330" i="12"/>
  <c r="AE325" i="12"/>
  <c r="AF325" i="12" s="1"/>
  <c r="J287" i="1"/>
  <c r="BG330" i="12"/>
  <c r="AA325" i="12"/>
  <c r="AB325" i="12" s="1"/>
  <c r="BC325" i="12"/>
  <c r="BE325" i="12"/>
  <c r="J237" i="1"/>
  <c r="Y330" i="12"/>
  <c r="Z330" i="12" s="1"/>
  <c r="O303" i="12"/>
  <c r="P303" i="12" s="1"/>
  <c r="AL325" i="12"/>
  <c r="U325" i="12"/>
  <c r="V325" i="12" s="1"/>
  <c r="BA330" i="12"/>
  <c r="AW330" i="12"/>
  <c r="F330" i="12"/>
  <c r="M325" i="12"/>
  <c r="N325" i="12" s="1"/>
  <c r="Q330" i="12"/>
  <c r="R330" i="12" s="1"/>
  <c r="AY325" i="12"/>
  <c r="M330" i="12"/>
  <c r="N330" i="12" s="1"/>
  <c r="BI325" i="12"/>
  <c r="G270" i="1"/>
  <c r="L303" i="12"/>
  <c r="U330" i="12"/>
  <c r="V330" i="12" s="1"/>
  <c r="M303" i="12"/>
  <c r="N303" i="12" s="1"/>
  <c r="Q325" i="12"/>
  <c r="R325" i="12" s="1"/>
  <c r="J229" i="1"/>
  <c r="BI330" i="12"/>
  <c r="I330" i="12"/>
  <c r="BK303" i="12"/>
  <c r="AE303" i="12"/>
  <c r="AF303" i="12" s="1"/>
  <c r="BA325" i="12"/>
  <c r="F325" i="12"/>
  <c r="BO330" i="12"/>
  <c r="S330" i="12"/>
  <c r="T330" i="12" s="1"/>
  <c r="O325" i="12"/>
  <c r="P325" i="12" s="1"/>
  <c r="AE330" i="12"/>
  <c r="AF330" i="12" s="1"/>
  <c r="AW325" i="12"/>
  <c r="W330" i="12"/>
  <c r="X330" i="12" s="1"/>
  <c r="BO303" i="12"/>
  <c r="S325" i="12"/>
  <c r="T325" i="12" s="1"/>
  <c r="BE330" i="12"/>
  <c r="AW303" i="12"/>
  <c r="BG325" i="12"/>
  <c r="G345" i="1"/>
  <c r="AE306" i="12"/>
  <c r="AF306" i="12" s="1"/>
  <c r="W306" i="12"/>
  <c r="X306" i="12" s="1"/>
  <c r="S306" i="12"/>
  <c r="T306" i="12" s="1"/>
  <c r="BI306" i="12"/>
  <c r="J230" i="1"/>
  <c r="G230" i="1"/>
  <c r="F306" i="12"/>
  <c r="BO306" i="12"/>
  <c r="L228" i="12"/>
  <c r="S228" i="12"/>
  <c r="T228" i="12" s="1"/>
  <c r="BC228" i="12"/>
  <c r="AC228" i="12"/>
  <c r="AD228" i="12" s="1"/>
  <c r="H228" i="12"/>
  <c r="AA228" i="12"/>
  <c r="AB228" i="12" s="1"/>
  <c r="AW228" i="12"/>
  <c r="K228" i="12"/>
  <c r="BG228" i="12"/>
  <c r="BE228" i="12"/>
  <c r="W228" i="12"/>
  <c r="X228" i="12" s="1"/>
  <c r="Y228" i="12"/>
  <c r="Z228" i="12" s="1"/>
  <c r="J228" i="12"/>
  <c r="BI228" i="12"/>
  <c r="I228" i="12"/>
  <c r="AY228" i="12"/>
  <c r="U228" i="12"/>
  <c r="V228" i="12" s="1"/>
  <c r="BK228" i="12"/>
  <c r="Q228" i="12"/>
  <c r="R228" i="12" s="1"/>
  <c r="F228" i="12"/>
  <c r="O228" i="12"/>
  <c r="P228" i="12" s="1"/>
  <c r="AE228" i="12"/>
  <c r="AF228" i="12" s="1"/>
  <c r="M228" i="12"/>
  <c r="N228" i="12" s="1"/>
  <c r="BO228" i="12"/>
  <c r="BM228" i="12"/>
  <c r="I230" i="1" s="1"/>
  <c r="BA228" i="12"/>
  <c r="H306" i="12"/>
  <c r="Q306" i="12"/>
  <c r="R306" i="12" s="1"/>
  <c r="U306" i="12"/>
  <c r="V306" i="12" s="1"/>
  <c r="O306" i="12"/>
  <c r="P306" i="12" s="1"/>
  <c r="BG306" i="12"/>
  <c r="AA306" i="12"/>
  <c r="AB306" i="12" s="1"/>
  <c r="BE306" i="12"/>
  <c r="J306" i="12"/>
  <c r="BK306" i="12"/>
  <c r="K306" i="12"/>
  <c r="Y306" i="12"/>
  <c r="Z306" i="12" s="1"/>
  <c r="BC306" i="12"/>
  <c r="AC306" i="12"/>
  <c r="AD306" i="12" s="1"/>
  <c r="I306" i="12"/>
  <c r="BA306" i="12"/>
  <c r="L306" i="12"/>
  <c r="J259" i="1"/>
  <c r="G259" i="1"/>
  <c r="G341" i="1"/>
  <c r="AL306" i="12"/>
  <c r="K257" i="12"/>
  <c r="F257" i="12"/>
  <c r="U257" i="12"/>
  <c r="V257" i="12" s="1"/>
  <c r="BG257" i="12"/>
  <c r="S257" i="12"/>
  <c r="T257" i="12" s="1"/>
  <c r="BK257" i="12"/>
  <c r="Q257" i="12"/>
  <c r="R257" i="12" s="1"/>
  <c r="BA257" i="12"/>
  <c r="J257" i="12"/>
  <c r="AL257" i="12"/>
  <c r="AW257" i="12"/>
  <c r="BE257" i="12"/>
  <c r="AY257" i="12"/>
  <c r="AE257" i="12"/>
  <c r="AF257" i="12" s="1"/>
  <c r="M257" i="12"/>
  <c r="N257" i="12" s="1"/>
  <c r="O257" i="12"/>
  <c r="P257" i="12" s="1"/>
  <c r="BC257" i="12"/>
  <c r="I257" i="12"/>
  <c r="BI257" i="12"/>
  <c r="BO257" i="12"/>
  <c r="AC257" i="12"/>
  <c r="AD257" i="12" s="1"/>
  <c r="BM257" i="12"/>
  <c r="I259" i="1" s="1"/>
  <c r="W257" i="12"/>
  <c r="X257" i="12" s="1"/>
  <c r="AA257" i="12"/>
  <c r="AB257" i="12" s="1"/>
  <c r="L257" i="12"/>
  <c r="Y257" i="12"/>
  <c r="Z257" i="12" s="1"/>
  <c r="H257" i="12"/>
  <c r="F296" i="12"/>
  <c r="AW296" i="12"/>
  <c r="AY296" i="12"/>
  <c r="Y296" i="12"/>
  <c r="Z296" i="12" s="1"/>
  <c r="AE296" i="12"/>
  <c r="AF296" i="12" s="1"/>
  <c r="Q296" i="12"/>
  <c r="R296" i="12" s="1"/>
  <c r="K296" i="12"/>
  <c r="BE296" i="12"/>
  <c r="W296" i="12"/>
  <c r="X296" i="12" s="1"/>
  <c r="I380" i="3"/>
  <c r="C380" i="3" s="1"/>
  <c r="C390" i="3" s="1"/>
  <c r="C391" i="3" s="1"/>
  <c r="BG296" i="12"/>
  <c r="BO296" i="12"/>
  <c r="O296" i="12"/>
  <c r="P296" i="12" s="1"/>
  <c r="I296" i="12"/>
  <c r="G319" i="1"/>
  <c r="AL296" i="12"/>
  <c r="BK296" i="12"/>
  <c r="G228" i="1"/>
  <c r="AA296" i="12"/>
  <c r="AB296" i="12" s="1"/>
  <c r="S296" i="12"/>
  <c r="T296" i="12" s="1"/>
  <c r="J296" i="12"/>
  <c r="H296" i="12"/>
  <c r="L296" i="12"/>
  <c r="BC296" i="12"/>
  <c r="AC296" i="12"/>
  <c r="AD296" i="12" s="1"/>
  <c r="M296" i="12"/>
  <c r="N296" i="12" s="1"/>
  <c r="BA296" i="12"/>
  <c r="J278" i="1"/>
  <c r="G278" i="1"/>
  <c r="U296" i="12"/>
  <c r="V296" i="12" s="1"/>
  <c r="J262" i="1"/>
  <c r="G262" i="1"/>
  <c r="G276" i="1"/>
  <c r="J276" i="1"/>
  <c r="BO231" i="12"/>
  <c r="BC231" i="12"/>
  <c r="O231" i="12"/>
  <c r="P231" i="12" s="1"/>
  <c r="BE231" i="12"/>
  <c r="AW231" i="12"/>
  <c r="AE231" i="12"/>
  <c r="AF231" i="12" s="1"/>
  <c r="AY231" i="12"/>
  <c r="AA231" i="12"/>
  <c r="AB231" i="12" s="1"/>
  <c r="BM231" i="12"/>
  <c r="I233" i="1" s="1"/>
  <c r="Y231" i="12"/>
  <c r="Z231" i="12" s="1"/>
  <c r="L231" i="12"/>
  <c r="J231" i="12"/>
  <c r="I231" i="12"/>
  <c r="F231" i="12"/>
  <c r="BI231" i="12"/>
  <c r="U231" i="12"/>
  <c r="V231" i="12" s="1"/>
  <c r="AC231" i="12"/>
  <c r="AD231" i="12" s="1"/>
  <c r="K231" i="12"/>
  <c r="M231" i="12"/>
  <c r="N231" i="12" s="1"/>
  <c r="H231" i="12"/>
  <c r="W231" i="12"/>
  <c r="X231" i="12" s="1"/>
  <c r="BG231" i="12"/>
  <c r="Q231" i="12"/>
  <c r="R231" i="12" s="1"/>
  <c r="BK231" i="12"/>
  <c r="S231" i="12"/>
  <c r="T231" i="12" s="1"/>
  <c r="BA231" i="12"/>
  <c r="I329" i="12"/>
  <c r="BG329" i="12"/>
  <c r="AY329" i="12"/>
  <c r="AW329" i="12"/>
  <c r="W329" i="12"/>
  <c r="X329" i="12" s="1"/>
  <c r="BI329" i="12"/>
  <c r="U329" i="12"/>
  <c r="V329" i="12" s="1"/>
  <c r="S329" i="12"/>
  <c r="T329" i="12" s="1"/>
  <c r="AL329" i="12"/>
  <c r="Q329" i="12"/>
  <c r="R329" i="12" s="1"/>
  <c r="L329" i="12"/>
  <c r="K329" i="12"/>
  <c r="AC329" i="12"/>
  <c r="AD329" i="12" s="1"/>
  <c r="Y329" i="12"/>
  <c r="Z329" i="12" s="1"/>
  <c r="O329" i="12"/>
  <c r="P329" i="12" s="1"/>
  <c r="F329" i="12"/>
  <c r="BM329" i="12"/>
  <c r="I331" i="1" s="1"/>
  <c r="AE329" i="12"/>
  <c r="AF329" i="12" s="1"/>
  <c r="BC329" i="12"/>
  <c r="M329" i="12"/>
  <c r="N329" i="12" s="1"/>
  <c r="BK329" i="12"/>
  <c r="BO329" i="12"/>
  <c r="BE329" i="12"/>
  <c r="J329" i="12"/>
  <c r="H329" i="12"/>
  <c r="AA329" i="12"/>
  <c r="AB329" i="12" s="1"/>
  <c r="BA329" i="12"/>
  <c r="BM294" i="12"/>
  <c r="I296" i="1" s="1"/>
  <c r="BE294" i="12"/>
  <c r="L294" i="12"/>
  <c r="AL294" i="12"/>
  <c r="BG294" i="12"/>
  <c r="AE294" i="12"/>
  <c r="AF294" i="12" s="1"/>
  <c r="M294" i="12"/>
  <c r="N294" i="12" s="1"/>
  <c r="AW294" i="12"/>
  <c r="BI294" i="12"/>
  <c r="BK294" i="12"/>
  <c r="Y294" i="12"/>
  <c r="Z294" i="12" s="1"/>
  <c r="BC294" i="12"/>
  <c r="K294" i="12"/>
  <c r="J294" i="12"/>
  <c r="W294" i="12"/>
  <c r="X294" i="12" s="1"/>
  <c r="I294" i="12"/>
  <c r="BA294" i="12"/>
  <c r="AA294" i="12"/>
  <c r="AB294" i="12" s="1"/>
  <c r="AY294" i="12"/>
  <c r="AC294" i="12"/>
  <c r="AD294" i="12" s="1"/>
  <c r="U294" i="12"/>
  <c r="V294" i="12" s="1"/>
  <c r="S294" i="12"/>
  <c r="T294" i="12" s="1"/>
  <c r="Q294" i="12"/>
  <c r="R294" i="12" s="1"/>
  <c r="F294" i="12"/>
  <c r="H294" i="12"/>
  <c r="O294" i="12"/>
  <c r="P294" i="12" s="1"/>
  <c r="BO294" i="12"/>
  <c r="G344" i="1"/>
  <c r="J344" i="1"/>
  <c r="W316" i="12"/>
  <c r="X316" i="12" s="1"/>
  <c r="AL316" i="12"/>
  <c r="BO316" i="12"/>
  <c r="BK316" i="12"/>
  <c r="F316" i="12"/>
  <c r="BC316" i="12"/>
  <c r="S316" i="12"/>
  <c r="T316" i="12" s="1"/>
  <c r="O316" i="12"/>
  <c r="P316" i="12" s="1"/>
  <c r="U316" i="12"/>
  <c r="V316" i="12" s="1"/>
  <c r="M316" i="12"/>
  <c r="N316" i="12" s="1"/>
  <c r="Q316" i="12"/>
  <c r="R316" i="12" s="1"/>
  <c r="BI316" i="12"/>
  <c r="H316" i="12"/>
  <c r="AE316" i="12"/>
  <c r="AF316" i="12" s="1"/>
  <c r="Y316" i="12"/>
  <c r="Z316" i="12" s="1"/>
  <c r="BM316" i="12"/>
  <c r="I318" i="1" s="1"/>
  <c r="BE316" i="12"/>
  <c r="K316" i="12"/>
  <c r="AC316" i="12"/>
  <c r="AD316" i="12" s="1"/>
  <c r="AY316" i="12"/>
  <c r="AA316" i="12"/>
  <c r="AB316" i="12" s="1"/>
  <c r="L316" i="12"/>
  <c r="BG316" i="12"/>
  <c r="BA316" i="12"/>
  <c r="I316" i="12"/>
  <c r="AW316" i="12"/>
  <c r="J316" i="12"/>
  <c r="G339" i="1"/>
  <c r="J339" i="1"/>
  <c r="J304" i="1"/>
  <c r="G304" i="1"/>
  <c r="G312" i="1"/>
  <c r="J312" i="1"/>
  <c r="J233" i="1"/>
  <c r="G233" i="1"/>
  <c r="Y337" i="12"/>
  <c r="Z337" i="12" s="1"/>
  <c r="BE337" i="12"/>
  <c r="W337" i="12"/>
  <c r="X337" i="12" s="1"/>
  <c r="AL337" i="12"/>
  <c r="AA337" i="12"/>
  <c r="AB337" i="12" s="1"/>
  <c r="BM337" i="12"/>
  <c r="I339" i="1" s="1"/>
  <c r="U337" i="12"/>
  <c r="V337" i="12" s="1"/>
  <c r="BK337" i="12"/>
  <c r="L337" i="12"/>
  <c r="Q337" i="12"/>
  <c r="R337" i="12" s="1"/>
  <c r="J337" i="12"/>
  <c r="I337" i="12"/>
  <c r="BO337" i="12"/>
  <c r="S337" i="12"/>
  <c r="T337" i="12" s="1"/>
  <c r="AE337" i="12"/>
  <c r="AF337" i="12" s="1"/>
  <c r="H337" i="12"/>
  <c r="AW337" i="12"/>
  <c r="O337" i="12"/>
  <c r="P337" i="12" s="1"/>
  <c r="BG337" i="12"/>
  <c r="AC337" i="12"/>
  <c r="AD337" i="12" s="1"/>
  <c r="BI337" i="12"/>
  <c r="M337" i="12"/>
  <c r="N337" i="12" s="1"/>
  <c r="AY337" i="12"/>
  <c r="K337" i="12"/>
  <c r="BC337" i="12"/>
  <c r="F337" i="12"/>
  <c r="BA337" i="12"/>
  <c r="W302" i="12"/>
  <c r="X302" i="12" s="1"/>
  <c r="BG302" i="12"/>
  <c r="AE302" i="12"/>
  <c r="AF302" i="12" s="1"/>
  <c r="S302" i="12"/>
  <c r="T302" i="12" s="1"/>
  <c r="AL302" i="12"/>
  <c r="AY302" i="12"/>
  <c r="AC302" i="12"/>
  <c r="AD302" i="12" s="1"/>
  <c r="Q302" i="12"/>
  <c r="R302" i="12" s="1"/>
  <c r="AW302" i="12"/>
  <c r="O302" i="12"/>
  <c r="P302" i="12" s="1"/>
  <c r="Y302" i="12"/>
  <c r="Z302" i="12" s="1"/>
  <c r="BO302" i="12"/>
  <c r="BC302" i="12"/>
  <c r="M302" i="12"/>
  <c r="N302" i="12" s="1"/>
  <c r="BI302" i="12"/>
  <c r="BK302" i="12"/>
  <c r="K302" i="12"/>
  <c r="I302" i="12"/>
  <c r="L302" i="12"/>
  <c r="U302" i="12"/>
  <c r="V302" i="12" s="1"/>
  <c r="H302" i="12"/>
  <c r="AA302" i="12"/>
  <c r="AB302" i="12" s="1"/>
  <c r="J302" i="12"/>
  <c r="F302" i="12"/>
  <c r="BE302" i="12"/>
  <c r="BA302" i="12"/>
  <c r="AC310" i="12"/>
  <c r="AD310" i="12" s="1"/>
  <c r="U310" i="12"/>
  <c r="V310" i="12" s="1"/>
  <c r="BI310" i="12"/>
  <c r="M310" i="12"/>
  <c r="N310" i="12" s="1"/>
  <c r="F310" i="12"/>
  <c r="BO310" i="12"/>
  <c r="BG310" i="12"/>
  <c r="O310" i="12"/>
  <c r="P310" i="12" s="1"/>
  <c r="Q310" i="12"/>
  <c r="R310" i="12" s="1"/>
  <c r="AW310" i="12"/>
  <c r="AL310" i="12"/>
  <c r="I310" i="12"/>
  <c r="AY310" i="12"/>
  <c r="L310" i="12"/>
  <c r="BC310" i="12"/>
  <c r="W310" i="12"/>
  <c r="X310" i="12" s="1"/>
  <c r="AE310" i="12"/>
  <c r="AF310" i="12" s="1"/>
  <c r="BE310" i="12"/>
  <c r="J310" i="12"/>
  <c r="S310" i="12"/>
  <c r="T310" i="12" s="1"/>
  <c r="H310" i="12"/>
  <c r="BK310" i="12"/>
  <c r="AA310" i="12"/>
  <c r="AB310" i="12" s="1"/>
  <c r="BA310" i="12"/>
  <c r="Y310" i="12"/>
  <c r="Z310" i="12" s="1"/>
  <c r="K310" i="12"/>
  <c r="BM310" i="12"/>
  <c r="I312" i="1" s="1"/>
  <c r="J274" i="12"/>
  <c r="I274" i="12"/>
  <c r="Q274" i="12"/>
  <c r="R274" i="12" s="1"/>
  <c r="H274" i="12"/>
  <c r="AW274" i="12"/>
  <c r="Y274" i="12"/>
  <c r="Z274" i="12" s="1"/>
  <c r="AA274" i="12"/>
  <c r="AB274" i="12" s="1"/>
  <c r="W274" i="12"/>
  <c r="X274" i="12" s="1"/>
  <c r="F274" i="12"/>
  <c r="AL274" i="12"/>
  <c r="U274" i="12"/>
  <c r="V274" i="12" s="1"/>
  <c r="BG274" i="12"/>
  <c r="O274" i="12"/>
  <c r="P274" i="12" s="1"/>
  <c r="BI274" i="12"/>
  <c r="BO274" i="12"/>
  <c r="BK274" i="12"/>
  <c r="AE274" i="12"/>
  <c r="AF274" i="12" s="1"/>
  <c r="AY274" i="12"/>
  <c r="L274" i="12"/>
  <c r="BM274" i="12"/>
  <c r="I276" i="1" s="1"/>
  <c r="BE274" i="12"/>
  <c r="M274" i="12"/>
  <c r="N274" i="12" s="1"/>
  <c r="BA274" i="12"/>
  <c r="AC274" i="12"/>
  <c r="AD274" i="12" s="1"/>
  <c r="BC274" i="12"/>
  <c r="S274" i="12"/>
  <c r="T274" i="12" s="1"/>
  <c r="K274" i="12"/>
  <c r="G331" i="1"/>
  <c r="J331" i="1"/>
  <c r="J351" i="1"/>
  <c r="G351" i="1"/>
  <c r="J296" i="1"/>
  <c r="G296" i="1"/>
  <c r="J349" i="1"/>
  <c r="G349" i="1"/>
  <c r="J349" i="12"/>
  <c r="AY349" i="12"/>
  <c r="Q349" i="12"/>
  <c r="R349" i="12" s="1"/>
  <c r="AC349" i="12"/>
  <c r="AD349" i="12" s="1"/>
  <c r="H349" i="12"/>
  <c r="BO349" i="12"/>
  <c r="L349" i="12"/>
  <c r="K349" i="12"/>
  <c r="O349" i="12"/>
  <c r="P349" i="12" s="1"/>
  <c r="S349" i="12"/>
  <c r="T349" i="12" s="1"/>
  <c r="M349" i="12"/>
  <c r="N349" i="12" s="1"/>
  <c r="Y349" i="12"/>
  <c r="Z349" i="12" s="1"/>
  <c r="BA349" i="12"/>
  <c r="AL349" i="12"/>
  <c r="BG349" i="12"/>
  <c r="I349" i="12"/>
  <c r="BE349" i="12"/>
  <c r="U349" i="12"/>
  <c r="V349" i="12" s="1"/>
  <c r="W349" i="12"/>
  <c r="X349" i="12" s="1"/>
  <c r="AW349" i="12"/>
  <c r="F349" i="12"/>
  <c r="BK349" i="12"/>
  <c r="BI349" i="12"/>
  <c r="AA349" i="12"/>
  <c r="AB349" i="12" s="1"/>
  <c r="AE349" i="12"/>
  <c r="AF349" i="12" s="1"/>
  <c r="BC349" i="12"/>
  <c r="J318" i="1"/>
  <c r="G318" i="1"/>
  <c r="G338" i="1"/>
  <c r="J338" i="1"/>
  <c r="K347" i="12"/>
  <c r="J347" i="12"/>
  <c r="F347" i="12"/>
  <c r="AW347" i="12"/>
  <c r="W347" i="12"/>
  <c r="X347" i="12" s="1"/>
  <c r="BI347" i="12"/>
  <c r="I347" i="12"/>
  <c r="AC347" i="12"/>
  <c r="AD347" i="12" s="1"/>
  <c r="BO347" i="12"/>
  <c r="Y347" i="12"/>
  <c r="Z347" i="12" s="1"/>
  <c r="M347" i="12"/>
  <c r="N347" i="12" s="1"/>
  <c r="H347" i="12"/>
  <c r="S347" i="12"/>
  <c r="T347" i="12" s="1"/>
  <c r="AL347" i="12"/>
  <c r="BE347" i="12"/>
  <c r="AE347" i="12"/>
  <c r="AF347" i="12" s="1"/>
  <c r="BA347" i="12"/>
  <c r="O347" i="12"/>
  <c r="P347" i="12" s="1"/>
  <c r="BG347" i="12"/>
  <c r="Q347" i="12"/>
  <c r="R347" i="12" s="1"/>
  <c r="AY347" i="12"/>
  <c r="L347" i="12"/>
  <c r="BK347" i="12"/>
  <c r="AA347" i="12"/>
  <c r="AB347" i="12" s="1"/>
  <c r="BC347" i="12"/>
  <c r="U347" i="12"/>
  <c r="V347" i="12" s="1"/>
  <c r="G286" i="1"/>
  <c r="J286" i="1"/>
  <c r="AE342" i="12"/>
  <c r="AF342" i="12" s="1"/>
  <c r="BK342" i="12"/>
  <c r="F342" i="12"/>
  <c r="O342" i="12"/>
  <c r="P342" i="12" s="1"/>
  <c r="BA342" i="12"/>
  <c r="BO342" i="12"/>
  <c r="L342" i="12"/>
  <c r="AL342" i="12"/>
  <c r="Y342" i="12"/>
  <c r="Z342" i="12" s="1"/>
  <c r="M342" i="12"/>
  <c r="N342" i="12" s="1"/>
  <c r="BE342" i="12"/>
  <c r="BC342" i="12"/>
  <c r="K342" i="12"/>
  <c r="S342" i="12"/>
  <c r="T342" i="12" s="1"/>
  <c r="H342" i="12"/>
  <c r="BI342" i="12"/>
  <c r="J342" i="12"/>
  <c r="AY342" i="12"/>
  <c r="Q342" i="12"/>
  <c r="R342" i="12" s="1"/>
  <c r="AC342" i="12"/>
  <c r="AD342" i="12" s="1"/>
  <c r="AA342" i="12"/>
  <c r="AB342" i="12" s="1"/>
  <c r="W342" i="12"/>
  <c r="X342" i="12" s="1"/>
  <c r="BG342" i="12"/>
  <c r="I342" i="12"/>
  <c r="U342" i="12"/>
  <c r="V342" i="12" s="1"/>
  <c r="AW342" i="12"/>
  <c r="L260" i="12"/>
  <c r="O260" i="12"/>
  <c r="P260" i="12" s="1"/>
  <c r="U260" i="12"/>
  <c r="V260" i="12" s="1"/>
  <c r="BM260" i="12"/>
  <c r="I262" i="1" s="1"/>
  <c r="W260" i="12"/>
  <c r="X260" i="12" s="1"/>
  <c r="S260" i="12"/>
  <c r="T260" i="12" s="1"/>
  <c r="BK260" i="12"/>
  <c r="BA260" i="12"/>
  <c r="AA260" i="12"/>
  <c r="AB260" i="12" s="1"/>
  <c r="F260" i="12"/>
  <c r="BG260" i="12"/>
  <c r="AL260" i="12"/>
  <c r="AY260" i="12"/>
  <c r="M260" i="12"/>
  <c r="N260" i="12" s="1"/>
  <c r="K260" i="12"/>
  <c r="BI260" i="12"/>
  <c r="J260" i="12"/>
  <c r="BC260" i="12"/>
  <c r="I260" i="12"/>
  <c r="AC260" i="12"/>
  <c r="AD260" i="12" s="1"/>
  <c r="H260" i="12"/>
  <c r="AW260" i="12"/>
  <c r="BO260" i="12"/>
  <c r="BE260" i="12"/>
  <c r="AE260" i="12"/>
  <c r="AF260" i="12" s="1"/>
  <c r="Y260" i="12"/>
  <c r="Z260" i="12" s="1"/>
  <c r="Q260" i="12"/>
  <c r="R260" i="12" s="1"/>
  <c r="S336" i="12"/>
  <c r="T336" i="12" s="1"/>
  <c r="BA336" i="12"/>
  <c r="AC336" i="12"/>
  <c r="AD336" i="12" s="1"/>
  <c r="O336" i="12"/>
  <c r="P336" i="12" s="1"/>
  <c r="F336" i="12"/>
  <c r="M336" i="12"/>
  <c r="N336" i="12" s="1"/>
  <c r="L336" i="12"/>
  <c r="U336" i="12"/>
  <c r="V336" i="12" s="1"/>
  <c r="AA336" i="12"/>
  <c r="AB336" i="12" s="1"/>
  <c r="I336" i="12"/>
  <c r="BO336" i="12"/>
  <c r="H336" i="12"/>
  <c r="Q336" i="12"/>
  <c r="R336" i="12" s="1"/>
  <c r="BC336" i="12"/>
  <c r="AW336" i="12"/>
  <c r="BE336" i="12"/>
  <c r="K336" i="12"/>
  <c r="AY336" i="12"/>
  <c r="AE336" i="12"/>
  <c r="AF336" i="12" s="1"/>
  <c r="BG336" i="12"/>
  <c r="J336" i="12"/>
  <c r="BI336" i="12"/>
  <c r="BK336" i="12"/>
  <c r="AL336" i="12"/>
  <c r="Y336" i="12"/>
  <c r="Z336" i="12" s="1"/>
  <c r="W336" i="12"/>
  <c r="X336" i="12" s="1"/>
  <c r="K284" i="12"/>
  <c r="AE284" i="12"/>
  <c r="AF284" i="12" s="1"/>
  <c r="Q284" i="12"/>
  <c r="R284" i="12" s="1"/>
  <c r="Y284" i="12"/>
  <c r="Z284" i="12" s="1"/>
  <c r="L284" i="12"/>
  <c r="H284" i="12"/>
  <c r="S284" i="12"/>
  <c r="T284" i="12" s="1"/>
  <c r="F284" i="12"/>
  <c r="BE284" i="12"/>
  <c r="AC284" i="12"/>
  <c r="AD284" i="12" s="1"/>
  <c r="J284" i="12"/>
  <c r="BC284" i="12"/>
  <c r="BM284" i="12"/>
  <c r="I286" i="1" s="1"/>
  <c r="AW284" i="12"/>
  <c r="BA284" i="12"/>
  <c r="AA284" i="12"/>
  <c r="AB284" i="12" s="1"/>
  <c r="BI284" i="12"/>
  <c r="I284" i="12"/>
  <c r="BG284" i="12"/>
  <c r="W284" i="12"/>
  <c r="X284" i="12" s="1"/>
  <c r="AY284" i="12"/>
  <c r="U284" i="12"/>
  <c r="V284" i="12" s="1"/>
  <c r="BK284" i="12"/>
  <c r="BO284" i="12"/>
  <c r="AL284" i="12"/>
  <c r="O284" i="12"/>
  <c r="P284" i="12" s="1"/>
  <c r="M284" i="12"/>
  <c r="N284" i="12" s="1"/>
  <c r="J314" i="1"/>
  <c r="G314" i="1"/>
  <c r="K312" i="12"/>
  <c r="S312" i="12"/>
  <c r="T312" i="12" s="1"/>
  <c r="F312" i="12"/>
  <c r="BE312" i="12"/>
  <c r="BI312" i="12"/>
  <c r="BO312" i="12"/>
  <c r="H312" i="12"/>
  <c r="AE312" i="12"/>
  <c r="AF312" i="12" s="1"/>
  <c r="Y312" i="12"/>
  <c r="Z312" i="12" s="1"/>
  <c r="O312" i="12"/>
  <c r="P312" i="12" s="1"/>
  <c r="W312" i="12"/>
  <c r="X312" i="12" s="1"/>
  <c r="BM312" i="12"/>
  <c r="I314" i="1" s="1"/>
  <c r="AW312" i="12"/>
  <c r="M312" i="12"/>
  <c r="N312" i="12" s="1"/>
  <c r="BK312" i="12"/>
  <c r="AC312" i="12"/>
  <c r="AD312" i="12" s="1"/>
  <c r="AY312" i="12"/>
  <c r="L312" i="12"/>
  <c r="BC312" i="12"/>
  <c r="AA312" i="12"/>
  <c r="AB312" i="12" s="1"/>
  <c r="BA312" i="12"/>
  <c r="J312" i="12"/>
  <c r="BG312" i="12"/>
  <c r="I312" i="12"/>
  <c r="AL312" i="12"/>
  <c r="U312" i="12"/>
  <c r="V312" i="12" s="1"/>
  <c r="Q312" i="12"/>
  <c r="R312" i="12" s="1"/>
  <c r="J323" i="1"/>
  <c r="G323" i="1"/>
  <c r="Q321" i="12"/>
  <c r="R321" i="12" s="1"/>
  <c r="BE321" i="12"/>
  <c r="BK321" i="12"/>
  <c r="J321" i="12"/>
  <c r="M321" i="12"/>
  <c r="N321" i="12" s="1"/>
  <c r="BA321" i="12"/>
  <c r="BO321" i="12"/>
  <c r="BI321" i="12"/>
  <c r="L321" i="12"/>
  <c r="BC321" i="12"/>
  <c r="K321" i="12"/>
  <c r="AY321" i="12"/>
  <c r="F321" i="12"/>
  <c r="BG321" i="12"/>
  <c r="AC321" i="12"/>
  <c r="AD321" i="12" s="1"/>
  <c r="H321" i="12"/>
  <c r="AA321" i="12"/>
  <c r="AB321" i="12" s="1"/>
  <c r="Y321" i="12"/>
  <c r="Z321" i="12" s="1"/>
  <c r="AE321" i="12"/>
  <c r="AF321" i="12" s="1"/>
  <c r="O321" i="12"/>
  <c r="P321" i="12" s="1"/>
  <c r="I321" i="12"/>
  <c r="W321" i="12"/>
  <c r="X321" i="12" s="1"/>
  <c r="U321" i="12"/>
  <c r="V321" i="12" s="1"/>
  <c r="S321" i="12"/>
  <c r="T321" i="12" s="1"/>
  <c r="AW321" i="12"/>
  <c r="AL321" i="12"/>
  <c r="J284" i="1"/>
  <c r="G284" i="1"/>
  <c r="S282" i="12"/>
  <c r="T282" i="12" s="1"/>
  <c r="L282" i="12"/>
  <c r="W282" i="12"/>
  <c r="X282" i="12" s="1"/>
  <c r="M282" i="12"/>
  <c r="N282" i="12" s="1"/>
  <c r="F282" i="12"/>
  <c r="BM282" i="12"/>
  <c r="I284" i="1" s="1"/>
  <c r="BO282" i="12"/>
  <c r="Q282" i="12"/>
  <c r="R282" i="12" s="1"/>
  <c r="BI282" i="12"/>
  <c r="BK282" i="12"/>
  <c r="AY282" i="12"/>
  <c r="AC282" i="12"/>
  <c r="AD282" i="12" s="1"/>
  <c r="H282" i="12"/>
  <c r="U282" i="12"/>
  <c r="V282" i="12" s="1"/>
  <c r="O282" i="12"/>
  <c r="P282" i="12" s="1"/>
  <c r="AL282" i="12"/>
  <c r="K282" i="12"/>
  <c r="BC282" i="12"/>
  <c r="AA282" i="12"/>
  <c r="AB282" i="12" s="1"/>
  <c r="J282" i="12"/>
  <c r="BG282" i="12"/>
  <c r="AE282" i="12"/>
  <c r="AF282" i="12" s="1"/>
  <c r="Y282" i="12"/>
  <c r="Z282" i="12" s="1"/>
  <c r="AW282" i="12"/>
  <c r="BE282" i="12"/>
  <c r="BA282" i="12"/>
  <c r="I282" i="12"/>
  <c r="D371" i="12"/>
  <c r="BM347" i="12" s="1"/>
  <c r="I349" i="1" s="1"/>
  <c r="J342" i="1"/>
  <c r="G342" i="1"/>
  <c r="Y297" i="12"/>
  <c r="Z297" i="12" s="1"/>
  <c r="S297" i="12"/>
  <c r="T297" i="12" s="1"/>
  <c r="AE297" i="12"/>
  <c r="AF297" i="12" s="1"/>
  <c r="U297" i="12"/>
  <c r="V297" i="12" s="1"/>
  <c r="Q297" i="12"/>
  <c r="R297" i="12" s="1"/>
  <c r="H297" i="12"/>
  <c r="AC297" i="12"/>
  <c r="AD297" i="12" s="1"/>
  <c r="O297" i="12"/>
  <c r="P297" i="12" s="1"/>
  <c r="L297" i="12"/>
  <c r="BK297" i="12"/>
  <c r="I297" i="12"/>
  <c r="BG297" i="12"/>
  <c r="BI297" i="12"/>
  <c r="K297" i="12"/>
  <c r="BE297" i="12"/>
  <c r="M297" i="12"/>
  <c r="N297" i="12" s="1"/>
  <c r="AA297" i="12"/>
  <c r="AB297" i="12" s="1"/>
  <c r="BC297" i="12"/>
  <c r="J297" i="12"/>
  <c r="AW297" i="12"/>
  <c r="AL297" i="12"/>
  <c r="W297" i="12"/>
  <c r="X297" i="12" s="1"/>
  <c r="BA297" i="12"/>
  <c r="F297" i="12"/>
  <c r="AY297" i="12"/>
  <c r="BO297" i="12"/>
  <c r="J326" i="1"/>
  <c r="G326" i="1"/>
  <c r="M340" i="12"/>
  <c r="N340" i="12" s="1"/>
  <c r="BE340" i="12"/>
  <c r="L340" i="12"/>
  <c r="BC340" i="12"/>
  <c r="Y340" i="12"/>
  <c r="Z340" i="12" s="1"/>
  <c r="AY340" i="12"/>
  <c r="AL340" i="12"/>
  <c r="W340" i="12"/>
  <c r="X340" i="12" s="1"/>
  <c r="BI340" i="12"/>
  <c r="U340" i="12"/>
  <c r="V340" i="12" s="1"/>
  <c r="BG340" i="12"/>
  <c r="AE340" i="12"/>
  <c r="AF340" i="12" s="1"/>
  <c r="Q340" i="12"/>
  <c r="R340" i="12" s="1"/>
  <c r="BA340" i="12"/>
  <c r="BK340" i="12"/>
  <c r="O340" i="12"/>
  <c r="P340" i="12" s="1"/>
  <c r="AW340" i="12"/>
  <c r="K340" i="12"/>
  <c r="AA340" i="12"/>
  <c r="AB340" i="12" s="1"/>
  <c r="I340" i="12"/>
  <c r="AC340" i="12"/>
  <c r="AD340" i="12" s="1"/>
  <c r="J340" i="12"/>
  <c r="S340" i="12"/>
  <c r="T340" i="12" s="1"/>
  <c r="H340" i="12"/>
  <c r="BO340" i="12"/>
  <c r="F340" i="12"/>
  <c r="Q324" i="12"/>
  <c r="R324" i="12" s="1"/>
  <c r="Y324" i="12"/>
  <c r="Z324" i="12" s="1"/>
  <c r="F324" i="12"/>
  <c r="W324" i="12"/>
  <c r="X324" i="12" s="1"/>
  <c r="H324" i="12"/>
  <c r="S324" i="12"/>
  <c r="T324" i="12" s="1"/>
  <c r="AY324" i="12"/>
  <c r="O324" i="12"/>
  <c r="P324" i="12" s="1"/>
  <c r="AW324" i="12"/>
  <c r="M324" i="12"/>
  <c r="N324" i="12" s="1"/>
  <c r="AL324" i="12"/>
  <c r="AA324" i="12"/>
  <c r="AB324" i="12" s="1"/>
  <c r="BO324" i="12"/>
  <c r="BI324" i="12"/>
  <c r="L324" i="12"/>
  <c r="BC324" i="12"/>
  <c r="K324" i="12"/>
  <c r="BG324" i="12"/>
  <c r="I324" i="12"/>
  <c r="BA324" i="12"/>
  <c r="AE324" i="12"/>
  <c r="AF324" i="12" s="1"/>
  <c r="BK324" i="12"/>
  <c r="AC324" i="12"/>
  <c r="AD324" i="12" s="1"/>
  <c r="BE324" i="12"/>
  <c r="J324" i="12"/>
  <c r="U324" i="12"/>
  <c r="V324" i="12" s="1"/>
  <c r="J315" i="1"/>
  <c r="G315" i="1"/>
  <c r="BM313" i="12"/>
  <c r="I315" i="1" s="1"/>
  <c r="BC313" i="12"/>
  <c r="AC313" i="12"/>
  <c r="AD313" i="12" s="1"/>
  <c r="AW313" i="12"/>
  <c r="L313" i="12"/>
  <c r="BG313" i="12"/>
  <c r="BO313" i="12"/>
  <c r="M313" i="12"/>
  <c r="N313" i="12" s="1"/>
  <c r="K313" i="12"/>
  <c r="BA313" i="12"/>
  <c r="AA313" i="12"/>
  <c r="AB313" i="12" s="1"/>
  <c r="I313" i="12"/>
  <c r="AL313" i="12"/>
  <c r="Y313" i="12"/>
  <c r="Z313" i="12" s="1"/>
  <c r="AY313" i="12"/>
  <c r="H313" i="12"/>
  <c r="BK313" i="12"/>
  <c r="S313" i="12"/>
  <c r="T313" i="12" s="1"/>
  <c r="Q313" i="12"/>
  <c r="R313" i="12" s="1"/>
  <c r="J313" i="12"/>
  <c r="W313" i="12"/>
  <c r="X313" i="12" s="1"/>
  <c r="U313" i="12"/>
  <c r="V313" i="12" s="1"/>
  <c r="O313" i="12"/>
  <c r="P313" i="12" s="1"/>
  <c r="F313" i="12"/>
  <c r="AE313" i="12"/>
  <c r="AF313" i="12" s="1"/>
  <c r="BE313" i="12"/>
  <c r="BI313" i="12"/>
  <c r="W345" i="12"/>
  <c r="X345" i="12" s="1"/>
  <c r="F345" i="12"/>
  <c r="J345" i="12"/>
  <c r="H345" i="12"/>
  <c r="Y345" i="12"/>
  <c r="Z345" i="12" s="1"/>
  <c r="AY345" i="12"/>
  <c r="I345" i="12"/>
  <c r="BA345" i="12"/>
  <c r="Q345" i="12"/>
  <c r="R345" i="12" s="1"/>
  <c r="BC345" i="12"/>
  <c r="S345" i="12"/>
  <c r="T345" i="12" s="1"/>
  <c r="AL345" i="12"/>
  <c r="O345" i="12"/>
  <c r="P345" i="12" s="1"/>
  <c r="BG345" i="12"/>
  <c r="L345" i="12"/>
  <c r="BO345" i="12"/>
  <c r="BK345" i="12"/>
  <c r="BM345" i="12"/>
  <c r="I347" i="1" s="1"/>
  <c r="BI345" i="12"/>
  <c r="U345" i="12"/>
  <c r="V345" i="12" s="1"/>
  <c r="AE345" i="12"/>
  <c r="AF345" i="12" s="1"/>
  <c r="BE345" i="12"/>
  <c r="AC345" i="12"/>
  <c r="AD345" i="12" s="1"/>
  <c r="AW345" i="12"/>
  <c r="AA345" i="12"/>
  <c r="AB345" i="12" s="1"/>
  <c r="K345" i="12"/>
  <c r="M345" i="12"/>
  <c r="N345" i="12" s="1"/>
  <c r="J347" i="1"/>
  <c r="G347" i="1"/>
  <c r="J299" i="1"/>
  <c r="G299" i="1"/>
  <c r="J307" i="1"/>
  <c r="G307" i="1"/>
  <c r="U305" i="12"/>
  <c r="V305" i="12" s="1"/>
  <c r="I305" i="12"/>
  <c r="L305" i="12"/>
  <c r="S305" i="12"/>
  <c r="T305" i="12" s="1"/>
  <c r="AC305" i="12"/>
  <c r="AD305" i="12" s="1"/>
  <c r="H305" i="12"/>
  <c r="M305" i="12"/>
  <c r="N305" i="12" s="1"/>
  <c r="F305" i="12"/>
  <c r="Q305" i="12"/>
  <c r="R305" i="12" s="1"/>
  <c r="AW305" i="12"/>
  <c r="W305" i="12"/>
  <c r="X305" i="12" s="1"/>
  <c r="O305" i="12"/>
  <c r="P305" i="12" s="1"/>
  <c r="AY305" i="12"/>
  <c r="BO305" i="12"/>
  <c r="BI305" i="12"/>
  <c r="K305" i="12"/>
  <c r="BA305" i="12"/>
  <c r="J305" i="12"/>
  <c r="AL305" i="12"/>
  <c r="BC305" i="12"/>
  <c r="BM305" i="12"/>
  <c r="I307" i="1" s="1"/>
  <c r="BG305" i="12"/>
  <c r="AA305" i="12"/>
  <c r="AB305" i="12" s="1"/>
  <c r="BK305" i="12"/>
  <c r="Y305" i="12"/>
  <c r="Z305" i="12" s="1"/>
  <c r="BE305" i="12"/>
  <c r="AE305" i="12"/>
  <c r="AF305" i="12" s="1"/>
  <c r="G236" i="1"/>
  <c r="J236" i="1"/>
  <c r="BO234" i="12"/>
  <c r="BK234" i="12"/>
  <c r="O234" i="12"/>
  <c r="P234" i="12" s="1"/>
  <c r="AY234" i="12"/>
  <c r="BM234" i="12"/>
  <c r="I236" i="1" s="1"/>
  <c r="BC234" i="12"/>
  <c r="AC234" i="12"/>
  <c r="AD234" i="12" s="1"/>
  <c r="BA234" i="12"/>
  <c r="L234" i="12"/>
  <c r="AW234" i="12"/>
  <c r="K234" i="12"/>
  <c r="BG234" i="12"/>
  <c r="AE234" i="12"/>
  <c r="AF234" i="12" s="1"/>
  <c r="BI234" i="12"/>
  <c r="AA234" i="12"/>
  <c r="AB234" i="12" s="1"/>
  <c r="Y234" i="12"/>
  <c r="Z234" i="12" s="1"/>
  <c r="W234" i="12"/>
  <c r="X234" i="12" s="1"/>
  <c r="M234" i="12"/>
  <c r="N234" i="12" s="1"/>
  <c r="J234" i="12"/>
  <c r="I234" i="12"/>
  <c r="U234" i="12"/>
  <c r="V234" i="12" s="1"/>
  <c r="F234" i="12"/>
  <c r="S234" i="12"/>
  <c r="T234" i="12" s="1"/>
  <c r="H234" i="12"/>
  <c r="Q234" i="12"/>
  <c r="R234" i="12" s="1"/>
  <c r="BE234" i="12"/>
  <c r="G289" i="1"/>
  <c r="J289" i="1"/>
  <c r="G321" i="1"/>
  <c r="J321" i="1"/>
  <c r="J334" i="1"/>
  <c r="G334" i="1"/>
  <c r="BM287" i="12"/>
  <c r="I289" i="1" s="1"/>
  <c r="BI287" i="12"/>
  <c r="AA287" i="12"/>
  <c r="AB287" i="12" s="1"/>
  <c r="AY287" i="12"/>
  <c r="W287" i="12"/>
  <c r="X287" i="12" s="1"/>
  <c r="AE287" i="12"/>
  <c r="AF287" i="12" s="1"/>
  <c r="Q287" i="12"/>
  <c r="R287" i="12" s="1"/>
  <c r="BA287" i="12"/>
  <c r="K287" i="12"/>
  <c r="I287" i="12"/>
  <c r="BO287" i="12"/>
  <c r="Y287" i="12"/>
  <c r="Z287" i="12" s="1"/>
  <c r="L287" i="12"/>
  <c r="AC287" i="12"/>
  <c r="AD287" i="12" s="1"/>
  <c r="F287" i="12"/>
  <c r="M287" i="12"/>
  <c r="N287" i="12" s="1"/>
  <c r="H287" i="12"/>
  <c r="U287" i="12"/>
  <c r="V287" i="12" s="1"/>
  <c r="AW287" i="12"/>
  <c r="J287" i="12"/>
  <c r="S287" i="12"/>
  <c r="T287" i="12" s="1"/>
  <c r="BG287" i="12"/>
  <c r="O287" i="12"/>
  <c r="P287" i="12" s="1"/>
  <c r="BE287" i="12"/>
  <c r="BK287" i="12"/>
  <c r="AL287" i="12"/>
  <c r="BC287" i="12"/>
  <c r="Q319" i="12"/>
  <c r="R319" i="12" s="1"/>
  <c r="O319" i="12"/>
  <c r="P319" i="12" s="1"/>
  <c r="J319" i="12"/>
  <c r="H319" i="12"/>
  <c r="BC319" i="12"/>
  <c r="Y319" i="12"/>
  <c r="Z319" i="12" s="1"/>
  <c r="F319" i="12"/>
  <c r="AY319" i="12"/>
  <c r="I319" i="12"/>
  <c r="BE319" i="12"/>
  <c r="S319" i="12"/>
  <c r="T319" i="12" s="1"/>
  <c r="AE319" i="12"/>
  <c r="AF319" i="12" s="1"/>
  <c r="BA319" i="12"/>
  <c r="AA319" i="12"/>
  <c r="AB319" i="12" s="1"/>
  <c r="M319" i="12"/>
  <c r="N319" i="12" s="1"/>
  <c r="BG319" i="12"/>
  <c r="L319" i="12"/>
  <c r="AL319" i="12"/>
  <c r="BO319" i="12"/>
  <c r="BI319" i="12"/>
  <c r="AC319" i="12"/>
  <c r="AD319" i="12" s="1"/>
  <c r="AW319" i="12"/>
  <c r="K319" i="12"/>
  <c r="BK319" i="12"/>
  <c r="W319" i="12"/>
  <c r="X319" i="12" s="1"/>
  <c r="U319" i="12"/>
  <c r="V319" i="12" s="1"/>
  <c r="Y332" i="12"/>
  <c r="Z332" i="12" s="1"/>
  <c r="AL332" i="12"/>
  <c r="W332" i="12"/>
  <c r="X332" i="12" s="1"/>
  <c r="BK332" i="12"/>
  <c r="AY332" i="12"/>
  <c r="L332" i="12"/>
  <c r="AC332" i="12"/>
  <c r="AD332" i="12" s="1"/>
  <c r="BO332" i="12"/>
  <c r="Q332" i="12"/>
  <c r="R332" i="12" s="1"/>
  <c r="BA332" i="12"/>
  <c r="O332" i="12"/>
  <c r="P332" i="12" s="1"/>
  <c r="BE332" i="12"/>
  <c r="M332" i="12"/>
  <c r="N332" i="12" s="1"/>
  <c r="U332" i="12"/>
  <c r="V332" i="12" s="1"/>
  <c r="H332" i="12"/>
  <c r="AA332" i="12"/>
  <c r="AB332" i="12" s="1"/>
  <c r="AE332" i="12"/>
  <c r="AF332" i="12" s="1"/>
  <c r="F332" i="12"/>
  <c r="K332" i="12"/>
  <c r="BC332" i="12"/>
  <c r="S332" i="12"/>
  <c r="T332" i="12" s="1"/>
  <c r="AW332" i="12"/>
  <c r="J332" i="12"/>
  <c r="BG332" i="12"/>
  <c r="I332" i="12"/>
  <c r="BI332" i="12"/>
  <c r="J279" i="1"/>
  <c r="G279" i="1"/>
  <c r="BO263" i="12"/>
  <c r="BG263" i="12"/>
  <c r="K263" i="12"/>
  <c r="BA263" i="12"/>
  <c r="J263" i="12"/>
  <c r="BE263" i="12"/>
  <c r="F263" i="12"/>
  <c r="M263" i="12"/>
  <c r="N263" i="12" s="1"/>
  <c r="O263" i="12"/>
  <c r="P263" i="12" s="1"/>
  <c r="AE263" i="12"/>
  <c r="AF263" i="12" s="1"/>
  <c r="AW263" i="12"/>
  <c r="W263" i="12"/>
  <c r="X263" i="12" s="1"/>
  <c r="AL263" i="12"/>
  <c r="U263" i="12"/>
  <c r="V263" i="12" s="1"/>
  <c r="BI263" i="12"/>
  <c r="S263" i="12"/>
  <c r="T263" i="12" s="1"/>
  <c r="BC263" i="12"/>
  <c r="BM263" i="12"/>
  <c r="I265" i="1" s="1"/>
  <c r="AY263" i="12"/>
  <c r="Q263" i="12"/>
  <c r="R263" i="12" s="1"/>
  <c r="I263" i="12"/>
  <c r="L263" i="12"/>
  <c r="AA263" i="12"/>
  <c r="AB263" i="12" s="1"/>
  <c r="Y263" i="12"/>
  <c r="Z263" i="12" s="1"/>
  <c r="AC263" i="12"/>
  <c r="AD263" i="12" s="1"/>
  <c r="H263" i="12"/>
  <c r="BK263" i="12"/>
  <c r="BO277" i="12"/>
  <c r="Q277" i="12"/>
  <c r="R277" i="12" s="1"/>
  <c r="M277" i="12"/>
  <c r="N277" i="12" s="1"/>
  <c r="L277" i="12"/>
  <c r="W277" i="12"/>
  <c r="X277" i="12" s="1"/>
  <c r="K277" i="12"/>
  <c r="BE277" i="12"/>
  <c r="AE277" i="12"/>
  <c r="AF277" i="12" s="1"/>
  <c r="AY277" i="12"/>
  <c r="Y277" i="12"/>
  <c r="Z277" i="12" s="1"/>
  <c r="H277" i="12"/>
  <c r="AA277" i="12"/>
  <c r="AB277" i="12" s="1"/>
  <c r="BK277" i="12"/>
  <c r="BM277" i="12"/>
  <c r="I279" i="1" s="1"/>
  <c r="F277" i="12"/>
  <c r="AC277" i="12"/>
  <c r="AD277" i="12" s="1"/>
  <c r="BA277" i="12"/>
  <c r="J277" i="12"/>
  <c r="BC277" i="12"/>
  <c r="I277" i="12"/>
  <c r="BG277" i="12"/>
  <c r="O277" i="12"/>
  <c r="P277" i="12" s="1"/>
  <c r="U277" i="12"/>
  <c r="V277" i="12" s="1"/>
  <c r="AL277" i="12"/>
  <c r="S277" i="12"/>
  <c r="T277" i="12" s="1"/>
  <c r="AW277" i="12"/>
  <c r="BI277" i="12"/>
  <c r="G265" i="1"/>
  <c r="J265" i="1"/>
  <c r="Z227" i="12"/>
  <c r="AB227" i="12"/>
  <c r="AD227" i="12"/>
  <c r="V227" i="12"/>
  <c r="R227" i="12"/>
  <c r="AF227" i="12"/>
  <c r="N227" i="12"/>
  <c r="X227" i="12"/>
  <c r="BM21" i="12" l="1"/>
  <c r="I23" i="1" s="1"/>
  <c r="BM324" i="12"/>
  <c r="I326" i="1" s="1"/>
  <c r="BM297" i="12"/>
  <c r="I299" i="1" s="1"/>
  <c r="BM336" i="12"/>
  <c r="I338" i="1" s="1"/>
  <c r="BM106" i="12"/>
  <c r="I108" i="1" s="1"/>
  <c r="BM199" i="12"/>
  <c r="I201" i="1" s="1"/>
  <c r="K368" i="3"/>
  <c r="M12" i="3"/>
  <c r="M13" i="3" s="1"/>
  <c r="BM321" i="12"/>
  <c r="I323" i="1" s="1"/>
  <c r="BM342" i="12"/>
  <c r="I344" i="1" s="1"/>
  <c r="BM217" i="12"/>
  <c r="I219" i="1" s="1"/>
  <c r="H357" i="12"/>
  <c r="F14" i="7" s="1"/>
  <c r="T357" i="12"/>
  <c r="F39" i="7" s="1"/>
  <c r="BM219" i="12"/>
  <c r="I221" i="1" s="1"/>
  <c r="BM250" i="12"/>
  <c r="I252" i="1" s="1"/>
  <c r="BM252" i="12"/>
  <c r="I254" i="1" s="1"/>
  <c r="BM247" i="12"/>
  <c r="I249" i="1" s="1"/>
  <c r="BM246" i="12"/>
  <c r="I248" i="1" s="1"/>
  <c r="BM318" i="12"/>
  <c r="I320" i="1" s="1"/>
  <c r="BM300" i="12"/>
  <c r="I302" i="1" s="1"/>
  <c r="BM253" i="12"/>
  <c r="I255" i="1" s="1"/>
  <c r="BM344" i="12"/>
  <c r="I346" i="1" s="1"/>
  <c r="BM276" i="12"/>
  <c r="I278" i="1" s="1"/>
  <c r="BM251" i="12"/>
  <c r="I253" i="1" s="1"/>
  <c r="BM255" i="12"/>
  <c r="I257" i="1" s="1"/>
  <c r="BM248" i="12"/>
  <c r="I250" i="1" s="1"/>
  <c r="BM249" i="12"/>
  <c r="I251" i="1" s="1"/>
  <c r="BM331" i="12"/>
  <c r="I333" i="1" s="1"/>
  <c r="BM326" i="12"/>
  <c r="I328" i="1" s="1"/>
  <c r="BM280" i="12"/>
  <c r="I282" i="1" s="1"/>
  <c r="BM295" i="12"/>
  <c r="I297" i="1" s="1"/>
  <c r="BM322" i="12"/>
  <c r="I324" i="1" s="1"/>
  <c r="BM308" i="12"/>
  <c r="I310" i="1" s="1"/>
  <c r="BM292" i="12"/>
  <c r="I294" i="1" s="1"/>
  <c r="BM288" i="12"/>
  <c r="I290" i="1" s="1"/>
  <c r="BM341" i="12"/>
  <c r="I343" i="1" s="1"/>
  <c r="BM343" i="12"/>
  <c r="I345" i="1" s="1"/>
  <c r="BM325" i="12"/>
  <c r="I327" i="1" s="1"/>
  <c r="BM298" i="12"/>
  <c r="I300" i="1" s="1"/>
  <c r="BM333" i="12"/>
  <c r="I335" i="1" s="1"/>
  <c r="BM306" i="12"/>
  <c r="I308" i="1" s="1"/>
  <c r="BM311" i="12"/>
  <c r="I313" i="1" s="1"/>
  <c r="BM296" i="12"/>
  <c r="I298" i="1" s="1"/>
  <c r="BM319" i="12"/>
  <c r="I321" i="1" s="1"/>
  <c r="BM340" i="12"/>
  <c r="I342" i="1" s="1"/>
  <c r="BM332" i="12"/>
  <c r="I334" i="1" s="1"/>
  <c r="BM223" i="12"/>
  <c r="I225" i="1" s="1"/>
  <c r="BM212" i="12"/>
  <c r="I214" i="1" s="1"/>
  <c r="BM334" i="12"/>
  <c r="I336" i="1" s="1"/>
  <c r="BM335" i="12"/>
  <c r="I337" i="1" s="1"/>
  <c r="BM42" i="12"/>
  <c r="I44" i="1" s="1"/>
  <c r="BM302" i="12"/>
  <c r="I304" i="1" s="1"/>
  <c r="BM225" i="12"/>
  <c r="I227" i="1" s="1"/>
  <c r="BM118" i="12"/>
  <c r="I120" i="1" s="1"/>
  <c r="BM172" i="12"/>
  <c r="I174" i="1" s="1"/>
  <c r="BM32" i="12"/>
  <c r="I34" i="1" s="1"/>
  <c r="BM173" i="12"/>
  <c r="I175" i="1" s="1"/>
  <c r="BM215" i="12"/>
  <c r="I217" i="1" s="1"/>
  <c r="BM59" i="12"/>
  <c r="I61" i="1" s="1"/>
  <c r="BM157" i="12"/>
  <c r="I159" i="1" s="1"/>
  <c r="BM38" i="12"/>
  <c r="I40" i="1" s="1"/>
  <c r="BM40" i="12"/>
  <c r="I42" i="1" s="1"/>
  <c r="BM117" i="12"/>
  <c r="I119" i="1" s="1"/>
  <c r="BA357" i="12"/>
  <c r="BM182" i="12"/>
  <c r="I184" i="1" s="1"/>
  <c r="BM198" i="12"/>
  <c r="I200" i="1" s="1"/>
  <c r="BM201" i="12"/>
  <c r="I203" i="1" s="1"/>
  <c r="BM210" i="12"/>
  <c r="I212" i="1" s="1"/>
  <c r="BM187" i="12"/>
  <c r="I189" i="1" s="1"/>
  <c r="BM175" i="12"/>
  <c r="I177" i="1" s="1"/>
  <c r="BM176" i="12"/>
  <c r="I178" i="1" s="1"/>
  <c r="BM183" i="12"/>
  <c r="I185" i="1" s="1"/>
  <c r="BM122" i="12"/>
  <c r="I124" i="1" s="1"/>
  <c r="BM179" i="12"/>
  <c r="I181" i="1" s="1"/>
  <c r="BM119" i="12"/>
  <c r="I121" i="1" s="1"/>
  <c r="BM220" i="12"/>
  <c r="I222" i="1" s="1"/>
  <c r="G359" i="1"/>
  <c r="N9" i="1" s="1"/>
  <c r="K297" i="1" s="1"/>
  <c r="BM211" i="12"/>
  <c r="I213" i="1" s="1"/>
  <c r="L357" i="12"/>
  <c r="BM164" i="12"/>
  <c r="I166" i="1" s="1"/>
  <c r="BM197" i="12"/>
  <c r="I199" i="1" s="1"/>
  <c r="BM155" i="12"/>
  <c r="I157" i="1" s="1"/>
  <c r="BM41" i="12"/>
  <c r="I43" i="1" s="1"/>
  <c r="BM29" i="12"/>
  <c r="I31" i="1" s="1"/>
  <c r="BM156" i="12"/>
  <c r="I158" i="1" s="1"/>
  <c r="BM184" i="12"/>
  <c r="I186" i="1" s="1"/>
  <c r="BM224" i="12"/>
  <c r="I226" i="1" s="1"/>
  <c r="BM180" i="12"/>
  <c r="I182" i="1" s="1"/>
  <c r="BM158" i="12"/>
  <c r="I160" i="1" s="1"/>
  <c r="BM323" i="12"/>
  <c r="I325" i="1" s="1"/>
  <c r="BM209" i="12"/>
  <c r="I211" i="1" s="1"/>
  <c r="BM22" i="12"/>
  <c r="I24" i="1" s="1"/>
  <c r="BM195" i="12"/>
  <c r="I197" i="1" s="1"/>
  <c r="BO357" i="12"/>
  <c r="C10" i="7" s="1"/>
  <c r="BM20" i="12"/>
  <c r="I22" i="1" s="1"/>
  <c r="BM218" i="12"/>
  <c r="I220" i="1" s="1"/>
  <c r="Y357" i="12"/>
  <c r="C42" i="7" s="1"/>
  <c r="BM355" i="12"/>
  <c r="I357" i="1" s="1"/>
  <c r="BM216" i="12"/>
  <c r="I218" i="1" s="1"/>
  <c r="BM30" i="12"/>
  <c r="I32" i="1" s="1"/>
  <c r="BM39" i="12"/>
  <c r="I41" i="1" s="1"/>
  <c r="BM82" i="12"/>
  <c r="I84" i="1" s="1"/>
  <c r="BM303" i="12"/>
  <c r="I305" i="1" s="1"/>
  <c r="BM202" i="12"/>
  <c r="I204" i="1" s="1"/>
  <c r="BM132" i="12"/>
  <c r="I134" i="1" s="1"/>
  <c r="BM349" i="12"/>
  <c r="I351" i="1" s="1"/>
  <c r="BM208" i="12"/>
  <c r="I210" i="1" s="1"/>
  <c r="BM171" i="12"/>
  <c r="I173" i="1" s="1"/>
  <c r="BM356" i="12"/>
  <c r="I358" i="1" s="1"/>
  <c r="BM339" i="12"/>
  <c r="I341" i="1" s="1"/>
  <c r="BM31" i="12"/>
  <c r="I33" i="1" s="1"/>
  <c r="BM154" i="12"/>
  <c r="I156" i="1" s="1"/>
  <c r="K357" i="12"/>
  <c r="F357" i="12"/>
  <c r="AL357" i="12"/>
  <c r="C32" i="7" s="1"/>
  <c r="BE357" i="12"/>
  <c r="C23" i="7" s="1"/>
  <c r="AW357" i="12"/>
  <c r="C16" i="7" s="1"/>
  <c r="BC357" i="12"/>
  <c r="AE357" i="12"/>
  <c r="C45" i="7" s="1"/>
  <c r="BI357" i="12"/>
  <c r="BG357" i="12"/>
  <c r="I357" i="12"/>
  <c r="AF357" i="12"/>
  <c r="F45" i="7" s="1"/>
  <c r="P357" i="12"/>
  <c r="F37" i="7" s="1"/>
  <c r="BK357" i="12"/>
  <c r="J357" i="12"/>
  <c r="AY357" i="12"/>
  <c r="Q357" i="12"/>
  <c r="C38" i="7" s="1"/>
  <c r="AA357" i="12"/>
  <c r="C43" i="7" s="1"/>
  <c r="M357" i="12"/>
  <c r="C36" i="7" s="1"/>
  <c r="R357" i="12"/>
  <c r="F38" i="7" s="1"/>
  <c r="AB357" i="12"/>
  <c r="F43" i="7" s="1"/>
  <c r="N357" i="12"/>
  <c r="F36" i="7" s="1"/>
  <c r="U357" i="12"/>
  <c r="C40" i="7" s="1"/>
  <c r="V357" i="12"/>
  <c r="F40" i="7" s="1"/>
  <c r="W357" i="12"/>
  <c r="C41" i="7" s="1"/>
  <c r="AC357" i="12"/>
  <c r="C44" i="7" s="1"/>
  <c r="X357" i="12"/>
  <c r="F41" i="7" s="1"/>
  <c r="AD357" i="12"/>
  <c r="F44" i="7" s="1"/>
  <c r="S357" i="12"/>
  <c r="C39" i="7" s="1"/>
  <c r="Z357" i="12"/>
  <c r="F42" i="7" s="1"/>
  <c r="H41" i="7" s="1"/>
  <c r="O357" i="12"/>
  <c r="C37" i="7" s="1"/>
  <c r="H40" i="7" l="1"/>
  <c r="H39" i="7"/>
  <c r="K92" i="1"/>
  <c r="K292" i="1"/>
  <c r="K26" i="1"/>
  <c r="K136" i="1"/>
  <c r="K270" i="1"/>
  <c r="K271" i="1"/>
  <c r="K89" i="1"/>
  <c r="K69" i="1"/>
  <c r="K127" i="1"/>
  <c r="K251" i="1"/>
  <c r="K148" i="1"/>
  <c r="K201" i="1"/>
  <c r="K236" i="1"/>
  <c r="K334" i="1"/>
  <c r="K197" i="1"/>
  <c r="K149" i="1"/>
  <c r="K252" i="1"/>
  <c r="K20" i="1"/>
  <c r="K99" i="1"/>
  <c r="K234" i="1"/>
  <c r="K74" i="1"/>
  <c r="K217" i="1"/>
  <c r="K134" i="1"/>
  <c r="F13" i="7"/>
  <c r="K145" i="1"/>
  <c r="K71" i="1"/>
  <c r="K192" i="1"/>
  <c r="K222" i="1"/>
  <c r="K350" i="1"/>
  <c r="K43" i="1"/>
  <c r="K72" i="1"/>
  <c r="K339" i="1"/>
  <c r="K54" i="1"/>
  <c r="K110" i="1"/>
  <c r="K41" i="1"/>
  <c r="K290" i="1"/>
  <c r="K143" i="1"/>
  <c r="K261" i="1"/>
  <c r="K39" i="1"/>
  <c r="K174" i="1"/>
  <c r="K301" i="1"/>
  <c r="K223" i="1"/>
  <c r="K170" i="1"/>
  <c r="K336" i="1"/>
  <c r="K185" i="1"/>
  <c r="K183" i="1"/>
  <c r="K303" i="1"/>
  <c r="K84" i="1"/>
  <c r="K112" i="1"/>
  <c r="K340" i="1"/>
  <c r="K344" i="1"/>
  <c r="K132" i="1"/>
  <c r="K45" i="1"/>
  <c r="K324" i="1"/>
  <c r="K331" i="1"/>
  <c r="K161" i="1"/>
  <c r="K35" i="1"/>
  <c r="K327" i="1"/>
  <c r="K229" i="1"/>
  <c r="K282" i="1"/>
  <c r="K7" i="1"/>
  <c r="K284" i="1"/>
  <c r="K264" i="1"/>
  <c r="K259" i="1"/>
  <c r="K113" i="1"/>
  <c r="K354" i="1"/>
  <c r="K44" i="1"/>
  <c r="K10" i="1"/>
  <c r="K86" i="1"/>
  <c r="K202" i="1"/>
  <c r="K85" i="1"/>
  <c r="K310" i="1"/>
  <c r="K309" i="1"/>
  <c r="K338" i="1"/>
  <c r="K248" i="1"/>
  <c r="K75" i="1"/>
  <c r="K87" i="1"/>
  <c r="K213" i="1"/>
  <c r="K141" i="1"/>
  <c r="K63" i="1"/>
  <c r="K122" i="1"/>
  <c r="K206" i="1"/>
  <c r="K240" i="1"/>
  <c r="K295" i="1"/>
  <c r="K325" i="1"/>
  <c r="K312" i="1"/>
  <c r="K171" i="1"/>
  <c r="K191" i="1"/>
  <c r="K182" i="1"/>
  <c r="K47" i="1"/>
  <c r="K40" i="1"/>
  <c r="K106" i="1"/>
  <c r="K49" i="1"/>
  <c r="K277" i="1"/>
  <c r="K349" i="1"/>
  <c r="K267" i="1"/>
  <c r="K76" i="1"/>
  <c r="K246" i="1"/>
  <c r="K216" i="1"/>
  <c r="K100" i="1"/>
  <c r="K24" i="1"/>
  <c r="K253" i="1"/>
  <c r="K180" i="1"/>
  <c r="K260" i="1"/>
  <c r="K263" i="1"/>
  <c r="K323" i="1"/>
  <c r="K265" i="1"/>
  <c r="K60" i="1"/>
  <c r="K207" i="1"/>
  <c r="K144" i="1"/>
  <c r="K139" i="1"/>
  <c r="K116" i="1"/>
  <c r="K203" i="1"/>
  <c r="K167" i="1"/>
  <c r="K46" i="1"/>
  <c r="K274" i="1"/>
  <c r="K131" i="1"/>
  <c r="K150" i="1"/>
  <c r="K177" i="1"/>
  <c r="K18" i="1"/>
  <c r="K42" i="1"/>
  <c r="K61" i="1"/>
  <c r="K5" i="1"/>
  <c r="K341" i="1"/>
  <c r="K306" i="1"/>
  <c r="K208" i="1"/>
  <c r="K25" i="1"/>
  <c r="K214" i="1"/>
  <c r="K328" i="1"/>
  <c r="K32" i="1"/>
  <c r="K124" i="1"/>
  <c r="K105" i="1"/>
  <c r="K318" i="1"/>
  <c r="K304" i="1"/>
  <c r="K283" i="1"/>
  <c r="K64" i="1"/>
  <c r="K193" i="1"/>
  <c r="K107" i="1"/>
  <c r="K188" i="1"/>
  <c r="K224" i="1"/>
  <c r="K135" i="1"/>
  <c r="K65" i="1"/>
  <c r="K345" i="1"/>
  <c r="K321" i="1"/>
  <c r="K320" i="1"/>
  <c r="K296" i="1"/>
  <c r="K209" i="1"/>
  <c r="K220" i="1"/>
  <c r="K155" i="1"/>
  <c r="K59" i="1"/>
  <c r="K78" i="1"/>
  <c r="K355" i="1"/>
  <c r="K62" i="1"/>
  <c r="K272" i="1"/>
  <c r="K237" i="1"/>
  <c r="K187" i="1"/>
  <c r="K317" i="1"/>
  <c r="K230" i="1"/>
  <c r="K184" i="1"/>
  <c r="K30" i="1"/>
  <c r="K68" i="1"/>
  <c r="K14" i="1"/>
  <c r="K315" i="1"/>
  <c r="K228" i="1"/>
  <c r="K337" i="1"/>
  <c r="K114" i="1"/>
  <c r="K153" i="1"/>
  <c r="K158" i="1"/>
  <c r="K160" i="1"/>
  <c r="K119" i="1"/>
  <c r="K335" i="1"/>
  <c r="K233" i="1"/>
  <c r="K285" i="1"/>
  <c r="K314" i="1"/>
  <c r="K245" i="1"/>
  <c r="K146" i="1"/>
  <c r="K152" i="1"/>
  <c r="K190" i="1"/>
  <c r="K88" i="1"/>
  <c r="K164" i="1"/>
  <c r="K21" i="1"/>
  <c r="K305" i="1"/>
  <c r="K235" i="1"/>
  <c r="K357" i="1"/>
  <c r="K51" i="1"/>
  <c r="K83" i="1"/>
  <c r="K6" i="1"/>
  <c r="K178" i="1"/>
  <c r="K91" i="1"/>
  <c r="K215" i="1"/>
  <c r="K79" i="1"/>
  <c r="K308" i="1"/>
  <c r="K250" i="1"/>
  <c r="K333" i="1"/>
  <c r="K33" i="1"/>
  <c r="K11" i="1"/>
  <c r="K16" i="1"/>
  <c r="K90" i="1"/>
  <c r="K254" i="1"/>
  <c r="K226" i="1"/>
  <c r="K154" i="1"/>
  <c r="K52" i="1"/>
  <c r="K268" i="1"/>
  <c r="K332" i="1"/>
  <c r="BM357" i="12"/>
  <c r="K56" i="1"/>
  <c r="K313" i="1"/>
  <c r="K269" i="1"/>
  <c r="K329" i="1"/>
  <c r="K299" i="1"/>
  <c r="K255" i="1"/>
  <c r="K286" i="1"/>
  <c r="K257" i="1"/>
  <c r="K322" i="1"/>
  <c r="K163" i="1"/>
  <c r="K34" i="1"/>
  <c r="K111" i="1"/>
  <c r="K258" i="1"/>
  <c r="K249" i="1"/>
  <c r="K168" i="1"/>
  <c r="K130" i="1"/>
  <c r="K189" i="1"/>
  <c r="K353" i="1"/>
  <c r="K117" i="1"/>
  <c r="K17" i="1"/>
  <c r="K53" i="1"/>
  <c r="K9" i="1"/>
  <c r="K73" i="1"/>
  <c r="K300" i="1"/>
  <c r="K351" i="1"/>
  <c r="K238" i="1"/>
  <c r="K275" i="1"/>
  <c r="K302" i="1"/>
  <c r="K291" i="1"/>
  <c r="K97" i="1"/>
  <c r="K19" i="1"/>
  <c r="K140" i="1"/>
  <c r="K22" i="1"/>
  <c r="K198" i="1"/>
  <c r="K120" i="1"/>
  <c r="K157" i="1"/>
  <c r="K200" i="1"/>
  <c r="K242" i="1"/>
  <c r="K103" i="1"/>
  <c r="K23" i="1"/>
  <c r="K212" i="1"/>
  <c r="K37" i="1"/>
  <c r="K13" i="1"/>
  <c r="K8" i="1"/>
  <c r="K343" i="1"/>
  <c r="K319" i="1"/>
  <c r="K244" i="1"/>
  <c r="K129" i="1"/>
  <c r="K173" i="1"/>
  <c r="N21" i="1"/>
  <c r="K279" i="1"/>
  <c r="K115" i="1"/>
  <c r="K211" i="1"/>
  <c r="K101" i="1"/>
  <c r="K142" i="1"/>
  <c r="K204" i="1"/>
  <c r="K128" i="1"/>
  <c r="K77" i="1"/>
  <c r="K137" i="1"/>
  <c r="K66" i="1"/>
  <c r="K38" i="1"/>
  <c r="K121" i="1"/>
  <c r="K352" i="1"/>
  <c r="K218" i="1"/>
  <c r="K109" i="1"/>
  <c r="K55" i="1"/>
  <c r="K280" i="1"/>
  <c r="K241" i="1"/>
  <c r="K232" i="1"/>
  <c r="K194" i="1"/>
  <c r="K181" i="1"/>
  <c r="K239" i="1"/>
  <c r="K219" i="1"/>
  <c r="K287" i="1"/>
  <c r="K347" i="1"/>
  <c r="K316" i="1"/>
  <c r="C28" i="7"/>
  <c r="K247" i="1"/>
  <c r="K311" i="1"/>
  <c r="K36" i="1"/>
  <c r="K31" i="1"/>
  <c r="K48" i="1"/>
  <c r="K156" i="1"/>
  <c r="K98" i="1"/>
  <c r="K58" i="1"/>
  <c r="K123" i="1"/>
  <c r="K108" i="1"/>
  <c r="K186" i="1"/>
  <c r="K118" i="1"/>
  <c r="N11" i="1"/>
  <c r="O11" i="1" s="1"/>
  <c r="K298" i="1"/>
  <c r="K276" i="1"/>
  <c r="K278" i="1"/>
  <c r="K294" i="1"/>
  <c r="K326" i="1"/>
  <c r="K256" i="1"/>
  <c r="K346" i="1"/>
  <c r="K281" i="1"/>
  <c r="K80" i="1"/>
  <c r="K133" i="1"/>
  <c r="K70" i="1"/>
  <c r="K166" i="1"/>
  <c r="K102" i="1"/>
  <c r="K165" i="1"/>
  <c r="K96" i="1"/>
  <c r="K356" i="1"/>
  <c r="K12" i="1"/>
  <c r="K104" i="1"/>
  <c r="K29" i="1"/>
  <c r="K196" i="1"/>
  <c r="K176" i="1"/>
  <c r="K57" i="1"/>
  <c r="K231" i="1"/>
  <c r="K262" i="1"/>
  <c r="K289" i="1"/>
  <c r="K348" i="1"/>
  <c r="K307" i="1"/>
  <c r="K67" i="1"/>
  <c r="K172" i="1"/>
  <c r="K50" i="1"/>
  <c r="K175" i="1"/>
  <c r="K243" i="1"/>
  <c r="K147" i="1"/>
  <c r="K95" i="1"/>
  <c r="K221" i="1"/>
  <c r="K27" i="1"/>
  <c r="K81" i="1"/>
  <c r="K126" i="1"/>
  <c r="K125" i="1"/>
  <c r="K151" i="1"/>
  <c r="K28" i="1"/>
  <c r="K93" i="1"/>
  <c r="K266" i="1"/>
  <c r="K288" i="1"/>
  <c r="K342" i="1"/>
  <c r="K273" i="1"/>
  <c r="K293" i="1"/>
  <c r="K330" i="1"/>
  <c r="K162" i="1"/>
  <c r="K179" i="1"/>
  <c r="K195" i="1"/>
  <c r="K227" i="1"/>
  <c r="K210" i="1"/>
  <c r="K94" i="1"/>
  <c r="K15" i="1"/>
  <c r="K169" i="1"/>
  <c r="K205" i="1"/>
  <c r="K159" i="1"/>
  <c r="K225" i="1"/>
  <c r="K138" i="1"/>
  <c r="K199" i="1"/>
  <c r="K358" i="1"/>
  <c r="K82" i="1"/>
  <c r="C14" i="7"/>
  <c r="C24" i="7"/>
  <c r="C21" i="7"/>
  <c r="C17" i="7"/>
  <c r="C27" i="7"/>
  <c r="G44" i="7"/>
  <c r="G40" i="7"/>
  <c r="F46" i="7"/>
  <c r="C13" i="7"/>
  <c r="G45" i="7"/>
  <c r="G37" i="7"/>
  <c r="G39" i="7"/>
  <c r="C20" i="7"/>
  <c r="C46" i="7"/>
  <c r="D40" i="7" s="1"/>
  <c r="E40" i="7" s="1"/>
  <c r="G41" i="7"/>
  <c r="G36" i="7"/>
  <c r="G43" i="7"/>
  <c r="G42" i="7"/>
  <c r="G38" i="7"/>
  <c r="N13" i="1" l="1"/>
  <c r="C29" i="2"/>
  <c r="C32" i="2" s="1"/>
  <c r="K359" i="1"/>
  <c r="G46" i="7"/>
  <c r="D35" i="7"/>
  <c r="E35" i="7" s="1"/>
  <c r="D38" i="7"/>
  <c r="E38" i="7" s="1"/>
  <c r="D37" i="7"/>
  <c r="E37" i="7" s="1"/>
  <c r="D43" i="7"/>
  <c r="E43" i="7" s="1"/>
  <c r="D36" i="7"/>
  <c r="E36" i="7" s="1"/>
  <c r="D39" i="7"/>
  <c r="E39" i="7" s="1"/>
  <c r="D42" i="7"/>
  <c r="E42" i="7" s="1"/>
  <c r="D41" i="7"/>
  <c r="E41" i="7" s="1"/>
  <c r="D44" i="7"/>
  <c r="E44" i="7" s="1"/>
  <c r="D45" i="7"/>
  <c r="E45"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<sst xmlns="http://schemas.openxmlformats.org/spreadsheetml/2006/main" count="2198" uniqueCount="809">
  <si>
    <t>TIER</t>
  </si>
  <si>
    <t>ODDS</t>
  </si>
  <si>
    <t>PRIZE</t>
  </si>
  <si>
    <t xml:space="preserve">% OF </t>
  </si>
  <si>
    <t>Prize Structure</t>
  </si>
  <si>
    <t>NUMBER</t>
  </si>
  <si>
    <t>WIN METHOD</t>
  </si>
  <si>
    <t>UP</t>
  </si>
  <si>
    <t>DOWN</t>
  </si>
  <si>
    <t>COST</t>
  </si>
  <si>
    <t>1 in X odds</t>
  </si>
  <si>
    <t>HUMAN NAME</t>
  </si>
  <si>
    <t>COUNT</t>
  </si>
  <si>
    <t>PRIZE FUND</t>
  </si>
  <si>
    <t>Kentucky Lottery</t>
  </si>
  <si>
    <t>Non-Win</t>
  </si>
  <si>
    <t>Premium Gold(SSJ)</t>
  </si>
  <si>
    <t>Odds Down (ticket quantity if pool based):</t>
  </si>
  <si>
    <t>Base:</t>
  </si>
  <si>
    <t>Revenus (if pool based):</t>
  </si>
  <si>
    <t>Prize Fund (if pool based):</t>
  </si>
  <si>
    <t>RTP Setting</t>
  </si>
  <si>
    <t>Actual RTP:</t>
  </si>
  <si>
    <t>JP RTP:</t>
  </si>
  <si>
    <t>Total RTP:</t>
  </si>
  <si>
    <t>Winning Tiers Freq</t>
  </si>
  <si>
    <t>Hit Rate:</t>
  </si>
  <si>
    <t>Approx Count:</t>
  </si>
  <si>
    <t>Winning Tiers</t>
  </si>
  <si>
    <t>Min per tier</t>
  </si>
  <si>
    <t>Difference:</t>
  </si>
  <si>
    <t>PPS Source(if any)</t>
  </si>
  <si>
    <t>The information contained in this document and all attached documents is strictly confidential and contains proprietary information.
It is provided solely for use by the designated recipients and is subject to the terms of any confidentiality obligations or non-disclosure agreements between the parties.
All other use is strictly prohibited.</t>
  </si>
  <si>
    <t>Base JP Odds Down</t>
  </si>
  <si>
    <t>json setup form</t>
  </si>
  <si>
    <t>JP Stake</t>
  </si>
  <si>
    <t>JP</t>
  </si>
  <si>
    <t>small</t>
  </si>
  <si>
    <t>large</t>
  </si>
  <si>
    <t>Revenue</t>
  </si>
  <si>
    <t>initialAmount</t>
  </si>
  <si>
    <t>Contribution</t>
  </si>
  <si>
    <t>increment</t>
  </si>
  <si>
    <t>Contribution %</t>
  </si>
  <si>
    <t>Estimated plays per day</t>
  </si>
  <si>
    <t>BASE</t>
  </si>
  <si>
    <t>Seed</t>
  </si>
  <si>
    <t>Odds Up</t>
  </si>
  <si>
    <t>Target trigger</t>
  </si>
  <si>
    <t>Count</t>
  </si>
  <si>
    <t>Odds Down</t>
  </si>
  <si>
    <t>1 in x Odds</t>
  </si>
  <si>
    <t>Days to Trigger</t>
  </si>
  <si>
    <t>Prize Cost</t>
  </si>
  <si>
    <t>Trigger minus Seed</t>
  </si>
  <si>
    <t>JP Contrib Cost</t>
  </si>
  <si>
    <t>Split (use on JP split above)</t>
  </si>
  <si>
    <t>Total JP Prize cost</t>
  </si>
  <si>
    <t>Number</t>
  </si>
  <si>
    <t>Name</t>
  </si>
  <si>
    <t>Bonus</t>
  </si>
  <si>
    <t>Prize</t>
  </si>
  <si>
    <t>Base Odds Up</t>
  </si>
  <si>
    <t>Base 1 in x Odds</t>
  </si>
  <si>
    <t>Contribution split</t>
  </si>
  <si>
    <t>A</t>
  </si>
  <si>
    <t>RTP</t>
  </si>
  <si>
    <t>Jackpot Contributions (excluding seed)</t>
  </si>
  <si>
    <t>Average Prize</t>
  </si>
  <si>
    <t>Overal Game Summary</t>
  </si>
  <si>
    <t>JP Event Prob</t>
  </si>
  <si>
    <t>Total win Odds (JP+Main)</t>
  </si>
  <si>
    <t>Total non-win Prob Up</t>
  </si>
  <si>
    <t>Total non-win Pob Down</t>
  </si>
  <si>
    <t>Main Game RTP</t>
  </si>
  <si>
    <t>Seed contribution RTP</t>
  </si>
  <si>
    <t>JP Contribution RTP</t>
  </si>
  <si>
    <t>TOTAL</t>
  </si>
  <si>
    <t>DIVISION</t>
  </si>
  <si>
    <t>METHOD</t>
  </si>
  <si>
    <t>PRIZE FACTOR</t>
  </si>
  <si>
    <t>PRICE POINT</t>
  </si>
  <si>
    <t>EXPECTED WINNERS PER CARD</t>
  </si>
  <si>
    <t>ODDS PER GRID</t>
  </si>
  <si>
    <t>TOTAL PRIZE</t>
  </si>
  <si>
    <t xml:space="preserve">PRIZE % </t>
  </si>
  <si>
    <t>PAYOUT %</t>
  </si>
  <si>
    <t>Non Winning tickets</t>
  </si>
  <si>
    <t>BonusA</t>
  </si>
  <si>
    <t>Ticket Price</t>
  </si>
  <si>
    <t xml:space="preserve">1 in X Odds </t>
  </si>
  <si>
    <t>JP1</t>
  </si>
  <si>
    <t>$150,000.00*</t>
  </si>
  <si>
    <t>JP2</t>
  </si>
  <si>
    <t>$2,500.00*</t>
  </si>
  <si>
    <t>NON WINNING</t>
  </si>
  <si>
    <t>Size of Grid</t>
  </si>
  <si>
    <t>Top Prize</t>
  </si>
  <si>
    <t>Version</t>
  </si>
  <si>
    <t>v1</t>
  </si>
  <si>
    <t>Payout</t>
  </si>
  <si>
    <t>Breakeven</t>
  </si>
  <si>
    <t>Odds</t>
  </si>
  <si>
    <t>Low Tier Winning Range</t>
  </si>
  <si>
    <t>x0 - x5</t>
  </si>
  <si>
    <t>Percentage in Low Tier</t>
  </si>
  <si>
    <t>Medium Tier Winning Range</t>
  </si>
  <si>
    <t>x5 - x20</t>
  </si>
  <si>
    <t>Percentage in Medium Tier</t>
  </si>
  <si>
    <t>High Tier Winning Range</t>
  </si>
  <si>
    <t>x20 - top</t>
  </si>
  <si>
    <t>Percentage in High Tier</t>
  </si>
  <si>
    <t>Total Pool Amount</t>
  </si>
  <si>
    <t>Progressive Jackpot Info</t>
  </si>
  <si>
    <t>JP2 Wins/Grid</t>
  </si>
  <si>
    <t>JP1 Wins/Grid</t>
  </si>
  <si>
    <t>JP2 Wins/Price Ratio</t>
  </si>
  <si>
    <t>JP1 Wins/Price Ratio</t>
  </si>
  <si>
    <t>Odds of JP1 Win</t>
  </si>
  <si>
    <t>Odds of JP2 Win</t>
  </si>
  <si>
    <t>Revenue/JP win</t>
  </si>
  <si>
    <t>Jackpot Reset %</t>
  </si>
  <si>
    <t>JP1 Reset Value</t>
  </si>
  <si>
    <t>JP2 Reset Value</t>
  </si>
  <si>
    <t>Jackpot Increment %</t>
  </si>
  <si>
    <t>Jackpot Increment Amount</t>
  </si>
  <si>
    <t>Tier</t>
  </si>
  <si>
    <t>Win Methods</t>
  </si>
  <si>
    <t>Symbol</t>
  </si>
  <si>
    <t>Quantity of Symbols</t>
  </si>
  <si>
    <t>0,1,2,3</t>
  </si>
  <si>
    <t>B</t>
  </si>
  <si>
    <t>C</t>
  </si>
  <si>
    <t>D</t>
  </si>
  <si>
    <t>E</t>
  </si>
  <si>
    <t>F</t>
  </si>
  <si>
    <t>G</t>
  </si>
  <si>
    <t>A/B/C/D</t>
  </si>
  <si>
    <t>-</t>
  </si>
  <si>
    <t>Free Plays</t>
  </si>
  <si>
    <t>Super Spin Jackpot</t>
  </si>
  <si>
    <t>Base(ticket price):</t>
  </si>
  <si>
    <t>Revenue (if pool based):</t>
  </si>
  <si>
    <t>Base Prize fund (if pool based):</t>
  </si>
  <si>
    <t>Max prize</t>
  </si>
  <si>
    <t>Base RTP setting(JP exclude)</t>
  </si>
  <si>
    <t>Hit Rate</t>
  </si>
  <si>
    <t>Std. Dev.</t>
  </si>
  <si>
    <t>Freeplay Overall Freq</t>
  </si>
  <si>
    <t>20x Multi Freq</t>
  </si>
  <si>
    <t>Freeplay Overall Avg. Multi</t>
  </si>
  <si>
    <t>20x Multi Avg. Payout</t>
  </si>
  <si>
    <t>Freeplay Overall Value Share</t>
  </si>
  <si>
    <t>Multi Value Share</t>
  </si>
  <si>
    <t>freeplayA Freq</t>
  </si>
  <si>
    <t>freeplayA Avg. Multi</t>
  </si>
  <si>
    <t>freeplayA Value Share</t>
  </si>
  <si>
    <t>Bonus Overall Freq</t>
  </si>
  <si>
    <t>SSJ</t>
  </si>
  <si>
    <t>Bonus Overall Multi</t>
  </si>
  <si>
    <t>Bonus Overall Value Share</t>
  </si>
  <si>
    <t>bonusA Freq</t>
  </si>
  <si>
    <t>bonusA Multi</t>
  </si>
  <si>
    <t>bonusA Value Share</t>
  </si>
  <si>
    <t>Feature(Bonus + Freeplay) Freq</t>
  </si>
  <si>
    <t>Feature Overall Multi</t>
  </si>
  <si>
    <t>Feature Overall Value Share</t>
  </si>
  <si>
    <t>Combo Win Freq</t>
  </si>
  <si>
    <t>Combo Win Multi</t>
  </si>
  <si>
    <t>Category</t>
  </si>
  <si>
    <t>Freq</t>
  </si>
  <si>
    <t>Prob.</t>
  </si>
  <si>
    <t>Odds Dist.</t>
  </si>
  <si>
    <t>Value Dist.</t>
  </si>
  <si>
    <t>Hit Dist.</t>
  </si>
  <si>
    <t>NIL</t>
  </si>
  <si>
    <t>&gt;0 to &lt;1</t>
  </si>
  <si>
    <t>&gt;1 to 2</t>
  </si>
  <si>
    <t>&gt;2 to 5</t>
  </si>
  <si>
    <t>&gt;5 to 10</t>
  </si>
  <si>
    <t>&gt;10 to 20</t>
  </si>
  <si>
    <t>&gt;20 to 30</t>
  </si>
  <si>
    <t>&gt;30 to 50</t>
  </si>
  <si>
    <t>&gt;50 to 100</t>
  </si>
  <si>
    <t>&gt;100</t>
  </si>
  <si>
    <t>Total Prize</t>
  </si>
  <si>
    <t>Multiplier</t>
  </si>
  <si>
    <t>Method 1</t>
  </si>
  <si>
    <t>Prize 1</t>
  </si>
  <si>
    <t>Method 2</t>
  </si>
  <si>
    <t>Prize 2</t>
  </si>
  <si>
    <t>Method 3</t>
  </si>
  <si>
    <t>Prize 3</t>
  </si>
  <si>
    <t>Method 4</t>
  </si>
  <si>
    <t>Prize 4</t>
  </si>
  <si>
    <t>Method 5</t>
  </si>
  <si>
    <t>Prize 5</t>
  </si>
  <si>
    <t>Method 6</t>
  </si>
  <si>
    <t>Prize 6</t>
  </si>
  <si>
    <t>Method 7</t>
  </si>
  <si>
    <t>Prize 7</t>
  </si>
  <si>
    <t>Method 8</t>
  </si>
  <si>
    <t>Prize 8</t>
  </si>
  <si>
    <t>Method 9</t>
  </si>
  <si>
    <t>Prize 9</t>
  </si>
  <si>
    <t>Method 10</t>
  </si>
  <si>
    <t>Prize 10</t>
  </si>
  <si>
    <t>Method</t>
  </si>
  <si>
    <t>main-0</t>
  </si>
  <si>
    <t>main-1</t>
  </si>
  <si>
    <t>main-2</t>
  </si>
  <si>
    <t>main-3</t>
  </si>
  <si>
    <t>main-4</t>
  </si>
  <si>
    <t>main-5</t>
  </si>
  <si>
    <t>main-6</t>
  </si>
  <si>
    <t>main-7</t>
  </si>
  <si>
    <t>main-8</t>
  </si>
  <si>
    <t>main-9</t>
  </si>
  <si>
    <t>main-10</t>
  </si>
  <si>
    <t>main-11</t>
  </si>
  <si>
    <t>main-12</t>
  </si>
  <si>
    <t>main-13</t>
  </si>
  <si>
    <t>main-14</t>
  </si>
  <si>
    <t>main-15</t>
  </si>
  <si>
    <t>main-16</t>
  </si>
  <si>
    <t>main-17</t>
  </si>
  <si>
    <t>main-18</t>
  </si>
  <si>
    <t>main-19</t>
  </si>
  <si>
    <t>main-20</t>
  </si>
  <si>
    <t>main-21</t>
  </si>
  <si>
    <t>main-22</t>
  </si>
  <si>
    <t>main-23</t>
  </si>
  <si>
    <t>main-24</t>
  </si>
  <si>
    <t>main-25</t>
  </si>
  <si>
    <t>main-26</t>
  </si>
  <si>
    <t>main-27</t>
  </si>
  <si>
    <t>main-28</t>
  </si>
  <si>
    <t>main-29</t>
  </si>
  <si>
    <t>main-30</t>
  </si>
  <si>
    <t>main-31</t>
  </si>
  <si>
    <t>main-32</t>
  </si>
  <si>
    <t>main-33</t>
  </si>
  <si>
    <t>main-34</t>
  </si>
  <si>
    <t>main-35</t>
  </si>
  <si>
    <t>main-36</t>
  </si>
  <si>
    <t>main-37</t>
  </si>
  <si>
    <t>main-38</t>
  </si>
  <si>
    <t>main-39</t>
  </si>
  <si>
    <t>main-40</t>
  </si>
  <si>
    <t>main-41</t>
  </si>
  <si>
    <t>main-42</t>
  </si>
  <si>
    <t>bonusA-0</t>
  </si>
  <si>
    <t>bonusA-1</t>
  </si>
  <si>
    <t>bonusA-2</t>
  </si>
  <si>
    <t>bonusA-3</t>
  </si>
  <si>
    <t>bonusA-4</t>
  </si>
  <si>
    <t>bonusA-5</t>
  </si>
  <si>
    <t>bonusA-6</t>
  </si>
  <si>
    <t>Multipliers</t>
  </si>
  <si>
    <t>only</t>
  </si>
  <si>
    <t>applied</t>
  </si>
  <si>
    <t>for</t>
  </si>
  <si>
    <t>the Main</t>
  </si>
  <si>
    <t>Tiers</t>
  </si>
  <si>
    <t>freeplayA-0</t>
  </si>
  <si>
    <t>freeplayA-1</t>
  </si>
  <si>
    <t>freeplayA-2</t>
  </si>
  <si>
    <t>freeplayA-3</t>
  </si>
  <si>
    <t>freeplayA-4</t>
  </si>
  <si>
    <t>freeplayA-5</t>
  </si>
  <si>
    <t>freeplayA-6</t>
  </si>
  <si>
    <t>freeplayA-7</t>
  </si>
  <si>
    <t>freeplayA-8</t>
  </si>
  <si>
    <t>freeplayA-9</t>
  </si>
  <si>
    <t>freeplayA-10</t>
  </si>
  <si>
    <t>freeplayA-11</t>
  </si>
  <si>
    <t>freeplayA-12</t>
  </si>
  <si>
    <t>freeplayA-13</t>
  </si>
  <si>
    <t>freeplayA-14</t>
  </si>
  <si>
    <t>freeplayA-15</t>
  </si>
  <si>
    <t>freeplayA-16</t>
  </si>
  <si>
    <t>freeplayA-17</t>
  </si>
  <si>
    <t>freeplayA-18</t>
  </si>
  <si>
    <t>freeplayA-19</t>
  </si>
  <si>
    <t>freeplayA-20</t>
  </si>
  <si>
    <t>freeplayA-21</t>
  </si>
  <si>
    <t>freeplayA-22</t>
  </si>
  <si>
    <t>freeplayA-23</t>
  </si>
  <si>
    <t>freeplayA-24</t>
  </si>
  <si>
    <t>freeplayA-25</t>
  </si>
  <si>
    <t>freeplayA-26</t>
  </si>
  <si>
    <t>freeplayA-27</t>
  </si>
  <si>
    <t>freeplayA-28</t>
  </si>
  <si>
    <t>freeplayA-29</t>
  </si>
  <si>
    <t>freeplayA-30</t>
  </si>
  <si>
    <t>Win methods</t>
  </si>
  <si>
    <t>Methods</t>
  </si>
  <si>
    <t>Quantity</t>
  </si>
  <si>
    <t>Note</t>
  </si>
  <si>
    <t>Trigger Bonus</t>
  </si>
  <si>
    <t>ROUNDS</t>
  </si>
  <si>
    <t>ROUND 1</t>
  </si>
  <si>
    <t>ROUND 2</t>
  </si>
  <si>
    <t>ROUND 3</t>
  </si>
  <si>
    <t>ROUND 4</t>
  </si>
  <si>
    <t>ROUND 5</t>
  </si>
  <si>
    <t>ROUND 6</t>
  </si>
  <si>
    <t>ROUND 7</t>
  </si>
  <si>
    <t>ROUND 8</t>
  </si>
  <si>
    <t>ROUND 9</t>
  </si>
  <si>
    <t>ROUND 10</t>
  </si>
  <si>
    <t>ROUND 11</t>
  </si>
  <si>
    <t>ROUND 12</t>
  </si>
  <si>
    <t>ROUND 13</t>
  </si>
  <si>
    <t>ROUND 14</t>
  </si>
  <si>
    <t>ROUND 15</t>
  </si>
  <si>
    <t>ROUND 16</t>
  </si>
  <si>
    <t>ROUND 17</t>
  </si>
  <si>
    <t>ROUND 18</t>
  </si>
  <si>
    <t>ROUND 19</t>
  </si>
  <si>
    <t>ROUND 20</t>
  </si>
  <si>
    <t>ROUND 21</t>
  </si>
  <si>
    <t>ROUND 22</t>
  </si>
  <si>
    <t>ROUND 23</t>
  </si>
  <si>
    <t>ROUND 24</t>
  </si>
  <si>
    <t>ROUND 25</t>
  </si>
  <si>
    <t>ROUND 26</t>
  </si>
  <si>
    <t>ROUND 27</t>
  </si>
  <si>
    <t>ROUND 28</t>
  </si>
  <si>
    <t>ROUND 29</t>
  </si>
  <si>
    <t>ROUND 30</t>
  </si>
  <si>
    <t>Paytable</t>
  </si>
  <si>
    <t>Symbols</t>
  </si>
  <si>
    <t>Code</t>
  </si>
  <si>
    <t xml:space="preserve">TIER </t>
  </si>
  <si>
    <t>ODDS UP</t>
  </si>
  <si>
    <t>Value</t>
  </si>
  <si>
    <t>20x Multi Value</t>
  </si>
  <si>
    <t>&gt;0 to &lt;5 value</t>
  </si>
  <si>
    <t>&gt;=5 to &lt;10 value</t>
  </si>
  <si>
    <t>&gt;=10 to &lt;25 value</t>
  </si>
  <si>
    <t>&gt;= 25 value</t>
  </si>
  <si>
    <t>&gt;0 to &lt;1 value</t>
  </si>
  <si>
    <t>1 value</t>
  </si>
  <si>
    <t>&gt;1 to 2 value</t>
  </si>
  <si>
    <t>&gt;2 to 5 value</t>
  </si>
  <si>
    <t>&gt;5 to 10 value</t>
  </si>
  <si>
    <t>&gt;10 to 20 value</t>
  </si>
  <si>
    <t>&gt;20 to 30 value</t>
  </si>
  <si>
    <t>&gt;30 to 50 value</t>
  </si>
  <si>
    <t>&gt;50 to 100 value</t>
  </si>
  <si>
    <t>&gt;100 value</t>
  </si>
  <si>
    <t>Freeplay Freq</t>
  </si>
  <si>
    <t>Bonus Freq</t>
  </si>
  <si>
    <t>Instant Freq</t>
  </si>
  <si>
    <t>is Combo Win</t>
  </si>
  <si>
    <t>Combo Win Value</t>
  </si>
  <si>
    <t>is Wild</t>
  </si>
  <si>
    <t>Wild Freq</t>
  </si>
  <si>
    <t>Wild Value</t>
  </si>
  <si>
    <t>is Normal Wild</t>
  </si>
  <si>
    <t>Normal Wild Freq</t>
  </si>
  <si>
    <t>Normal Wild Value</t>
  </si>
  <si>
    <t>is Multi Wild</t>
  </si>
  <si>
    <t>Multi Wild Freq</t>
  </si>
  <si>
    <t>Multi Wild Value</t>
  </si>
  <si>
    <t>freeplayA Count</t>
  </si>
  <si>
    <t>freeplayA Value</t>
  </si>
  <si>
    <t>FreeplayB Count</t>
  </si>
  <si>
    <t>FreeplayB Value</t>
  </si>
  <si>
    <t>FreeplayC Count</t>
  </si>
  <si>
    <t>FreeplayC Value</t>
  </si>
  <si>
    <t>FreeplayD Count</t>
  </si>
  <si>
    <t>FreeplayD Value</t>
  </si>
  <si>
    <t>bonusA Count</t>
  </si>
  <si>
    <t>bonusA Value</t>
  </si>
  <si>
    <t>BonusB Count</t>
  </si>
  <si>
    <t>BonusB Value</t>
  </si>
  <si>
    <t>BonusC Count</t>
  </si>
  <si>
    <t>BonuC Value</t>
  </si>
  <si>
    <t>is Instant Freq</t>
  </si>
  <si>
    <t>Instant Value</t>
  </si>
  <si>
    <t>Freeplay rounds</t>
  </si>
  <si>
    <t>Human read part1</t>
  </si>
  <si>
    <t>Human read part2</t>
  </si>
  <si>
    <t>MSE</t>
  </si>
  <si>
    <t>Freeplay Multi</t>
  </si>
  <si>
    <t>Bonus Multi</t>
  </si>
  <si>
    <t>Instant Multi</t>
  </si>
  <si>
    <t xml:space="preserve">sum of Free game rounds </t>
  </si>
  <si>
    <t>Humad Read part 1</t>
  </si>
  <si>
    <t>Actual Prize</t>
  </si>
  <si>
    <t>Less than Stake</t>
  </si>
  <si>
    <t>Stake Back</t>
  </si>
  <si>
    <t>Standard Win</t>
  </si>
  <si>
    <t>Big Win</t>
  </si>
  <si>
    <t>Huge Win</t>
  </si>
  <si>
    <t>Humad Read part 2</t>
  </si>
  <si>
    <t>Free Plays A</t>
  </si>
  <si>
    <t>Free Plays B</t>
  </si>
  <si>
    <t>Free Plays C</t>
  </si>
  <si>
    <t>Free Plays D</t>
  </si>
  <si>
    <t>Bonus Game A</t>
  </si>
  <si>
    <t>Bonus Game B</t>
  </si>
  <si>
    <t>Bonus Game C</t>
  </si>
  <si>
    <t>Instant Prize A</t>
  </si>
  <si>
    <t>Single Win</t>
  </si>
  <si>
    <t>Combo Win</t>
  </si>
  <si>
    <t>No.</t>
  </si>
  <si>
    <t>PPS Check item</t>
  </si>
  <si>
    <t>Check</t>
  </si>
  <si>
    <t>*Tier order</t>
  </si>
  <si>
    <t>Title</t>
  </si>
  <si>
    <t>x</t>
  </si>
  <si>
    <t>single win</t>
  </si>
  <si>
    <t>Client</t>
  </si>
  <si>
    <t>combo win</t>
  </si>
  <si>
    <t>Max Prize</t>
  </si>
  <si>
    <t>instant</t>
  </si>
  <si>
    <t>PPS source</t>
  </si>
  <si>
    <t>base+instant</t>
  </si>
  <si>
    <t>Sum of winning tiers</t>
  </si>
  <si>
    <t>freeplay</t>
  </si>
  <si>
    <t>Sum of non-win tiers</t>
  </si>
  <si>
    <t>base+freeplay</t>
  </si>
  <si>
    <t>File name</t>
  </si>
  <si>
    <t>bonus</t>
  </si>
  <si>
    <t>Date</t>
  </si>
  <si>
    <t>base+bonus</t>
  </si>
  <si>
    <t>Scenario counts</t>
  </si>
  <si>
    <t>Actual RTP</t>
  </si>
  <si>
    <t>Actual Hit rate</t>
  </si>
  <si>
    <t>Num of tiers are matched</t>
  </si>
  <si>
    <t>category are in *order(new game)</t>
  </si>
  <si>
    <t>base tiers are exist in mixed tiers(new game)</t>
  </si>
  <si>
    <t>Add 1 in odds col exist</t>
  </si>
  <si>
    <t>Paytable check</t>
  </si>
  <si>
    <t>Prize double digits</t>
  </si>
  <si>
    <t>ticket price related</t>
  </si>
  <si>
    <t>JP check</t>
  </si>
  <si>
    <t>check</t>
  </si>
  <si>
    <t>Seed number</t>
  </si>
  <si>
    <t>Trigger target number</t>
  </si>
  <si>
    <t>Odds up number</t>
  </si>
  <si>
    <t>Odds down</t>
  </si>
  <si>
    <t>Seed RTP</t>
  </si>
  <si>
    <t>Contribution RTP</t>
  </si>
  <si>
    <t>Total RTP</t>
  </si>
  <si>
    <t>Different price point</t>
  </si>
  <si>
    <t xml:space="preserve">lowerest price 5 decimal </t>
  </si>
  <si>
    <t>Delivery</t>
  </si>
  <si>
    <t>update the delivery(check Boundary)</t>
  </si>
  <si>
    <t>lock the delivery tab</t>
  </si>
  <si>
    <t>ticket info</t>
  </si>
  <si>
    <t>Check non win tiers match</t>
  </si>
  <si>
    <t>main-0||||||||| x 1</t>
  </si>
  <si>
    <t>main-1||||||||| x 1</t>
  </si>
  <si>
    <t>main-2||||||||| x 1</t>
  </si>
  <si>
    <t>main-3||||||||| x 1</t>
  </si>
  <si>
    <t>main-4||||||||| x 1</t>
  </si>
  <si>
    <t>main-5||||||||| x 1</t>
  </si>
  <si>
    <t>main-6||||||||| x 1</t>
  </si>
  <si>
    <t>main-7||||||||| x 1</t>
  </si>
  <si>
    <t>main-8||||||||| x 1</t>
  </si>
  <si>
    <t>main-9||||||||| x 1</t>
  </si>
  <si>
    <t>main-10||||||||| x 1</t>
  </si>
  <si>
    <t>main-11||||||||| x 1</t>
  </si>
  <si>
    <t>main-12||||||||| x 1</t>
  </si>
  <si>
    <t>main-13||||||||| x 1</t>
  </si>
  <si>
    <t>main-14||||||||| x 1</t>
  </si>
  <si>
    <t>main-15||||||||| x 1</t>
  </si>
  <si>
    <t>main-16||||||||| x 1</t>
  </si>
  <si>
    <t>main-17||||||||| x 1</t>
  </si>
  <si>
    <t>main-18||||||||| x 1</t>
  </si>
  <si>
    <t>main-19||||||||| x 1</t>
  </si>
  <si>
    <t>main-20||||||||| x 1</t>
  </si>
  <si>
    <t>main-21||||||||| x 1</t>
  </si>
  <si>
    <t>main-22||||||||| x 1</t>
  </si>
  <si>
    <t>main-23||||||||| x 1</t>
  </si>
  <si>
    <t>main-24||||||||| x 1</t>
  </si>
  <si>
    <t>main-25||||||||| x 1</t>
  </si>
  <si>
    <t>main-26||||||||| x 1</t>
  </si>
  <si>
    <t>main-27||||||||| x 1</t>
  </si>
  <si>
    <t>main-28||||||||| x 1</t>
  </si>
  <si>
    <t>main-29||||||||| x 1</t>
  </si>
  <si>
    <t>main-30||||||||| x 1</t>
  </si>
  <si>
    <t>main-31||||||||| x 1</t>
  </si>
  <si>
    <t>main-32||||||||| x 1</t>
  </si>
  <si>
    <t>main-33||||||||| x 1</t>
  </si>
  <si>
    <t>main-34||||||||| x 1</t>
  </si>
  <si>
    <t>main-35||||||||| x 1</t>
  </si>
  <si>
    <t>main-36||||||||| x 1</t>
  </si>
  <si>
    <t>main-37||||||||| x 1</t>
  </si>
  <si>
    <t>main-38||||||||| x 1</t>
  </si>
  <si>
    <t>main-39||||||||| x 1</t>
  </si>
  <si>
    <t>main-40||||||||| x 1</t>
  </si>
  <si>
    <t>main-41||||||||| x 1</t>
  </si>
  <si>
    <t>main-42||||||||| x 1</t>
  </si>
  <si>
    <t>main-0|main-0|||||||| x 1</t>
  </si>
  <si>
    <t>main-0|main-1|||||||| x 1</t>
  </si>
  <si>
    <t>main-1|main-1|||||||| x 1</t>
  </si>
  <si>
    <t>main-0|main-2|||||||| x 1</t>
  </si>
  <si>
    <t>main-11|main-2|||||||| x 1</t>
  </si>
  <si>
    <t>main-3|main-2|||||||| x 1</t>
  </si>
  <si>
    <t>main-3|main-21|||||||| x 1</t>
  </si>
  <si>
    <t>main-2|main-5|||||||| x 1</t>
  </si>
  <si>
    <t>main-4|main-22|||||||| x 1</t>
  </si>
  <si>
    <t>main-4|main-4|||||||| x 1</t>
  </si>
  <si>
    <t>main-3|main-15|||||||| x 1</t>
  </si>
  <si>
    <t>main-5|main-15|||||||| x 1</t>
  </si>
  <si>
    <t>main-5|main-25|||||||| x 1</t>
  </si>
  <si>
    <t>main-5|main-26|||||||| x 1</t>
  </si>
  <si>
    <t>main-14|main-2|||||||| x 1</t>
  </si>
  <si>
    <t>main-3|main-20|main-4||||||| x 1</t>
  </si>
  <si>
    <t>main-4|main-5|main-13||||||| x 1</t>
  </si>
  <si>
    <t>main-4|main-2|main-24||||||| x 1</t>
  </si>
  <si>
    <t>main-15|main-13|main-13||||||| x 1</t>
  </si>
  <si>
    <t>main-30|main-14|main-15||||||| x 1</t>
  </si>
  <si>
    <t>main-2|main-7|main-4||||||| x 1</t>
  </si>
  <si>
    <t>main-11|main-25|main-31||||||| x 1</t>
  </si>
  <si>
    <t>main-5|main-25|main-12||||||| x 1</t>
  </si>
  <si>
    <t>main-3|main-33|main-16||||||| x 1</t>
  </si>
  <si>
    <t>main-30|main-6|main-7||||||| x 1</t>
  </si>
  <si>
    <t>main-21|main-25|main-7||||||| x 1</t>
  </si>
  <si>
    <t>main-5|main-25|main-25||||||| x 1</t>
  </si>
  <si>
    <t>main-5|main-8|main-14||||||| x 1</t>
  </si>
  <si>
    <t>main-15|main-9|main-3||||||| x 1</t>
  </si>
  <si>
    <t>main-31|main-7|main-2||||||| x 1</t>
  </si>
  <si>
    <t>main-8|main-12|main-5||||||| x 1</t>
  </si>
  <si>
    <t>main-30|main-25|main-1||||||| x 1</t>
  </si>
  <si>
    <t>main-4|main-0|main-1|main-1|||||| x 1</t>
  </si>
  <si>
    <t>main-3|main-4|main-2|main-21|||||| x 1</t>
  </si>
  <si>
    <t>main-5|main-3|main-5|main-15|||||| x 1</t>
  </si>
  <si>
    <t>main-5|main-13|main-25|main-22|||||| x 1</t>
  </si>
  <si>
    <t>main-22|main-13|main-34|main-25|||||| x 1</t>
  </si>
  <si>
    <t>main-3|main-12|main-3|main-2|||||| x 1</t>
  </si>
  <si>
    <t>main-8|main-5|main-12|main-3|||||| x 1</t>
  </si>
  <si>
    <t>main-9|main-4|main-11|main-15|||||| x 1</t>
  </si>
  <si>
    <t>main-4|main-25|main-8|main-2|||||| x 1</t>
  </si>
  <si>
    <t>main-4|main-2|main-5|main-3|main-3||||| x 1</t>
  </si>
  <si>
    <t>main-15|main-5|main-2|main-12|main-4||||| x 1</t>
  </si>
  <si>
    <t>main-3|main-31|main-4|main-16|main-3||||| x 1</t>
  </si>
  <si>
    <t>main-3|main-4|main-2|main-8|main-5||||| x 1</t>
  </si>
  <si>
    <t>main-6|main-32|main-31|main-8|main-4||||| x 1</t>
  </si>
  <si>
    <t>main-4|main-4|main-4|main-3|main-34||||| x 1</t>
  </si>
  <si>
    <t>main-5|main-21|main-4|main-4|main-1||||| x 1</t>
  </si>
  <si>
    <t>main-7|main-5|main-5|main-14|main-3||||| x 1</t>
  </si>
  <si>
    <t>main-5|main-3|main-9|main-32|main-7||||| x 1</t>
  </si>
  <si>
    <t>main-2|main-23|main-3|main-7|main-14||||| x 1</t>
  </si>
  <si>
    <t>main-0||||||||| x 20</t>
  </si>
  <si>
    <t>main-1||||||||| x 20</t>
  </si>
  <si>
    <t>main-2||||||||| x 20</t>
  </si>
  <si>
    <t>main-3||||||||| x 20</t>
  </si>
  <si>
    <t>main-4||||||||| x 20</t>
  </si>
  <si>
    <t>main-5||||||||| x 20</t>
  </si>
  <si>
    <t>main-10||||||||| x 20</t>
  </si>
  <si>
    <t>main-11||||||||| x 20</t>
  </si>
  <si>
    <t>main-12||||||||| x 20</t>
  </si>
  <si>
    <t>main-13||||||||| x 20</t>
  </si>
  <si>
    <t>main-20||||||||| x 20</t>
  </si>
  <si>
    <t>main-21||||||||| x 20</t>
  </si>
  <si>
    <t>main-30||||||||| x 20</t>
  </si>
  <si>
    <t>main-0|main-0|||||||| x 20</t>
  </si>
  <si>
    <t>main-0|main-1|||||||| x 20</t>
  </si>
  <si>
    <t>main-1|main-1|||||||| x 20</t>
  </si>
  <si>
    <t>main-0|main-2|||||||| x 20</t>
  </si>
  <si>
    <t>main-0|main-3|||||||| x 20</t>
  </si>
  <si>
    <t>main-0|main-4|||||||| x 20</t>
  </si>
  <si>
    <t>main-2|main-20|||||||| x 20</t>
  </si>
  <si>
    <t>main-4|main-4|||||||| x 20</t>
  </si>
  <si>
    <t>main-4|main-11|||||||| x 20</t>
  </si>
  <si>
    <t>main-10|main-30|||||||| x 20</t>
  </si>
  <si>
    <t>main-0|main-0|main-2||||||| x 20</t>
  </si>
  <si>
    <t>main-1|main-1|main-2||||||| x 20</t>
  </si>
  <si>
    <t>main-2|main-3|main-10||||||| x 20</t>
  </si>
  <si>
    <t>main-0|main-0|main-12||||||| x 20</t>
  </si>
  <si>
    <t>main-0|main-0|main-1||||||| x 20</t>
  </si>
  <si>
    <t>main-0|main-1|main-2|main-2|||||| x 20</t>
  </si>
  <si>
    <t>main-0|main-1|main-1|main-4|||||| x 20</t>
  </si>
  <si>
    <t>main-0|main-0|main-1|main-10|||||| x 20</t>
  </si>
  <si>
    <t>main-0|main-0|main-0|main-1|||||| x 20</t>
  </si>
  <si>
    <t>main-0|main-0|main-1|main-1|||||| x 20</t>
  </si>
  <si>
    <t>main-0|main-0|main-1|main-30|||||| x 20</t>
  </si>
  <si>
    <t>main-0|main-0|main-1|main-1|main-2||||| x 20</t>
  </si>
  <si>
    <t>main-0|main-0|main-1|main-10|main-20||||| x 20</t>
  </si>
  <si>
    <t>main-10|bonusA-0|||||||| x 1</t>
  </si>
  <si>
    <t>main-0|bonusA-1|||||||| x 1</t>
  </si>
  <si>
    <t>main-11|bonusA-1|||||||| x 1</t>
  </si>
  <si>
    <t>main-30|bonusA-1|||||||| x 1</t>
  </si>
  <si>
    <t>main-1|bonusA-2|||||||| x 1</t>
  </si>
  <si>
    <t>main-4|bonusA-2|||||||| x 1</t>
  </si>
  <si>
    <t>main-12|bonusA-2|||||||| x 1</t>
  </si>
  <si>
    <t>main-8|bonusA-2|||||||| x 1</t>
  </si>
  <si>
    <t>main-22|bonusA-2|||||||| x 1</t>
  </si>
  <si>
    <t>main-31|bonusA-2|||||||| x 1</t>
  </si>
  <si>
    <t>main-2|bonusA-3|||||||| x 1</t>
  </si>
  <si>
    <t>main-21|bonusA-3|||||||| x 1</t>
  </si>
  <si>
    <t>main-7|bonusA-3|||||||| x 1</t>
  </si>
  <si>
    <t>main-9|bonusA-1|||||||| x 1</t>
  </si>
  <si>
    <t>main-23|bonusA-1|||||||| x 1</t>
  </si>
  <si>
    <t>main-13|bonusA-3|||||||| x 1</t>
  </si>
  <si>
    <t>main-24|bonusA-0|||||||| x 1</t>
  </si>
  <si>
    <t>main-20|bonusA-4|||||||| x 1</t>
  </si>
  <si>
    <t>main-6|bonusA-4|||||||| x 1</t>
  </si>
  <si>
    <t>main-32|bonusA-3|||||||| x 1</t>
  </si>
  <si>
    <t>main-14|bonusA-4|||||||| x 1</t>
  </si>
  <si>
    <t>main-3|bonusA-5|||||||| x 1</t>
  </si>
  <si>
    <t>main-5|bonusA-5|||||||| x 1</t>
  </si>
  <si>
    <t>main-16|bonusA-5|||||||| x 1</t>
  </si>
  <si>
    <t>main-25|bonusA-5|||||||| x 1</t>
  </si>
  <si>
    <t>main-15|bonusA-6|||||||| x 1</t>
  </si>
  <si>
    <t>main-0|main-2|bonusA-1||||||| x 1</t>
  </si>
  <si>
    <t>main-11|main-2|bonusA-3||||||| x 1</t>
  </si>
  <si>
    <t>main-3|main-2|bonusA-0||||||| x 1</t>
  </si>
  <si>
    <t>main-3|main-21|bonusA-3||||||| x 1</t>
  </si>
  <si>
    <t>main-2|main-5|bonusA-4||||||| x 1</t>
  </si>
  <si>
    <t>main-4|main-22|bonusA-5||||||| x 1</t>
  </si>
  <si>
    <t>main-4|main-4|bonusA-2||||||| x 1</t>
  </si>
  <si>
    <t>main-4|main-5|main-13|bonusA-1|||||| x 1</t>
  </si>
  <si>
    <t>main-4|main-2|main-24|bonusA-2|||||| x 1</t>
  </si>
  <si>
    <t>main-15|main-13|main-13|bonusA-2|||||| x 1</t>
  </si>
  <si>
    <t>main-30|main-14|main-15|bonusA-2|||||| x 1</t>
  </si>
  <si>
    <t>main-2|main-7|main-4|bonusA-2|||||| x 1</t>
  </si>
  <si>
    <t>main-11|main-25|main-31|bonusA-3|||||| x 1</t>
  </si>
  <si>
    <t>main-5|main-25|main-12|bonusA-5|||||| x 1</t>
  </si>
  <si>
    <t>main-3|main-33|main-16|bonusA-3|||||| x 1</t>
  </si>
  <si>
    <t>main-30|main-6|main-7|bonusA-0|||||| x 1</t>
  </si>
  <si>
    <t>main-21|main-25|main-7|bonusA-3|||||| x 1</t>
  </si>
  <si>
    <t>main-5|main-25|main-25|bonusA-4|||||| x 1</t>
  </si>
  <si>
    <t>main-5|main-3|main-5|main-15|bonusA-1||||| x 1</t>
  </si>
  <si>
    <t>main-5|main-13|main-25|main-22|bonusA-1||||| x 1</t>
  </si>
  <si>
    <t>main-22|main-13|main-34|main-25|bonusA-3||||| x 1</t>
  </si>
  <si>
    <t>main-3|main-12|main-3|main-2|bonusA-5||||| x 1</t>
  </si>
  <si>
    <t>main-8|main-5|main-12|main-3|bonusA-4||||| x 1</t>
  </si>
  <si>
    <t>main-9|main-4|main-11|main-15|bonusA-4||||| x 1</t>
  </si>
  <si>
    <t>main-4|main-25|main-8|main-2|bonusA-3||||| x 1</t>
  </si>
  <si>
    <t>main-3|main-31|main-4|main-16|main-3|bonusA-5|||| x 1</t>
  </si>
  <si>
    <t>main-3|main-4|main-2|main-8|main-5|bonusA-3|||| x 1</t>
  </si>
  <si>
    <t>main-6|main-32|main-31|main-8|main-4|bonusA-0|||| x 1</t>
  </si>
  <si>
    <t>main-4|main-4|main-4|main-3|main-34|bonusA-4|||| x 1</t>
  </si>
  <si>
    <t>main-5|main-21|main-4|main-4|main-1|bonusA-4|||| x 1</t>
  </si>
  <si>
    <t>main-7|main-5|main-5|main-14|main-3|bonusA-3|||| x 1</t>
  </si>
  <si>
    <t>main-0|bonusA-3|||||||| x 20</t>
  </si>
  <si>
    <t>main-1|bonusA-3|||||||| x 20</t>
  </si>
  <si>
    <t>main-2|bonusA-3|||||||| x 20</t>
  </si>
  <si>
    <t>main-3|bonusA-1|||||||| x 20</t>
  </si>
  <si>
    <t>main-4|bonusA-1|||||||| x 20</t>
  </si>
  <si>
    <t>main-5|bonusA-3|||||||| x 20</t>
  </si>
  <si>
    <t>main-10|bonusA-0|||||||| x 20</t>
  </si>
  <si>
    <t>main-11|bonusA-4|||||||| x 20</t>
  </si>
  <si>
    <t>main-12|bonusA-1|||||||| x 20</t>
  </si>
  <si>
    <t>main-13|bonusA-3|||||||| x 20</t>
  </si>
  <si>
    <t>main-20|bonusA-0|||||||| x 20</t>
  </si>
  <si>
    <t>main-21|bonusA-4|||||||| x 20</t>
  </si>
  <si>
    <t>main-30|bonusA-2|||||||| x 20</t>
  </si>
  <si>
    <t>main-0|main-0|bonusA-1||||||| x 20</t>
  </si>
  <si>
    <t>main-0|main-1|bonusA-3||||||| x 20</t>
  </si>
  <si>
    <t>main-1|main-1|bonusA-0||||||| x 20</t>
  </si>
  <si>
    <t>main-0|main-2|bonusA-4||||||| x 20</t>
  </si>
  <si>
    <t>main-0|main-3|bonusA-1||||||| x 20</t>
  </si>
  <si>
    <t>main-0|main-4|bonusA-3||||||| x 20</t>
  </si>
  <si>
    <t>main-2|main-20|bonusA-0||||||| x 20</t>
  </si>
  <si>
    <t>main-4|main-4|bonusA-4||||||| x 20</t>
  </si>
  <si>
    <t>main-4|main-11|bonusA-2||||||| x 20</t>
  </si>
  <si>
    <t>main-10|main-30|bonusA-3||||||| x 20</t>
  </si>
  <si>
    <t>main-0|main-0|main-2|bonusA-3|||||| x 20</t>
  </si>
  <si>
    <t>main-1|main-1|main-2|bonusA-0|||||| x 20</t>
  </si>
  <si>
    <t>main-2|main-3|main-10|bonusA-4|||||| x 20</t>
  </si>
  <si>
    <t>main-0|main-0|main-12|bonusA-2|||||| x 20</t>
  </si>
  <si>
    <t>main-0|main-0|main-1|bonusA-5|||||| x 20</t>
  </si>
  <si>
    <t>main-0|main-1|main-2|main-2|bonusA-4||||| x 20</t>
  </si>
  <si>
    <t>main-0|main-1|main-1|main-4|bonusA-1||||| x 20</t>
  </si>
  <si>
    <t>main-0|main-0|main-1|main-10|bonusA-3||||| x 20</t>
  </si>
  <si>
    <t>main-0|main-0|main-0|main-1|bonusA-0||||| x 20</t>
  </si>
  <si>
    <t>main-0|main-0|main-1|main-1|bonusA-4||||| x 20</t>
  </si>
  <si>
    <t>main-0|main-0|main-1|main-30|bonusA-2||||| x 20</t>
  </si>
  <si>
    <t>main-0|main-0|main-1|main-1|main-2|bonusA-4|||| x 20</t>
  </si>
  <si>
    <t>main-0|main-0|main-1|main-10|main-20|bonusA-2|||| x 20</t>
  </si>
  <si>
    <t>freeplayA-0||||||||| x 1</t>
  </si>
  <si>
    <t>freeplayA-1||||||||| x 1</t>
  </si>
  <si>
    <t>freeplayA-2||||||||| x 1</t>
  </si>
  <si>
    <t>freeplayA-3||||||||| x 1</t>
  </si>
  <si>
    <t>freeplayA-4||||||||| x 1</t>
  </si>
  <si>
    <t>freeplayA-5||||||||| x 1</t>
  </si>
  <si>
    <t>freeplayA-6||||||||| x 1</t>
  </si>
  <si>
    <t>freeplayA-7||||||||| x 1</t>
  </si>
  <si>
    <t>freeplayA-8||||||||| x 1</t>
  </si>
  <si>
    <t>freeplayA-9||||||||| x 1</t>
  </si>
  <si>
    <t>freeplayA-10||||||||| x 1</t>
  </si>
  <si>
    <t>freeplayA-11||||||||| x 1</t>
  </si>
  <si>
    <t>freeplayA-12||||||||| x 1</t>
  </si>
  <si>
    <t>freeplayA-13||||||||| x 1</t>
  </si>
  <si>
    <t>freeplayA-14||||||||| x 1</t>
  </si>
  <si>
    <t>freeplayA-15||||||||| x 1</t>
  </si>
  <si>
    <t>freeplayA-16||||||||| x 1</t>
  </si>
  <si>
    <t>freeplayA-17||||||||| x 1</t>
  </si>
  <si>
    <t>freeplayA-18||||||||| x 1</t>
  </si>
  <si>
    <t>freeplayA-19||||||||| x 1</t>
  </si>
  <si>
    <t>freeplayA-20||||||||| x 1</t>
  </si>
  <si>
    <t>freeplayA-21||||||||| x 1</t>
  </si>
  <si>
    <t>freeplayA-22||||||||| x 1</t>
  </si>
  <si>
    <t>freeplayA-23||||||||| x 1</t>
  </si>
  <si>
    <t>freeplayA-24||||||||| x 1</t>
  </si>
  <si>
    <t>freeplayA-25||||||||| x 1</t>
  </si>
  <si>
    <t>freeplayA-26||||||||| x 1</t>
  </si>
  <si>
    <t>freeplayA-27||||||||| x 1</t>
  </si>
  <si>
    <t>freeplayA-28||||||||| x 1</t>
  </si>
  <si>
    <t>freeplayA-29||||||||| x 1</t>
  </si>
  <si>
    <t>freeplayA-30||||||||| x 1</t>
  </si>
  <si>
    <t>main-10|freeplayA-2|||||||| x 1</t>
  </si>
  <si>
    <t>main-0|freeplayA-3|||||||| x 1</t>
  </si>
  <si>
    <t>main-11|freeplayA-4|||||||| x 1</t>
  </si>
  <si>
    <t>main-30|freeplayA-5|||||||| x 1</t>
  </si>
  <si>
    <t>main-1|freeplayA-6|||||||| x 1</t>
  </si>
  <si>
    <t>main-4|freeplayA-7|||||||| x 1</t>
  </si>
  <si>
    <t>main-12|freeplayA-8|||||||| x 1</t>
  </si>
  <si>
    <t>main-8|freeplayA-9|||||||| x 1</t>
  </si>
  <si>
    <t>main-22|freeplayA-10|||||||| x 1</t>
  </si>
  <si>
    <t>main-31|freeplayA-11|||||||| x 1</t>
  </si>
  <si>
    <t>main-2|freeplayA-12|||||||| x 1</t>
  </si>
  <si>
    <t>main-21|freeplayA-13|||||||| x 1</t>
  </si>
  <si>
    <t>main-7|freeplayA-0|||||||| x 1</t>
  </si>
  <si>
    <t>main-9|freeplayA-1|||||||| x 1</t>
  </si>
  <si>
    <t>main-23|freeplayA-2|||||||| x 1</t>
  </si>
  <si>
    <t>main-13|freeplayA-3|||||||| x 1</t>
  </si>
  <si>
    <t>main-24|freeplayA-4|||||||| x 1</t>
  </si>
  <si>
    <t>main-20|freeplayA-5|||||||| x 1</t>
  </si>
  <si>
    <t>main-6|freeplayA-6|||||||| x 1</t>
  </si>
  <si>
    <t>main-32|freeplayA-7|||||||| x 1</t>
  </si>
  <si>
    <t>main-14|freeplayA-8|||||||| x 1</t>
  </si>
  <si>
    <t>main-3|freeplayA-1|||||||| x 1</t>
  </si>
  <si>
    <t>main-5|freeplayA-2|||||||| x 1</t>
  </si>
  <si>
    <t>main-16|freeplayA-3|||||||| x 1</t>
  </si>
  <si>
    <t>main-25|freeplayA-4|||||||| x 1</t>
  </si>
  <si>
    <t>main-15|freeplayA-0|||||||| x 1</t>
  </si>
  <si>
    <t>main-0|main-2|freeplayA-4||||||| x 1</t>
  </si>
  <si>
    <t>main-11|main-2|freeplayA-5||||||| x 1</t>
  </si>
  <si>
    <t>main-3|main-2|freeplayA-6||||||| x 1</t>
  </si>
  <si>
    <t>main-3|main-21|freeplayA-7||||||| x 1</t>
  </si>
  <si>
    <t>main-2|main-5|freeplayA-8||||||| x 1</t>
  </si>
  <si>
    <t>main-4|main-22|freeplayA-9||||||| x 1</t>
  </si>
  <si>
    <t>main-4|main-4|freeplayA-10||||||| x 1</t>
  </si>
  <si>
    <t>main-4|main-5|main-13|freeplayA-1|||||| x 1</t>
  </si>
  <si>
    <t>main-4|main-2|main-24|freeplayA-2|||||| x 1</t>
  </si>
  <si>
    <t>main-15|main-13|main-13|freeplayA-3|||||| x 1</t>
  </si>
  <si>
    <t>main-30|main-14|main-15|freeplayA-4|||||| x 1</t>
  </si>
  <si>
    <t>main-2|main-7|main-4|freeplayA-5|||||| x 1</t>
  </si>
  <si>
    <t>main-11|main-25|main-31|freeplayA-6|||||| x 1</t>
  </si>
  <si>
    <t>main-5|main-25|main-12|freeplayA-7|||||| x 1</t>
  </si>
  <si>
    <t>main-3|main-33|main-16|freeplayA-8|||||| x 1</t>
  </si>
  <si>
    <t>main-30|main-6|main-7|freeplayA-9|||||| x 1</t>
  </si>
  <si>
    <t>main-21|main-25|main-7|freeplayA-10|||||| x 1</t>
  </si>
  <si>
    <t>main-5|main-25|main-25|freeplayA-4|||||| x 1</t>
  </si>
  <si>
    <t>main-5|main-3|main-5|main-15|freeplayA-4||||| x 1</t>
  </si>
  <si>
    <t>main-5|main-13|main-25|main-22|freeplayA-5||||| x 1</t>
  </si>
  <si>
    <t>main-22|main-13|main-34|main-25|freeplayA-6||||| x 1</t>
  </si>
  <si>
    <t>main-3|main-12|main-3|main-2|freeplayA-7||||| x 1</t>
  </si>
  <si>
    <t>main-8|main-5|main-12|main-3|freeplayA-8||||| x 1</t>
  </si>
  <si>
    <t>main-9|main-4|main-11|main-15|freeplayA-9||||| x 1</t>
  </si>
  <si>
    <t>main-4|main-25|main-8|main-2|freeplayA-10||||| x 1</t>
  </si>
  <si>
    <t>main-3|main-31|main-4|main-16|main-3|freeplayA-3|||| x 1</t>
  </si>
  <si>
    <t>main-3|main-4|main-2|main-8|main-5|freeplayA-4|||| x 1</t>
  </si>
  <si>
    <t>main-6|main-32|main-31|main-8|main-4|freeplayA-5|||| x 1</t>
  </si>
  <si>
    <t>main-4|main-4|main-4|main-3|main-34|freeplayA-6|||| x 1</t>
  </si>
  <si>
    <t>main-5|main-21|main-4|main-4|main-1|freeplayA-7|||| x 1</t>
  </si>
  <si>
    <t>main-7|main-5|main-5|main-14|main-3|freeplayA-8|||| x 1</t>
  </si>
  <si>
    <t>main-0|freeplayA-3|||||||| x 20</t>
  </si>
  <si>
    <t>main-1|freeplayA-4|||||||| x 20</t>
  </si>
  <si>
    <t>main-2|freeplayA-5|||||||| x 20</t>
  </si>
  <si>
    <t>main-3|freeplayA-6|||||||| x 20</t>
  </si>
  <si>
    <t>main-4|freeplayA-7|||||||| x 20</t>
  </si>
  <si>
    <t>main-5|freeplayA-8|||||||| x 20</t>
  </si>
  <si>
    <t>main-10|freeplayA-4|||||||| x 20</t>
  </si>
  <si>
    <t>main-11|freeplayA-5|||||||| x 20</t>
  </si>
  <si>
    <t>main-12|freeplayA-6|||||||| x 20</t>
  </si>
  <si>
    <t>main-13|freeplayA-7|||||||| x 20</t>
  </si>
  <si>
    <t>main-20|freeplayA-8|||||||| x 20</t>
  </si>
  <si>
    <t>main-21|freeplayA-9|||||||| x 20</t>
  </si>
  <si>
    <t>main-30|freeplayA-10|||||||| x 20</t>
  </si>
  <si>
    <t>main-0|main-0|freeplayA-3||||||| x 20</t>
  </si>
  <si>
    <t>main-0|main-1|freeplayA-4||||||| x 20</t>
  </si>
  <si>
    <t>main-1|main-1|freeplayA-5||||||| x 20</t>
  </si>
  <si>
    <t>main-0|main-2|freeplayA-6||||||| x 20</t>
  </si>
  <si>
    <t>main-0|main-3|freeplayA-7||||||| x 20</t>
  </si>
  <si>
    <t>main-0|main-4|freeplayA-8||||||| x 20</t>
  </si>
  <si>
    <t>main-2|main-20|freeplayA-9||||||| x 20</t>
  </si>
  <si>
    <t>main-4|main-4|freeplayA-10||||||| x 20</t>
  </si>
  <si>
    <t>main-4|main-11|freeplayA-4||||||| x 20</t>
  </si>
  <si>
    <t>main-10|main-30|freeplayA-5||||||| x 20</t>
  </si>
  <si>
    <t>main-0|main-0|main-2|freeplayA-5|||||| x 20</t>
  </si>
  <si>
    <t>main-1|main-1|main-2|freeplayA-6|||||| x 20</t>
  </si>
  <si>
    <t>main-2|main-3|main-10|freeplayA-7|||||| x 20</t>
  </si>
  <si>
    <t>main-0|main-0|main-12|freeplayA-8|||||| x 20</t>
  </si>
  <si>
    <t>main-0|main-0|main-1|freeplayA-9|||||| x 20</t>
  </si>
  <si>
    <t>main-0|main-1|main-2|main-2|freeplayA-5||||| x 20</t>
  </si>
  <si>
    <t>main-0|main-1|main-1|main-4|freeplayA-6||||| x 20</t>
  </si>
  <si>
    <t>main-0|main-0|main-1|main-10|freeplayA-7||||| x 20</t>
  </si>
  <si>
    <t>main-0|main-0|main-0|main-1|freeplayA-8||||| x 20</t>
  </si>
  <si>
    <t>main-0|main-0|main-1|main-1|freeplayA-4||||| x 20</t>
  </si>
  <si>
    <t>main-0|main-0|main-1|main-30|freeplayA-5||||| x 20</t>
  </si>
  <si>
    <t>main-0|main-0|main-1|main-1|main-2|freeplayA-4|||| x 20</t>
  </si>
  <si>
    <t>main-0|main-0|main-1|main-10|main-20|freeplayA-5|||| x 20</t>
  </si>
  <si>
    <t>bonusA-0||||||||| x 1</t>
  </si>
  <si>
    <t>bonusA-1||||||||| x 1</t>
  </si>
  <si>
    <t>bonusA-2||||||||| x 1</t>
  </si>
  <si>
    <t>bonusA-3||||||||| x 1</t>
  </si>
  <si>
    <t>bonusA-4||||||||| x 1</t>
  </si>
  <si>
    <t>bonusA-5||||||||| x 1</t>
  </si>
  <si>
    <t>bonusA-6||||||||| x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</si>
</sst>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_);[Red]\(&quot;$&quot;#,##0\)"/>
    <numFmt numFmtId="44" formatCode="_(&quot;$&quot;* #,##0.00_);_(&quot;$&quot;* \(#,##0.00\);_(&quot;$&quot;* &quot;-&quot;??_);_(@_)"/>
    <numFmt numFmtId="164" formatCode="00"/>
    <numFmt numFmtId="165" formatCode="#,##0.0_ ;[Red]\-#,##0.0\ "/>
    <numFmt numFmtId="166" formatCode="#,##0_ ;[Red]\-#,##0\ "/>
    <numFmt numFmtId="167" formatCode="#,##0.0000000000_ ;[Red]\-#,##0.0000000000\ "/>
    <numFmt numFmtId="168" formatCode="#,##0.0000_ ;[Red]\-#,##0.0000\ "/>
    <numFmt numFmtId="169" formatCode="#,##0.00_ ;[Red]\-#,##0.00\ "/>
    <numFmt numFmtId="170" formatCode="0.0%"/>
    <numFmt numFmtId="171" formatCode="0.000"/>
    <numFmt numFmtId="172" formatCode="&quot;$&quot;#,##0.00"/>
    <numFmt numFmtId="173" formatCode="#,##0.000_);[Red]\(#,##0.000\)"/>
    <numFmt numFmtId="174" formatCode="0.000000"/>
    <numFmt numFmtId="175" formatCode="0.00000"/>
    <numFmt numFmtId="176" formatCode="0.0000000"/>
    <numFmt numFmtId="177" formatCode="0.0000%"/>
    <numFmt numFmtId="178" formatCode="#,##0.000000"/>
    <numFmt numFmtId="179" formatCode="#,##0.00000_ ;[Red]\-#,##0.00000\ "/>
    <numFmt numFmtId="180" formatCode="#,##0.0_);[Red]\(#,##0.0\)"/>
    <numFmt numFmtId="181" formatCode="_-[$$-409]* #,##0.00_ ;_-[$$-409]* \-#,##0.00\ ;_-[$$-409]* &quot;-&quot;??_ ;_-@_ "/>
    <numFmt numFmtId="182" formatCode="_(&quot;$&quot;* #,##0_);_(&quot;$&quot;* \(#,##0\);_(&quot;$&quot;* &quot;-&quot;??_);_(@_)"/>
    <numFmt numFmtId="183" formatCode="0.0"/>
    <numFmt numFmtId="184" formatCode="_(&quot;$&quot;* #,##0.0000_);_(&quot;$&quot;* \(#,##0.0000\);_(&quot;$&quot;* &quot;-&quot;??_);_(@_)"/>
    <numFmt numFmtId="185" formatCode="_(&quot;$&quot;* #,##0.000_);_(&quot;$&quot;* \(#,##0.000\);_(&quot;$&quot;* &quot;-&quot;??_);_(@_)"/>
  </numFmts>
  <fonts count="13">
    <font>
      <sz val="10"/>
      <name val="Geneva"/>
    </font>
    <font>
      <sz val="10"/>
      <name val="Geneva"/>
    </font>
    <font>
      <sz val="8"/>
      <name val="Helv"/>
    </font>
    <font>
      <b/>
      <sz val="8"/>
      <name val="Helv"/>
    </font>
    <font>
      <b/>
      <sz val="10"/>
      <name val="Arial Black"/>
      <family val="2"/>
    </font>
    <font>
      <sz val="10"/>
      <name val="Helv"/>
    </font>
    <font>
      <sz val="10"/>
      <name val="Arial"/>
      <family val="2"/>
    </font>
    <font>
      <sz val="8"/>
      <name val="Geneva"/>
    </font>
    <font>
      <b/>
      <sz val="10"/>
      <name val="Geneva"/>
    </font>
    <font>
      <b/>
      <sz val="12"/>
      <name val="Geneva"/>
    </font>
    <font>
      <sz val="10"/>
      <color rgb="FFFF0000"/>
      <name val="Geneva"/>
    </font>
    <font>
      <b/>
      <sz val="10"/>
      <name val="Helv"/>
    </font>
    <font>
      <b/>
      <sz val="11"/>
      <color theme="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3" tint="0.749992370372631"/>
        <bgColor indexed="64"/>
      </patternFill>
    </fill>
  </fills>
  <borders count="42">
    <border>
      <left/>
      <right/>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s>
  <cellStyleXfs count="5">
    <xf numFmtId="0" fontId="0" fillId="0" borderId="0"/>
    <xf numFmtId="40" fontId="1" fillId="0" borderId="0"/>
    <xf numFmtId="0" fontId="6" fillId="0" borderId="0"/>
    <xf numFmtId="9" fontId="1" fillId="0" borderId="0"/>
    <xf numFmtId="0" fontId="1" fillId="0" borderId="0"/>
  </cellStyleXfs>
  <cellXfs count="310">
    <xf numFmtId="0" fontId="0" fillId="0" borderId="0" xfId="0"/>
    <xf numFmtId="0" fontId="2" fillId="0" borderId="0" xfId="0" applyFont="1"/>
    <xf numFmtId="0" fontId="3" fillId="0" borderId="0" xfId="0" applyFont="1" applyAlignment="1">
      <alignment horizontal="left"/>
    </xf>
    <xf numFmtId="2" fontId="2" fillId="0" borderId="0" xfId="0" applyNumberFormat="1" applyFont="1"/>
    <xf numFmtId="0" fontId="3" fillId="0" borderId="9" xfId="0" applyFont="1" applyBorder="1"/>
    <xf numFmtId="0" fontId="2" fillId="0" borderId="9" xfId="0" applyFont="1" applyBorder="1"/>
    <xf numFmtId="0" fontId="2" fillId="2" borderId="9" xfId="0" applyFont="1" applyFill="1" applyBorder="1"/>
    <xf numFmtId="0" fontId="0" fillId="0" borderId="10" xfId="0" applyBorder="1"/>
    <xf numFmtId="0" fontId="0" fillId="0" borderId="4" xfId="0" applyBorder="1"/>
    <xf numFmtId="0" fontId="0" fillId="0" borderId="11" xfId="0" applyBorder="1"/>
    <xf numFmtId="0" fontId="0" fillId="0" borderId="0" xfId="0" applyAlignment="1">
      <alignment horizontal="center"/>
    </xf>
    <xf numFmtId="2" fontId="0" fillId="0" borderId="0" xfId="0" applyNumberFormat="1"/>
    <xf numFmtId="0" fontId="3" fillId="4" borderId="9" xfId="0" applyFont="1" applyFill="1" applyBorder="1"/>
    <xf numFmtId="0" fontId="0" fillId="0" borderId="1" xfId="0" applyBorder="1" applyAlignment="1">
      <alignment horizontal="center"/>
    </xf>
    <xf numFmtId="0" fontId="0" fillId="0" borderId="3" xfId="0" applyBorder="1" applyAlignment="1">
      <alignment horizontal="center"/>
    </xf>
    <xf numFmtId="0" fontId="5" fillId="0" borderId="0" xfId="0" applyFont="1"/>
    <xf numFmtId="164" fontId="3" fillId="0" borderId="0" xfId="0" applyNumberFormat="1" applyFont="1" applyAlignment="1">
      <alignment horizontal="center"/>
    </xf>
    <xf numFmtId="4" fontId="5" fillId="0" borderId="0" xfId="0" applyNumberFormat="1" applyFont="1" applyAlignment="1">
      <alignment horizontal="center"/>
    </xf>
    <xf numFmtId="165" fontId="2" fillId="0" borderId="0" xfId="1" applyNumberFormat="1" applyFont="1"/>
    <xf numFmtId="2" fontId="2" fillId="0" borderId="0" xfId="0" applyNumberFormat="1" applyFont="1" applyAlignment="1">
      <alignment horizontal="right"/>
    </xf>
    <xf numFmtId="4" fontId="2" fillId="0" borderId="0" xfId="0" applyNumberFormat="1" applyFont="1" applyAlignment="1">
      <alignment horizontal="center"/>
    </xf>
    <xf numFmtId="1" fontId="2" fillId="0" borderId="0" xfId="0" applyNumberFormat="1" applyFont="1" applyAlignment="1">
      <alignment horizontal="center"/>
    </xf>
    <xf numFmtId="0" fontId="0" fillId="0" borderId="2" xfId="0" applyBorder="1"/>
    <xf numFmtId="0" fontId="0" fillId="0" borderId="1" xfId="0" applyBorder="1"/>
    <xf numFmtId="0" fontId="0" fillId="0" borderId="3" xfId="0" applyBorder="1"/>
    <xf numFmtId="0" fontId="3" fillId="0" borderId="10" xfId="0" applyFont="1" applyBorder="1" applyAlignment="1">
      <alignment horizontal="center"/>
    </xf>
    <xf numFmtId="0" fontId="3" fillId="0" borderId="10" xfId="0" applyFont="1" applyBorder="1" applyAlignment="1">
      <alignment horizontal="center" vertical="center"/>
    </xf>
    <xf numFmtId="1" fontId="2" fillId="0" borderId="0" xfId="0" applyNumberFormat="1" applyFont="1" applyAlignment="1">
      <alignment horizontal="right"/>
    </xf>
    <xf numFmtId="1" fontId="0" fillId="0" borderId="0" xfId="0" applyNumberFormat="1"/>
    <xf numFmtId="0" fontId="0" fillId="0" borderId="11" xfId="0" applyBorder="1" applyAlignment="1">
      <alignment horizontal="center"/>
    </xf>
    <xf numFmtId="0" fontId="0" fillId="3" borderId="2" xfId="0" applyFill="1" applyBorder="1"/>
    <xf numFmtId="0" fontId="0" fillId="3" borderId="1" xfId="0" applyFill="1" applyBorder="1"/>
    <xf numFmtId="0" fontId="0" fillId="0" borderId="0" xfId="0" applyAlignment="1">
      <alignment wrapText="1"/>
    </xf>
    <xf numFmtId="0" fontId="3" fillId="0" borderId="11" xfId="0" applyFont="1" applyBorder="1" applyAlignment="1">
      <alignment horizontal="center"/>
    </xf>
    <xf numFmtId="164" fontId="3" fillId="0" borderId="10" xfId="0" applyNumberFormat="1" applyFont="1" applyBorder="1" applyAlignment="1">
      <alignment horizontal="center"/>
    </xf>
    <xf numFmtId="0" fontId="0" fillId="0" borderId="11" xfId="0" applyBorder="1" applyAlignment="1">
      <alignment horizontal="center" vertical="center"/>
    </xf>
    <xf numFmtId="166" fontId="2" fillId="0" borderId="0" xfId="1" applyNumberFormat="1" applyFont="1"/>
    <xf numFmtId="2" fontId="0" fillId="0" borderId="0" xfId="0" applyNumberFormat="1" applyAlignment="1">
      <alignment horizontal="center"/>
    </xf>
    <xf numFmtId="10" fontId="0" fillId="0" borderId="0" xfId="0" applyNumberFormat="1" applyAlignment="1">
      <alignment horizontal="center"/>
    </xf>
    <xf numFmtId="10" fontId="0" fillId="0" borderId="0" xfId="3" applyNumberFormat="1" applyFont="1" applyAlignment="1">
      <alignment horizontal="center"/>
    </xf>
    <xf numFmtId="1" fontId="0" fillId="0" borderId="10" xfId="0" applyNumberFormat="1" applyBorder="1" applyAlignment="1">
      <alignment horizontal="center"/>
    </xf>
    <xf numFmtId="2" fontId="0" fillId="0" borderId="10" xfId="0" applyNumberFormat="1" applyBorder="1" applyAlignment="1">
      <alignment horizontal="center"/>
    </xf>
    <xf numFmtId="10" fontId="0" fillId="0" borderId="10" xfId="3" applyNumberFormat="1" applyFont="1" applyBorder="1" applyAlignment="1">
      <alignment horizontal="center"/>
    </xf>
    <xf numFmtId="10" fontId="0" fillId="0" borderId="7" xfId="3" applyNumberFormat="1" applyFont="1" applyBorder="1" applyAlignment="1">
      <alignment horizontal="center"/>
    </xf>
    <xf numFmtId="0" fontId="8" fillId="0" borderId="4" xfId="0" applyFont="1" applyBorder="1" applyAlignment="1">
      <alignment horizontal="center"/>
    </xf>
    <xf numFmtId="0" fontId="8" fillId="0" borderId="11" xfId="0" applyFont="1" applyBorder="1" applyAlignment="1">
      <alignment horizontal="center"/>
    </xf>
    <xf numFmtId="0" fontId="0" fillId="3" borderId="0" xfId="0" applyFill="1"/>
    <xf numFmtId="0" fontId="0" fillId="5" borderId="0" xfId="0" applyFill="1"/>
    <xf numFmtId="3" fontId="5" fillId="0" borderId="0" xfId="0" applyNumberFormat="1" applyFont="1" applyAlignment="1">
      <alignment horizontal="right"/>
    </xf>
    <xf numFmtId="40" fontId="5" fillId="0" borderId="0" xfId="1" applyFont="1"/>
    <xf numFmtId="38" fontId="5" fillId="0" borderId="0" xfId="1" applyNumberFormat="1" applyFont="1"/>
    <xf numFmtId="10" fontId="5" fillId="0" borderId="0" xfId="0" applyNumberFormat="1" applyFont="1"/>
    <xf numFmtId="2" fontId="0" fillId="0" borderId="5" xfId="0" applyNumberFormat="1" applyBorder="1" applyAlignment="1">
      <alignment horizontal="center"/>
    </xf>
    <xf numFmtId="2" fontId="0" fillId="0" borderId="6" xfId="0" applyNumberFormat="1" applyBorder="1" applyAlignment="1">
      <alignment horizontal="center"/>
    </xf>
    <xf numFmtId="2" fontId="0" fillId="0" borderId="5" xfId="3" applyNumberFormat="1" applyFont="1" applyBorder="1" applyAlignment="1">
      <alignment horizontal="center"/>
    </xf>
    <xf numFmtId="2" fontId="0" fillId="0" borderId="0" xfId="3" applyNumberFormat="1" applyFont="1" applyAlignment="1">
      <alignment horizontal="center"/>
    </xf>
    <xf numFmtId="2" fontId="0" fillId="0" borderId="7" xfId="0" applyNumberFormat="1" applyBorder="1" applyAlignment="1">
      <alignment horizontal="center"/>
    </xf>
    <xf numFmtId="0" fontId="0" fillId="3" borderId="3" xfId="0" applyFill="1" applyBorder="1"/>
    <xf numFmtId="2" fontId="0" fillId="0" borderId="6" xfId="3" applyNumberFormat="1" applyFont="1" applyBorder="1" applyAlignment="1">
      <alignment horizontal="center"/>
    </xf>
    <xf numFmtId="0" fontId="8" fillId="0" borderId="8" xfId="0" applyFont="1" applyBorder="1" applyAlignment="1">
      <alignment horizontal="center"/>
    </xf>
    <xf numFmtId="0" fontId="0" fillId="0" borderId="2" xfId="0" applyBorder="1" applyAlignment="1">
      <alignment horizontal="center"/>
    </xf>
    <xf numFmtId="1" fontId="0" fillId="0" borderId="12" xfId="0" applyNumberFormat="1" applyBorder="1" applyAlignment="1">
      <alignment horizontal="center"/>
    </xf>
    <xf numFmtId="2" fontId="0" fillId="0" borderId="12" xfId="0" applyNumberFormat="1" applyBorder="1" applyAlignment="1">
      <alignment horizontal="center"/>
    </xf>
    <xf numFmtId="0" fontId="0" fillId="0" borderId="12" xfId="0" applyBorder="1" applyAlignment="1">
      <alignment horizontal="center"/>
    </xf>
    <xf numFmtId="0" fontId="3" fillId="0" borderId="0" xfId="0" applyFont="1" applyAlignment="1">
      <alignment horizontal="center"/>
    </xf>
    <xf numFmtId="0" fontId="8" fillId="0" borderId="0" xfId="0" applyFont="1" applyAlignment="1">
      <alignment horizontal="center"/>
    </xf>
    <xf numFmtId="10" fontId="2" fillId="0" borderId="0" xfId="1" applyNumberFormat="1" applyFont="1"/>
    <xf numFmtId="167" fontId="0" fillId="0" borderId="0" xfId="0" applyNumberFormat="1"/>
    <xf numFmtId="168" fontId="2" fillId="0" borderId="0" xfId="1" applyNumberFormat="1" applyFont="1"/>
    <xf numFmtId="168" fontId="0" fillId="0" borderId="0" xfId="0" applyNumberFormat="1"/>
    <xf numFmtId="166" fontId="2" fillId="0" borderId="10" xfId="1" applyNumberFormat="1" applyFont="1" applyBorder="1"/>
    <xf numFmtId="1" fontId="2" fillId="0" borderId="10" xfId="0" applyNumberFormat="1" applyFont="1" applyBorder="1" applyAlignment="1">
      <alignment horizontal="center"/>
    </xf>
    <xf numFmtId="10" fontId="2" fillId="0" borderId="10" xfId="1" applyNumberFormat="1" applyFont="1" applyBorder="1"/>
    <xf numFmtId="169" fontId="2" fillId="0" borderId="0" xfId="1" applyNumberFormat="1" applyFont="1"/>
    <xf numFmtId="170" fontId="0" fillId="0" borderId="6" xfId="0" applyNumberFormat="1" applyBorder="1"/>
    <xf numFmtId="2" fontId="0" fillId="0" borderId="6" xfId="3" applyNumberFormat="1" applyFont="1" applyBorder="1"/>
    <xf numFmtId="2" fontId="0" fillId="0" borderId="7" xfId="0" applyNumberFormat="1" applyBorder="1"/>
    <xf numFmtId="0" fontId="0" fillId="0" borderId="13" xfId="0" applyBorder="1"/>
    <xf numFmtId="0" fontId="0" fillId="0" borderId="14" xfId="0" applyBorder="1"/>
    <xf numFmtId="0" fontId="0" fillId="0" borderId="15" xfId="0" applyBorder="1"/>
    <xf numFmtId="0" fontId="0" fillId="0" borderId="9"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4" fillId="0" borderId="0" xfId="0" applyFont="1"/>
    <xf numFmtId="166" fontId="2" fillId="0" borderId="12" xfId="1" applyNumberFormat="1" applyFont="1" applyBorder="1"/>
    <xf numFmtId="0" fontId="0" fillId="0" borderId="0" xfId="0" applyAlignment="1">
      <alignment horizontal="left"/>
    </xf>
    <xf numFmtId="40" fontId="0" fillId="0" borderId="6" xfId="0" applyNumberFormat="1" applyBorder="1"/>
    <xf numFmtId="0" fontId="8" fillId="0" borderId="0" xfId="0" applyFont="1"/>
    <xf numFmtId="169" fontId="2" fillId="0" borderId="10" xfId="1" applyNumberFormat="1" applyFont="1" applyBorder="1"/>
    <xf numFmtId="0" fontId="0" fillId="0" borderId="5" xfId="0" applyBorder="1" applyAlignment="1">
      <alignment horizontal="center"/>
    </xf>
    <xf numFmtId="1" fontId="0" fillId="0" borderId="0" xfId="0" applyNumberFormat="1" applyAlignment="1">
      <alignment horizontal="center"/>
    </xf>
    <xf numFmtId="10" fontId="0" fillId="0" borderId="6" xfId="3" applyNumberFormat="1" applyFont="1" applyBorder="1" applyAlignment="1">
      <alignment horizontal="center"/>
    </xf>
    <xf numFmtId="0" fontId="9" fillId="0" borderId="0" xfId="0" applyFont="1"/>
    <xf numFmtId="0" fontId="0" fillId="5" borderId="2" xfId="0" applyFill="1" applyBorder="1"/>
    <xf numFmtId="0" fontId="0" fillId="5" borderId="1" xfId="0" applyFill="1" applyBorder="1"/>
    <xf numFmtId="0" fontId="0" fillId="5" borderId="3" xfId="0" applyFill="1" applyBorder="1"/>
    <xf numFmtId="0" fontId="0" fillId="4" borderId="2" xfId="0" applyFill="1" applyBorder="1"/>
    <xf numFmtId="0" fontId="0" fillId="4" borderId="1" xfId="0" applyFill="1" applyBorder="1"/>
    <xf numFmtId="0" fontId="0" fillId="4" borderId="3" xfId="0" applyFill="1" applyBorder="1"/>
    <xf numFmtId="171" fontId="0" fillId="0" borderId="0" xfId="0" applyNumberFormat="1"/>
    <xf numFmtId="172" fontId="0" fillId="0" borderId="0" xfId="0" applyNumberFormat="1"/>
    <xf numFmtId="3" fontId="0" fillId="0" borderId="5" xfId="0" applyNumberFormat="1" applyBorder="1"/>
    <xf numFmtId="0" fontId="2" fillId="3" borderId="9" xfId="0" applyFont="1" applyFill="1" applyBorder="1"/>
    <xf numFmtId="4" fontId="5" fillId="5" borderId="0" xfId="0" applyNumberFormat="1" applyFont="1" applyFill="1" applyAlignment="1">
      <alignment horizontal="center"/>
    </xf>
    <xf numFmtId="2" fontId="5" fillId="0" borderId="0" xfId="1" applyNumberFormat="1" applyFont="1"/>
    <xf numFmtId="0" fontId="2" fillId="5" borderId="9" xfId="0" applyFont="1" applyFill="1" applyBorder="1"/>
    <xf numFmtId="10" fontId="0" fillId="0" borderId="12" xfId="3" applyNumberFormat="1" applyFont="1" applyBorder="1" applyAlignment="1">
      <alignment horizontal="center"/>
    </xf>
    <xf numFmtId="0" fontId="10" fillId="0" borderId="0" xfId="0" applyFont="1"/>
    <xf numFmtId="0" fontId="0" fillId="0" borderId="10" xfId="0" applyBorder="1" applyAlignment="1">
      <alignment horizontal="center"/>
    </xf>
    <xf numFmtId="0" fontId="0" fillId="5" borderId="10" xfId="0" applyFill="1" applyBorder="1"/>
    <xf numFmtId="0" fontId="0" fillId="3" borderId="10" xfId="0" applyFill="1" applyBorder="1"/>
    <xf numFmtId="0" fontId="8" fillId="0" borderId="0" xfId="0" applyFont="1" applyAlignment="1">
      <alignment horizontal="left"/>
    </xf>
    <xf numFmtId="10" fontId="2" fillId="0" borderId="0" xfId="3" applyNumberFormat="1" applyFont="1"/>
    <xf numFmtId="4" fontId="5" fillId="6" borderId="0" xfId="0" applyNumberFormat="1" applyFont="1" applyFill="1" applyAlignment="1">
      <alignment horizontal="center"/>
    </xf>
    <xf numFmtId="4" fontId="5" fillId="6" borderId="10" xfId="0" applyNumberFormat="1" applyFont="1" applyFill="1" applyBorder="1" applyAlignment="1">
      <alignment horizontal="center"/>
    </xf>
    <xf numFmtId="38" fontId="0" fillId="0" borderId="6" xfId="1" applyNumberFormat="1" applyFont="1" applyBorder="1"/>
    <xf numFmtId="0" fontId="0" fillId="0" borderId="10" xfId="0" quotePrefix="1" applyBorder="1"/>
    <xf numFmtId="4" fontId="5" fillId="4" borderId="0" xfId="0" applyNumberFormat="1" applyFont="1" applyFill="1" applyAlignment="1">
      <alignment horizontal="center"/>
    </xf>
    <xf numFmtId="165" fontId="2" fillId="0" borderId="10" xfId="1" applyNumberFormat="1" applyFont="1" applyBorder="1"/>
    <xf numFmtId="2" fontId="2" fillId="0" borderId="10" xfId="0" applyNumberFormat="1" applyFont="1" applyBorder="1" applyAlignment="1">
      <alignment horizontal="right"/>
    </xf>
    <xf numFmtId="1" fontId="2" fillId="0" borderId="10" xfId="0" applyNumberFormat="1" applyFont="1" applyBorder="1" applyAlignment="1">
      <alignment horizontal="right"/>
    </xf>
    <xf numFmtId="0" fontId="0" fillId="0" borderId="10" xfId="0" applyBorder="1" applyAlignment="1">
      <alignment wrapText="1"/>
    </xf>
    <xf numFmtId="10" fontId="0" fillId="0" borderId="0" xfId="3" applyNumberFormat="1" applyFont="1"/>
    <xf numFmtId="4" fontId="5" fillId="3" borderId="0" xfId="0" applyNumberFormat="1" applyFont="1" applyFill="1" applyAlignment="1">
      <alignment horizontal="center"/>
    </xf>
    <xf numFmtId="4" fontId="5" fillId="3" borderId="10" xfId="0" applyNumberFormat="1" applyFont="1" applyFill="1" applyBorder="1" applyAlignment="1">
      <alignment horizontal="center"/>
    </xf>
    <xf numFmtId="40" fontId="2" fillId="5" borderId="9" xfId="1" applyFont="1" applyFill="1" applyBorder="1"/>
    <xf numFmtId="40" fontId="2" fillId="0" borderId="0" xfId="1" applyFont="1"/>
    <xf numFmtId="4" fontId="3" fillId="0" borderId="0" xfId="0" applyNumberFormat="1" applyFont="1"/>
    <xf numFmtId="10" fontId="3" fillId="0" borderId="0" xfId="0" applyNumberFormat="1" applyFont="1"/>
    <xf numFmtId="2" fontId="3" fillId="0" borderId="9" xfId="0" applyNumberFormat="1" applyFont="1" applyBorder="1" applyAlignment="1">
      <alignment horizontal="right"/>
    </xf>
    <xf numFmtId="2" fontId="3" fillId="0" borderId="0" xfId="0" applyNumberFormat="1" applyFont="1" applyAlignment="1">
      <alignment horizontal="right"/>
    </xf>
    <xf numFmtId="4" fontId="3" fillId="0" borderId="0" xfId="0" applyNumberFormat="1" applyFont="1" applyAlignment="1">
      <alignment horizontal="center"/>
    </xf>
    <xf numFmtId="38" fontId="3" fillId="0" borderId="0" xfId="0" applyNumberFormat="1" applyFont="1"/>
    <xf numFmtId="3" fontId="3" fillId="0" borderId="0" xfId="0" applyNumberFormat="1" applyFont="1"/>
    <xf numFmtId="40" fontId="2" fillId="0" borderId="9" xfId="1" applyFont="1" applyBorder="1"/>
    <xf numFmtId="168" fontId="2" fillId="0" borderId="9" xfId="1" applyNumberFormat="1" applyFont="1" applyBorder="1"/>
    <xf numFmtId="173" fontId="3" fillId="0" borderId="0" xfId="0" applyNumberFormat="1" applyFont="1" applyAlignment="1">
      <alignment horizontal="center"/>
    </xf>
    <xf numFmtId="10" fontId="2" fillId="0" borderId="9" xfId="3" applyNumberFormat="1" applyFont="1" applyBorder="1"/>
    <xf numFmtId="20" fontId="3" fillId="0" borderId="0" xfId="0" applyNumberFormat="1" applyFont="1" applyAlignment="1">
      <alignment horizontal="right"/>
    </xf>
    <xf numFmtId="0" fontId="3" fillId="0" borderId="0" xfId="0" applyFont="1"/>
    <xf numFmtId="174" fontId="3" fillId="0" borderId="9" xfId="0" applyNumberFormat="1" applyFont="1" applyBorder="1" applyAlignment="1">
      <alignment horizontal="center"/>
    </xf>
    <xf numFmtId="4" fontId="2" fillId="7" borderId="4" xfId="0" applyNumberFormat="1" applyFont="1" applyFill="1" applyBorder="1" applyAlignment="1">
      <alignment horizontal="center"/>
    </xf>
    <xf numFmtId="0" fontId="2" fillId="7" borderId="11" xfId="0" applyFont="1" applyFill="1" applyBorder="1"/>
    <xf numFmtId="38" fontId="2" fillId="7" borderId="11" xfId="0" applyNumberFormat="1" applyFont="1" applyFill="1" applyBorder="1"/>
    <xf numFmtId="4" fontId="2" fillId="7" borderId="11" xfId="0" applyNumberFormat="1" applyFont="1" applyFill="1" applyBorder="1"/>
    <xf numFmtId="0" fontId="2" fillId="7" borderId="8" xfId="0" applyFont="1" applyFill="1" applyBorder="1"/>
    <xf numFmtId="0" fontId="11" fillId="0" borderId="9" xfId="0" applyFont="1" applyBorder="1"/>
    <xf numFmtId="164" fontId="3" fillId="0" borderId="9" xfId="0" applyNumberFormat="1" applyFont="1" applyBorder="1" applyAlignment="1">
      <alignment horizontal="center"/>
    </xf>
    <xf numFmtId="4" fontId="3" fillId="0" borderId="9" xfId="0" applyNumberFormat="1" applyFont="1" applyBorder="1" applyAlignment="1">
      <alignment horizontal="center"/>
    </xf>
    <xf numFmtId="38" fontId="3" fillId="0" borderId="9" xfId="0" applyNumberFormat="1" applyFont="1" applyBorder="1"/>
    <xf numFmtId="4" fontId="3" fillId="0" borderId="9" xfId="0" applyNumberFormat="1" applyFont="1" applyBorder="1"/>
    <xf numFmtId="2" fontId="2" fillId="5" borderId="1" xfId="0" applyNumberFormat="1" applyFont="1" applyFill="1" applyBorder="1" applyAlignment="1">
      <alignment horizontal="right"/>
    </xf>
    <xf numFmtId="40" fontId="2" fillId="5" borderId="0" xfId="1" applyFont="1" applyFill="1" applyAlignment="1">
      <alignment horizontal="right"/>
    </xf>
    <xf numFmtId="0" fontId="2" fillId="5" borderId="0" xfId="0" applyFont="1" applyFill="1"/>
    <xf numFmtId="40" fontId="2" fillId="0" borderId="0" xfId="1" applyFont="1" applyAlignment="1">
      <alignment horizontal="right"/>
    </xf>
    <xf numFmtId="175" fontId="2" fillId="3" borderId="0" xfId="0" applyNumberFormat="1" applyFont="1" applyFill="1"/>
    <xf numFmtId="40" fontId="2" fillId="0" borderId="6" xfId="1" applyFont="1" applyBorder="1" applyAlignment="1">
      <alignment horizontal="right"/>
    </xf>
    <xf numFmtId="164" fontId="2" fillId="0" borderId="9" xfId="0" applyNumberFormat="1" applyFont="1" applyBorder="1" applyAlignment="1">
      <alignment horizontal="center"/>
    </xf>
    <xf numFmtId="40" fontId="2" fillId="0" borderId="9" xfId="1" applyFont="1" applyBorder="1" applyAlignment="1">
      <alignment horizontal="right"/>
    </xf>
    <xf numFmtId="2" fontId="2" fillId="0" borderId="9" xfId="0" applyNumberFormat="1" applyFont="1" applyBorder="1" applyAlignment="1">
      <alignment horizontal="right"/>
    </xf>
    <xf numFmtId="168" fontId="2" fillId="3" borderId="9" xfId="1" applyNumberFormat="1" applyFont="1" applyFill="1" applyBorder="1" applyAlignment="1">
      <alignment horizontal="right"/>
    </xf>
    <xf numFmtId="176" fontId="2" fillId="0" borderId="9" xfId="0" applyNumberFormat="1" applyFont="1" applyBorder="1" applyAlignment="1">
      <alignment horizontal="right"/>
    </xf>
    <xf numFmtId="2" fontId="2" fillId="5" borderId="3" xfId="0" applyNumberFormat="1" applyFont="1" applyFill="1" applyBorder="1" applyAlignment="1">
      <alignment horizontal="right"/>
    </xf>
    <xf numFmtId="40" fontId="2" fillId="5" borderId="10" xfId="1" applyFont="1" applyFill="1" applyBorder="1" applyAlignment="1">
      <alignment horizontal="right"/>
    </xf>
    <xf numFmtId="0" fontId="2" fillId="5" borderId="10" xfId="0" applyFont="1" applyFill="1" applyBorder="1"/>
    <xf numFmtId="40" fontId="2" fillId="0" borderId="10" xfId="1" applyFont="1" applyBorder="1" applyAlignment="1">
      <alignment horizontal="right"/>
    </xf>
    <xf numFmtId="175" fontId="2" fillId="3" borderId="10" xfId="0" applyNumberFormat="1" applyFont="1" applyFill="1" applyBorder="1"/>
    <xf numFmtId="40" fontId="2" fillId="0" borderId="7" xfId="1" applyFont="1" applyBorder="1" applyAlignment="1">
      <alignment horizontal="right"/>
    </xf>
    <xf numFmtId="4" fontId="2" fillId="0" borderId="0" xfId="0" applyNumberFormat="1" applyFont="1" applyAlignment="1">
      <alignment horizontal="right"/>
    </xf>
    <xf numFmtId="0" fontId="7" fillId="0" borderId="0" xfId="0" applyFont="1"/>
    <xf numFmtId="10" fontId="2" fillId="0" borderId="0" xfId="0" applyNumberFormat="1" applyFont="1" applyAlignment="1">
      <alignment horizontal="right"/>
    </xf>
    <xf numFmtId="40" fontId="2" fillId="0" borderId="0" xfId="0" applyNumberFormat="1" applyFont="1" applyAlignment="1">
      <alignment horizontal="right"/>
    </xf>
    <xf numFmtId="20" fontId="3" fillId="0" borderId="9" xfId="0" applyNumberFormat="1" applyFont="1" applyBorder="1" applyAlignment="1">
      <alignment horizontal="right"/>
    </xf>
    <xf numFmtId="38" fontId="3" fillId="0" borderId="9" xfId="0" applyNumberFormat="1" applyFont="1" applyBorder="1" applyAlignment="1">
      <alignment horizontal="right"/>
    </xf>
    <xf numFmtId="0" fontId="0" fillId="0" borderId="9" xfId="0" applyBorder="1" applyAlignment="1">
      <alignment horizontal="center"/>
    </xf>
    <xf numFmtId="0" fontId="0" fillId="3" borderId="9" xfId="0" applyFill="1" applyBorder="1" applyAlignment="1">
      <alignment horizontal="center"/>
    </xf>
    <xf numFmtId="4" fontId="2" fillId="0" borderId="0" xfId="0" applyNumberFormat="1" applyFont="1"/>
    <xf numFmtId="10" fontId="2" fillId="0" borderId="0" xfId="0" applyNumberFormat="1" applyFont="1"/>
    <xf numFmtId="177" fontId="2" fillId="0" borderId="0" xfId="0" applyNumberFormat="1" applyFont="1"/>
    <xf numFmtId="177" fontId="7" fillId="0" borderId="0" xfId="3" applyNumberFormat="1" applyFont="1"/>
    <xf numFmtId="4" fontId="3" fillId="0" borderId="9" xfId="0" applyNumberFormat="1" applyFont="1" applyBorder="1" applyAlignment="1">
      <alignment horizontal="right"/>
    </xf>
    <xf numFmtId="3" fontId="3" fillId="0" borderId="9" xfId="0" applyNumberFormat="1" applyFont="1" applyBorder="1" applyAlignment="1">
      <alignment horizontal="right"/>
    </xf>
    <xf numFmtId="178" fontId="3" fillId="0" borderId="9" xfId="0" applyNumberFormat="1" applyFont="1" applyBorder="1"/>
    <xf numFmtId="179" fontId="2" fillId="0" borderId="0" xfId="1" applyNumberFormat="1" applyFont="1"/>
    <xf numFmtId="3" fontId="3" fillId="0" borderId="9" xfId="0" applyNumberFormat="1" applyFont="1" applyBorder="1"/>
    <xf numFmtId="0" fontId="3" fillId="2" borderId="9" xfId="0" applyFont="1" applyFill="1" applyBorder="1"/>
    <xf numFmtId="4" fontId="3" fillId="2" borderId="9" xfId="0" applyNumberFormat="1" applyFont="1" applyFill="1" applyBorder="1" applyAlignment="1">
      <alignment horizontal="center"/>
    </xf>
    <xf numFmtId="177" fontId="3" fillId="2" borderId="9" xfId="0" applyNumberFormat="1" applyFont="1" applyFill="1" applyBorder="1" applyAlignment="1">
      <alignment horizontal="center"/>
    </xf>
    <xf numFmtId="177" fontId="3" fillId="0" borderId="0" xfId="0" applyNumberFormat="1" applyFont="1" applyAlignment="1">
      <alignment horizontal="center"/>
    </xf>
    <xf numFmtId="169" fontId="2" fillId="0" borderId="0" xfId="0" applyNumberFormat="1" applyFont="1"/>
    <xf numFmtId="172" fontId="2" fillId="0" borderId="0" xfId="0" applyNumberFormat="1" applyFont="1"/>
    <xf numFmtId="38" fontId="2" fillId="0" borderId="0" xfId="0" applyNumberFormat="1" applyFont="1" applyAlignment="1">
      <alignment horizontal="center"/>
    </xf>
    <xf numFmtId="40" fontId="2" fillId="0" borderId="0" xfId="0" applyNumberFormat="1" applyFont="1"/>
    <xf numFmtId="3" fontId="2" fillId="0" borderId="0" xfId="0" applyNumberFormat="1" applyFont="1" applyAlignment="1">
      <alignment horizontal="right"/>
    </xf>
    <xf numFmtId="38" fontId="2" fillId="0" borderId="0" xfId="0" applyNumberFormat="1" applyFont="1"/>
    <xf numFmtId="0" fontId="3" fillId="0" borderId="0" xfId="0" applyFont="1" applyAlignment="1">
      <alignment vertical="center" wrapText="1"/>
    </xf>
    <xf numFmtId="0" fontId="2" fillId="7" borderId="4" xfId="0" applyFont="1" applyFill="1" applyBorder="1" applyAlignment="1">
      <alignment horizontal="center"/>
    </xf>
    <xf numFmtId="0" fontId="2" fillId="5" borderId="1" xfId="0" applyFont="1" applyFill="1" applyBorder="1" applyAlignment="1">
      <alignment horizontal="right"/>
    </xf>
    <xf numFmtId="0" fontId="2" fillId="5" borderId="0" xfId="0" applyFont="1" applyFill="1" applyAlignment="1">
      <alignment horizontal="right"/>
    </xf>
    <xf numFmtId="0" fontId="2" fillId="0" borderId="0" xfId="0" applyFont="1" applyAlignment="1">
      <alignment horizontal="right"/>
    </xf>
    <xf numFmtId="0" fontId="2" fillId="3" borderId="0" xfId="0" applyFont="1" applyFill="1"/>
    <xf numFmtId="0" fontId="2" fillId="0" borderId="6" xfId="0" applyFont="1" applyBorder="1" applyAlignment="1">
      <alignment horizontal="right"/>
    </xf>
    <xf numFmtId="0" fontId="2" fillId="5" borderId="3" xfId="0" applyFont="1" applyFill="1" applyBorder="1" applyAlignment="1">
      <alignment horizontal="right"/>
    </xf>
    <xf numFmtId="0" fontId="2" fillId="5" borderId="10" xfId="0" applyFont="1" applyFill="1" applyBorder="1" applyAlignment="1">
      <alignment horizontal="right"/>
    </xf>
    <xf numFmtId="0" fontId="2" fillId="0" borderId="10" xfId="0" applyFont="1" applyBorder="1" applyAlignment="1">
      <alignment horizontal="right"/>
    </xf>
    <xf numFmtId="0" fontId="2" fillId="3" borderId="10" xfId="0" applyFont="1" applyFill="1" applyBorder="1"/>
    <xf numFmtId="0" fontId="2" fillId="0" borderId="7" xfId="0" applyFont="1" applyBorder="1" applyAlignment="1">
      <alignment horizontal="right"/>
    </xf>
    <xf numFmtId="0" fontId="3" fillId="0" borderId="0" xfId="0" applyFont="1" applyAlignment="1">
      <alignment horizontal="right"/>
    </xf>
    <xf numFmtId="0" fontId="1" fillId="0" borderId="9" xfId="0" applyFont="1" applyBorder="1"/>
    <xf numFmtId="9" fontId="2" fillId="0" borderId="0" xfId="0" applyNumberFormat="1" applyFont="1"/>
    <xf numFmtId="40" fontId="2" fillId="5" borderId="9" xfId="0" applyNumberFormat="1" applyFont="1" applyFill="1" applyBorder="1"/>
    <xf numFmtId="40" fontId="2" fillId="0" borderId="9" xfId="0" applyNumberFormat="1" applyFont="1" applyBorder="1"/>
    <xf numFmtId="168" fontId="2" fillId="0" borderId="9" xfId="0" applyNumberFormat="1" applyFont="1" applyBorder="1"/>
    <xf numFmtId="168" fontId="2" fillId="0" borderId="0" xfId="0" applyNumberFormat="1" applyFont="1"/>
    <xf numFmtId="180" fontId="3" fillId="0" borderId="0" xfId="0" applyNumberFormat="1" applyFont="1" applyAlignment="1">
      <alignment horizontal="center"/>
    </xf>
    <xf numFmtId="10" fontId="2" fillId="0" borderId="9" xfId="0" applyNumberFormat="1" applyFont="1" applyBorder="1"/>
    <xf numFmtId="40" fontId="2" fillId="0" borderId="9" xfId="0" applyNumberFormat="1" applyFont="1" applyBorder="1" applyAlignment="1">
      <alignment horizontal="right"/>
    </xf>
    <xf numFmtId="168" fontId="2" fillId="3" borderId="9" xfId="0" applyNumberFormat="1" applyFont="1" applyFill="1" applyBorder="1" applyAlignment="1">
      <alignment horizontal="right"/>
    </xf>
    <xf numFmtId="40" fontId="2" fillId="5" borderId="0" xfId="0" applyNumberFormat="1" applyFont="1" applyFill="1" applyAlignment="1">
      <alignment horizontal="right"/>
    </xf>
    <xf numFmtId="40" fontId="2" fillId="0" borderId="6" xfId="0" applyNumberFormat="1" applyFont="1" applyBorder="1" applyAlignment="1">
      <alignment horizontal="right"/>
    </xf>
    <xf numFmtId="40" fontId="2" fillId="5" borderId="10" xfId="0" applyNumberFormat="1" applyFont="1" applyFill="1" applyBorder="1" applyAlignment="1">
      <alignment horizontal="right"/>
    </xf>
    <xf numFmtId="40" fontId="2" fillId="0" borderId="10" xfId="0" applyNumberFormat="1" applyFont="1" applyBorder="1" applyAlignment="1">
      <alignment horizontal="right"/>
    </xf>
    <xf numFmtId="40" fontId="2" fillId="0" borderId="7" xfId="0" applyNumberFormat="1" applyFont="1" applyBorder="1" applyAlignment="1">
      <alignment horizontal="right"/>
    </xf>
    <xf numFmtId="179" fontId="2" fillId="0" borderId="0" xfId="0" applyNumberFormat="1" applyFont="1"/>
    <xf numFmtId="181" fontId="1" fillId="0" borderId="0" xfId="0" applyNumberFormat="1" applyFont="1"/>
    <xf numFmtId="181" fontId="8" fillId="0" borderId="10" xfId="0" applyNumberFormat="1" applyFont="1" applyBorder="1"/>
    <xf numFmtId="0" fontId="8" fillId="0" borderId="26" xfId="0" applyFont="1" applyBorder="1"/>
    <xf numFmtId="6" fontId="8" fillId="0" borderId="0" xfId="0" applyNumberFormat="1" applyFont="1" applyAlignment="1">
      <alignment horizontal="center"/>
    </xf>
    <xf numFmtId="40" fontId="8" fillId="0" borderId="17" xfId="0" applyNumberFormat="1" applyFont="1" applyBorder="1"/>
    <xf numFmtId="44" fontId="8" fillId="0" borderId="0" xfId="0" applyNumberFormat="1" applyFont="1" applyAlignment="1">
      <alignment horizontal="center"/>
    </xf>
    <xf numFmtId="40" fontId="1" fillId="0" borderId="17" xfId="0" applyNumberFormat="1" applyFont="1" applyBorder="1"/>
    <xf numFmtId="181" fontId="1" fillId="0" borderId="10" xfId="0" applyNumberFormat="1" applyFont="1" applyBorder="1"/>
    <xf numFmtId="40" fontId="1" fillId="0" borderId="26" xfId="0" applyNumberFormat="1" applyFont="1" applyBorder="1"/>
    <xf numFmtId="0" fontId="1" fillId="0" borderId="11" xfId="0" applyFont="1" applyBorder="1" applyAlignment="1">
      <alignment horizontal="center"/>
    </xf>
    <xf numFmtId="40" fontId="1" fillId="0" borderId="27" xfId="0" applyNumberFormat="1" applyFont="1" applyBorder="1"/>
    <xf numFmtId="0" fontId="12" fillId="8" borderId="28" xfId="0" applyFont="1" applyFill="1" applyBorder="1"/>
    <xf numFmtId="181" fontId="12" fillId="8" borderId="29" xfId="0" applyNumberFormat="1" applyFont="1" applyFill="1" applyBorder="1" applyAlignment="1">
      <alignment horizontal="center"/>
    </xf>
    <xf numFmtId="0" fontId="12" fillId="0" borderId="30" xfId="0" applyFont="1" applyBorder="1"/>
    <xf numFmtId="182" fontId="12" fillId="0" borderId="31" xfId="0" applyNumberFormat="1" applyFont="1" applyBorder="1" applyAlignment="1">
      <alignment horizontal="center"/>
    </xf>
    <xf numFmtId="0" fontId="12" fillId="0" borderId="32" xfId="0" applyFont="1" applyBorder="1"/>
    <xf numFmtId="0" fontId="1" fillId="0" borderId="33" xfId="0" applyFont="1" applyBorder="1" applyAlignment="1">
      <alignment horizontal="center"/>
    </xf>
    <xf numFmtId="10" fontId="1" fillId="0" borderId="31" xfId="0" applyNumberFormat="1" applyFont="1" applyBorder="1" applyAlignment="1">
      <alignment horizontal="center"/>
    </xf>
    <xf numFmtId="0" fontId="12" fillId="0" borderId="34" xfId="0" applyFont="1" applyBorder="1"/>
    <xf numFmtId="10" fontId="1" fillId="0" borderId="35" xfId="0" applyNumberFormat="1" applyFont="1" applyBorder="1" applyAlignment="1">
      <alignment horizontal="center"/>
    </xf>
    <xf numFmtId="0" fontId="12" fillId="0" borderId="36" xfId="0" applyFont="1" applyBorder="1"/>
    <xf numFmtId="2" fontId="1" fillId="0" borderId="37" xfId="0" applyNumberFormat="1" applyFont="1" applyBorder="1" applyAlignment="1">
      <alignment horizontal="center"/>
    </xf>
    <xf numFmtId="0" fontId="12" fillId="0" borderId="38" xfId="0" applyFont="1" applyBorder="1"/>
    <xf numFmtId="38" fontId="1" fillId="0" borderId="39" xfId="0" applyNumberFormat="1" applyFont="1" applyBorder="1" applyAlignment="1">
      <alignment horizontal="center"/>
    </xf>
    <xf numFmtId="0" fontId="8" fillId="0" borderId="31" xfId="0" applyFont="1" applyBorder="1" applyAlignment="1">
      <alignment horizontal="center"/>
    </xf>
    <xf numFmtId="10" fontId="1" fillId="0" borderId="39" xfId="0" applyNumberFormat="1" applyFont="1" applyBorder="1" applyAlignment="1">
      <alignment horizontal="center"/>
    </xf>
    <xf numFmtId="0" fontId="12" fillId="0" borderId="28" xfId="0" applyFont="1" applyBorder="1"/>
    <xf numFmtId="44" fontId="1" fillId="0" borderId="29" xfId="0" applyNumberFormat="1" applyFont="1" applyBorder="1" applyAlignment="1">
      <alignment horizontal="center"/>
    </xf>
    <xf numFmtId="0" fontId="12" fillId="8" borderId="40" xfId="0" applyFont="1" applyFill="1" applyBorder="1"/>
    <xf numFmtId="38" fontId="1" fillId="0" borderId="31" xfId="0" applyNumberFormat="1" applyFont="1" applyBorder="1"/>
    <xf numFmtId="183" fontId="1" fillId="0" borderId="37" xfId="0" applyNumberFormat="1" applyFont="1" applyBorder="1"/>
    <xf numFmtId="0" fontId="1" fillId="0" borderId="37" xfId="0" applyFont="1" applyBorder="1"/>
    <xf numFmtId="40" fontId="1" fillId="0" borderId="37" xfId="0" applyNumberFormat="1" applyFont="1" applyBorder="1"/>
    <xf numFmtId="44" fontId="1" fillId="0" borderId="37" xfId="0" applyNumberFormat="1" applyFont="1" applyBorder="1"/>
    <xf numFmtId="10" fontId="1" fillId="0" borderId="37" xfId="0" applyNumberFormat="1" applyFont="1" applyBorder="1"/>
    <xf numFmtId="44" fontId="1" fillId="0" borderId="37" xfId="0" applyNumberFormat="1" applyFont="1" applyBorder="1" applyAlignment="1">
      <alignment horizontal="center"/>
    </xf>
    <xf numFmtId="184" fontId="1" fillId="0" borderId="39" xfId="0" applyNumberFormat="1" applyFont="1" applyBorder="1"/>
    <xf numFmtId="185" fontId="1" fillId="0" borderId="39" xfId="0" applyNumberFormat="1" applyFont="1" applyBorder="1"/>
    <xf numFmtId="0" fontId="8" fillId="4" borderId="9" xfId="0" applyFont="1" applyFill="1" applyBorder="1" applyAlignment="1">
      <alignment horizontal="center" vertical="center"/>
    </xf>
    <xf numFmtId="0" fontId="8" fillId="4" borderId="13" xfId="0" applyFont="1" applyFill="1" applyBorder="1" applyAlignment="1">
      <alignment horizontal="center" vertical="center"/>
    </xf>
    <xf numFmtId="0" fontId="1" fillId="0" borderId="9" xfId="0" applyFont="1" applyBorder="1" applyAlignment="1">
      <alignment horizontal="center"/>
    </xf>
    <xf numFmtId="0" fontId="3" fillId="0" borderId="9" xfId="0" applyFont="1" applyBorder="1" applyAlignment="1">
      <alignment horizontal="center" vertical="center"/>
    </xf>
    <xf numFmtId="0" fontId="11" fillId="0" borderId="41" xfId="0" applyFont="1" applyBorder="1"/>
    <xf numFmtId="0" fontId="1" fillId="3" borderId="9" xfId="0" applyFont="1" applyFill="1" applyBorder="1"/>
    <xf numFmtId="0" fontId="1" fillId="5" borderId="9" xfId="0" applyFont="1" applyFill="1" applyBorder="1"/>
    <xf numFmtId="0" fontId="3" fillId="0" borderId="9" xfId="0" applyFont="1" applyBorder="1" applyAlignment="1">
      <alignment horizontal="center" vertical="center" wrapText="1"/>
    </xf>
    <xf numFmtId="4" fontId="5" fillId="0" borderId="10" xfId="0" applyNumberFormat="1" applyFont="1" applyBorder="1" applyAlignment="1">
      <alignment horizontal="center"/>
    </xf>
    <xf numFmtId="169" fontId="2" fillId="0" borderId="10" xfId="0" applyNumberFormat="1" applyFont="1" applyBorder="1"/>
    <xf numFmtId="172" fontId="2" fillId="0" borderId="10" xfId="0" applyNumberFormat="1" applyFont="1" applyBorder="1"/>
    <xf numFmtId="38" fontId="2" fillId="0" borderId="10" xfId="0" applyNumberFormat="1" applyFont="1" applyBorder="1" applyAlignment="1">
      <alignment horizontal="center"/>
    </xf>
    <xf numFmtId="40" fontId="2" fillId="0" borderId="10" xfId="0" applyNumberFormat="1" applyFont="1" applyBorder="1"/>
    <xf numFmtId="10" fontId="2" fillId="0" borderId="10" xfId="0" applyNumberFormat="1" applyFont="1" applyBorder="1"/>
    <xf numFmtId="0" fontId="3" fillId="0" borderId="15" xfId="0" applyFont="1" applyBorder="1" applyAlignment="1">
      <alignment horizontal="center"/>
    </xf>
    <xf numFmtId="0" fontId="3" fillId="0" borderId="15" xfId="0" applyFont="1" applyBorder="1"/>
    <xf numFmtId="0" fontId="2" fillId="0" borderId="15" xfId="0" applyFont="1" applyBorder="1" applyAlignment="1">
      <alignment horizontal="right"/>
    </xf>
    <xf numFmtId="0" fontId="1" fillId="0" borderId="15" xfId="0" applyFont="1" applyBorder="1"/>
    <xf numFmtId="0" fontId="12" fillId="0" borderId="10" xfId="0" applyFont="1" applyBorder="1" applyAlignment="1">
      <alignment horizontal="center" vertical="center"/>
    </xf>
    <xf numFmtId="0" fontId="1" fillId="0" borderId="10" xfId="0" applyFont="1" applyBorder="1"/>
    <xf numFmtId="0" fontId="3" fillId="0" borderId="10" xfId="0" applyFont="1" applyBorder="1" applyAlignment="1">
      <alignment horizontal="center" vertical="center"/>
    </xf>
    <xf numFmtId="0" fontId="1" fillId="0" borderId="10" xfId="0" applyFont="1" applyBorder="1" applyAlignment="1">
      <alignment horizontal="center" vertical="center"/>
    </xf>
    <xf numFmtId="0" fontId="3" fillId="0" borderId="0" xfId="0" applyFont="1" applyAlignment="1">
      <alignment horizontal="center" vertical="center" wrapText="1"/>
    </xf>
    <xf numFmtId="0" fontId="0" fillId="0" borderId="0" xfId="0"/>
    <xf numFmtId="38" fontId="12" fillId="0" borderId="10" xfId="0" applyNumberFormat="1" applyFont="1" applyBorder="1" applyAlignment="1">
      <alignment horizontal="center" vertical="center" wrapText="1"/>
    </xf>
    <xf numFmtId="0" fontId="8" fillId="0" borderId="10" xfId="0" applyFont="1" applyBorder="1" applyAlignment="1">
      <alignment horizontal="center" vertical="center"/>
    </xf>
    <xf numFmtId="38" fontId="12" fillId="0" borderId="10" xfId="0" applyNumberFormat="1" applyFont="1" applyBorder="1" applyAlignment="1">
      <alignment horizontal="center" vertical="center"/>
    </xf>
    <xf numFmtId="164" fontId="3" fillId="0" borderId="0" xfId="0" applyNumberFormat="1" applyFont="1" applyBorder="1" applyAlignment="1">
      <alignment horizontal="center"/>
    </xf>
    <xf numFmtId="4" fontId="5" fillId="6" borderId="0" xfId="0" applyNumberFormat="1" applyFont="1" applyFill="1" applyBorder="1" applyAlignment="1">
      <alignment horizontal="center"/>
    </xf>
    <xf numFmtId="169" fontId="2" fillId="0" borderId="0" xfId="1" applyNumberFormat="1" applyFont="1" applyBorder="1"/>
    <xf numFmtId="4" fontId="5" fillId="0" borderId="0" xfId="0" applyNumberFormat="1" applyFont="1" applyBorder="1" applyAlignment="1">
      <alignment horizontal="center"/>
    </xf>
    <xf numFmtId="172" fontId="2" fillId="0" borderId="0" xfId="0" applyNumberFormat="1" applyFont="1" applyBorder="1"/>
    <xf numFmtId="0" fontId="0" fillId="0" borderId="0" xfId="0" applyBorder="1"/>
    <xf numFmtId="181" fontId="1" fillId="0" borderId="0" xfId="0" applyNumberFormat="1" applyFont="1" applyBorder="1"/>
    <xf numFmtId="0" fontId="0" fillId="5" borderId="9" xfId="0" applyFill="1" applyBorder="1"/>
    <xf numFmtId="0" fontId="0" fillId="3" borderId="9" xfId="0" applyFill="1" applyBorder="1"/>
    <xf numFmtId="10" fontId="0" fillId="0" borderId="0" xfId="0" applyNumberFormat="1"/>
    <xf numFmtId="38" fontId="2" fillId="0" borderId="0" xfId="0" applyNumberFormat="1" applyFont="1" applyBorder="1" applyAlignment="1">
      <alignment horizontal="center"/>
    </xf>
    <xf numFmtId="40" fontId="2" fillId="0" borderId="0" xfId="0" applyNumberFormat="1" applyFont="1" applyBorder="1"/>
    <xf numFmtId="10" fontId="2" fillId="0" borderId="0" xfId="0" applyNumberFormat="1" applyFont="1" applyBorder="1"/>
  </cellXfs>
  <cellStyles count="5">
    <cellStyle name="Comma" xfId="1" builtinId="3"/>
    <cellStyle name="Excel Built-in Normal" xfId="2" xr:uid="{00000000-0005-0000-0000-000002000000}"/>
    <cellStyle name="Normal" xfId="0" builtinId="0"/>
    <cellStyle name="Normal 2" xfId="4"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365760</xdr:colOff>
      <xdr:row>47</xdr:row>
      <xdr:rowOff>45720</xdr:rowOff>
    </xdr:from>
    <xdr:to>
      <xdr:col>8</xdr:col>
      <xdr:colOff>114447</xdr:colOff>
      <xdr:row>59</xdr:row>
      <xdr:rowOff>91618</xdr:rowOff>
    </xdr:to>
    <xdr:pic>
      <xdr:nvPicPr>
        <xdr:cNvPr id="2" name="Picture 1">
          <a:extLst>
            <a:ext uri="{FF2B5EF4-FFF2-40B4-BE49-F238E27FC236}">
              <a16:creationId xmlns:a16="http://schemas.microsoft.com/office/drawing/2014/main" id="{A682F470-AB53-0116-02A2-C467806A4DF5}"/>
            </a:ext>
          </a:extLst>
        </xdr:cNvPr>
        <xdr:cNvPicPr>
          <a:picLocks noChangeAspect="1"/>
        </xdr:cNvPicPr>
      </xdr:nvPicPr>
      <xdr:blipFill>
        <a:blip xmlns:r="http://schemas.openxmlformats.org/officeDocument/2006/relationships" r:embed="rId1"/>
        <a:stretch>
          <a:fillRect/>
        </a:stretch>
      </xdr:blipFill>
      <xdr:spPr>
        <a:xfrm>
          <a:off x="6431280" y="7962900"/>
          <a:ext cx="1691787" cy="2057578"/>
        </a:xfrm>
        <a:prstGeom prst="rect">
          <a:avLst/>
        </a:prstGeom>
      </xdr:spPr>
    </xdr:pic>
    <xdr:clientData/>
  </xdr:twoCellAnchor>
  <xdr:twoCellAnchor editAs="oneCell">
    <xdr:from>
      <xdr:col>8</xdr:col>
      <xdr:colOff>22860</xdr:colOff>
      <xdr:row>2</xdr:row>
      <xdr:rowOff>114300</xdr:rowOff>
    </xdr:from>
    <xdr:to>
      <xdr:col>8</xdr:col>
      <xdr:colOff>800167</xdr:colOff>
      <xdr:row>6</xdr:row>
      <xdr:rowOff>91499</xdr:rowOff>
    </xdr:to>
    <xdr:pic>
      <xdr:nvPicPr>
        <xdr:cNvPr id="3" name="Picture 2">
          <a:extLst>
            <a:ext uri="{FF2B5EF4-FFF2-40B4-BE49-F238E27FC236}">
              <a16:creationId xmlns:a16="http://schemas.microsoft.com/office/drawing/2014/main" id="{6778A2FB-EDC8-F7B0-C371-6AC95A3E6F6E}"/>
            </a:ext>
          </a:extLst>
        </xdr:cNvPr>
        <xdr:cNvPicPr>
          <a:picLocks noChangeAspect="1"/>
        </xdr:cNvPicPr>
      </xdr:nvPicPr>
      <xdr:blipFill>
        <a:blip xmlns:r="http://schemas.openxmlformats.org/officeDocument/2006/relationships" r:embed="rId2"/>
        <a:stretch>
          <a:fillRect/>
        </a:stretch>
      </xdr:blipFill>
      <xdr:spPr>
        <a:xfrm>
          <a:off x="8031480" y="449580"/>
          <a:ext cx="777307" cy="685859"/>
        </a:xfrm>
        <a:prstGeom prst="rect">
          <a:avLst/>
        </a:prstGeom>
      </xdr:spPr>
    </xdr:pic>
    <xdr:clientData/>
  </xdr:twoCellAnchor>
  <xdr:twoCellAnchor editAs="oneCell">
    <xdr:from>
      <xdr:col>9</xdr:col>
      <xdr:colOff>45720</xdr:colOff>
      <xdr:row>2</xdr:row>
      <xdr:rowOff>106680</xdr:rowOff>
    </xdr:from>
    <xdr:to>
      <xdr:col>9</xdr:col>
      <xdr:colOff>739140</xdr:colOff>
      <xdr:row>6</xdr:row>
      <xdr:rowOff>91440</xdr:rowOff>
    </xdr:to>
    <xdr:pic>
      <xdr:nvPicPr>
        <xdr:cNvPr id="4" name="Picture 3">
          <a:extLst>
            <a:ext uri="{FF2B5EF4-FFF2-40B4-BE49-F238E27FC236}">
              <a16:creationId xmlns:a16="http://schemas.microsoft.com/office/drawing/2014/main" id="{6FCECCAF-6689-0F11-54A5-3C812BBD4301}"/>
            </a:ext>
          </a:extLst>
        </xdr:cNvPr>
        <xdr:cNvPicPr>
          <a:picLocks noChangeAspect="1"/>
        </xdr:cNvPicPr>
      </xdr:nvPicPr>
      <xdr:blipFill>
        <a:blip xmlns:r="http://schemas.openxmlformats.org/officeDocument/2006/relationships" r:embed="rId3"/>
        <a:stretch>
          <a:fillRect/>
        </a:stretch>
      </xdr:blipFill>
      <xdr:spPr>
        <a:xfrm>
          <a:off x="8892540" y="441960"/>
          <a:ext cx="693420" cy="693420"/>
        </a:xfrm>
        <a:prstGeom prst="rect">
          <a:avLst/>
        </a:prstGeom>
      </xdr:spPr>
    </xdr:pic>
    <xdr:clientData/>
  </xdr:twoCellAnchor>
  <xdr:twoCellAnchor editAs="oneCell">
    <xdr:from>
      <xdr:col>10</xdr:col>
      <xdr:colOff>45720</xdr:colOff>
      <xdr:row>2</xdr:row>
      <xdr:rowOff>99060</xdr:rowOff>
    </xdr:from>
    <xdr:to>
      <xdr:col>11</xdr:col>
      <xdr:colOff>26986</xdr:colOff>
      <xdr:row>6</xdr:row>
      <xdr:rowOff>68580</xdr:rowOff>
    </xdr:to>
    <xdr:pic>
      <xdr:nvPicPr>
        <xdr:cNvPr id="5" name="Picture 4">
          <a:extLst>
            <a:ext uri="{FF2B5EF4-FFF2-40B4-BE49-F238E27FC236}">
              <a16:creationId xmlns:a16="http://schemas.microsoft.com/office/drawing/2014/main" id="{D7F2204F-B4C1-B6D1-76FE-725251A3410F}"/>
            </a:ext>
          </a:extLst>
        </xdr:cNvPr>
        <xdr:cNvPicPr>
          <a:picLocks noChangeAspect="1"/>
        </xdr:cNvPicPr>
      </xdr:nvPicPr>
      <xdr:blipFill>
        <a:blip xmlns:r="http://schemas.openxmlformats.org/officeDocument/2006/relationships" r:embed="rId4"/>
        <a:stretch>
          <a:fillRect/>
        </a:stretch>
      </xdr:blipFill>
      <xdr:spPr>
        <a:xfrm>
          <a:off x="9730740" y="434340"/>
          <a:ext cx="819466" cy="678180"/>
        </a:xfrm>
        <a:prstGeom prst="rect">
          <a:avLst/>
        </a:prstGeom>
      </xdr:spPr>
    </xdr:pic>
    <xdr:clientData/>
  </xdr:twoCellAnchor>
  <xdr:twoCellAnchor editAs="oneCell">
    <xdr:from>
      <xdr:col>11</xdr:col>
      <xdr:colOff>106680</xdr:colOff>
      <xdr:row>2</xdr:row>
      <xdr:rowOff>106680</xdr:rowOff>
    </xdr:from>
    <xdr:to>
      <xdr:col>11</xdr:col>
      <xdr:colOff>734250</xdr:colOff>
      <xdr:row>6</xdr:row>
      <xdr:rowOff>76200</xdr:rowOff>
    </xdr:to>
    <xdr:pic>
      <xdr:nvPicPr>
        <xdr:cNvPr id="6" name="Picture 5">
          <a:extLst>
            <a:ext uri="{FF2B5EF4-FFF2-40B4-BE49-F238E27FC236}">
              <a16:creationId xmlns:a16="http://schemas.microsoft.com/office/drawing/2014/main" id="{E179D366-1A30-E50B-A80A-C37CE4947221}"/>
            </a:ext>
          </a:extLst>
        </xdr:cNvPr>
        <xdr:cNvPicPr>
          <a:picLocks noChangeAspect="1"/>
        </xdr:cNvPicPr>
      </xdr:nvPicPr>
      <xdr:blipFill>
        <a:blip xmlns:r="http://schemas.openxmlformats.org/officeDocument/2006/relationships" r:embed="rId5"/>
        <a:stretch>
          <a:fillRect/>
        </a:stretch>
      </xdr:blipFill>
      <xdr:spPr>
        <a:xfrm>
          <a:off x="10629900" y="441960"/>
          <a:ext cx="627570" cy="678180"/>
        </a:xfrm>
        <a:prstGeom prst="rect">
          <a:avLst/>
        </a:prstGeom>
      </xdr:spPr>
    </xdr:pic>
    <xdr:clientData/>
  </xdr:twoCellAnchor>
  <xdr:twoCellAnchor editAs="oneCell">
    <xdr:from>
      <xdr:col>12</xdr:col>
      <xdr:colOff>30480</xdr:colOff>
      <xdr:row>1</xdr:row>
      <xdr:rowOff>22860</xdr:rowOff>
    </xdr:from>
    <xdr:to>
      <xdr:col>13</xdr:col>
      <xdr:colOff>7691</xdr:colOff>
      <xdr:row>6</xdr:row>
      <xdr:rowOff>106763</xdr:rowOff>
    </xdr:to>
    <xdr:pic>
      <xdr:nvPicPr>
        <xdr:cNvPr id="7" name="Picture 6">
          <a:extLst>
            <a:ext uri="{FF2B5EF4-FFF2-40B4-BE49-F238E27FC236}">
              <a16:creationId xmlns:a16="http://schemas.microsoft.com/office/drawing/2014/main" id="{6B67CBF2-5329-2336-2DA9-92EC01C4EF84}"/>
            </a:ext>
          </a:extLst>
        </xdr:cNvPr>
        <xdr:cNvPicPr>
          <a:picLocks noChangeAspect="1"/>
        </xdr:cNvPicPr>
      </xdr:nvPicPr>
      <xdr:blipFill>
        <a:blip xmlns:r="http://schemas.openxmlformats.org/officeDocument/2006/relationships" r:embed="rId6"/>
        <a:stretch>
          <a:fillRect/>
        </a:stretch>
      </xdr:blipFill>
      <xdr:spPr>
        <a:xfrm>
          <a:off x="11391900" y="190500"/>
          <a:ext cx="815411" cy="960203"/>
        </a:xfrm>
        <a:prstGeom prst="rect">
          <a:avLst/>
        </a:prstGeom>
      </xdr:spPr>
    </xdr:pic>
    <xdr:clientData/>
  </xdr:twoCellAnchor>
  <xdr:twoCellAnchor editAs="oneCell">
    <xdr:from>
      <xdr:col>13</xdr:col>
      <xdr:colOff>68580</xdr:colOff>
      <xdr:row>1</xdr:row>
      <xdr:rowOff>30480</xdr:rowOff>
    </xdr:from>
    <xdr:to>
      <xdr:col>13</xdr:col>
      <xdr:colOff>777301</xdr:colOff>
      <xdr:row>6</xdr:row>
      <xdr:rowOff>91521</xdr:rowOff>
    </xdr:to>
    <xdr:pic>
      <xdr:nvPicPr>
        <xdr:cNvPr id="8" name="Picture 7">
          <a:extLst>
            <a:ext uri="{FF2B5EF4-FFF2-40B4-BE49-F238E27FC236}">
              <a16:creationId xmlns:a16="http://schemas.microsoft.com/office/drawing/2014/main" id="{233150AA-9BE4-8564-B4CC-B12CE7A8ABB3}"/>
            </a:ext>
          </a:extLst>
        </xdr:cNvPr>
        <xdr:cNvPicPr>
          <a:picLocks noChangeAspect="1"/>
        </xdr:cNvPicPr>
      </xdr:nvPicPr>
      <xdr:blipFill>
        <a:blip xmlns:r="http://schemas.openxmlformats.org/officeDocument/2006/relationships" r:embed="rId7"/>
        <a:stretch>
          <a:fillRect/>
        </a:stretch>
      </xdr:blipFill>
      <xdr:spPr>
        <a:xfrm>
          <a:off x="12268200" y="198120"/>
          <a:ext cx="708721" cy="937341"/>
        </a:xfrm>
        <a:prstGeom prst="rect">
          <a:avLst/>
        </a:prstGeom>
      </xdr:spPr>
    </xdr:pic>
    <xdr:clientData/>
  </xdr:twoCellAnchor>
  <xdr:twoCellAnchor editAs="oneCell">
    <xdr:from>
      <xdr:col>14</xdr:col>
      <xdr:colOff>30480</xdr:colOff>
      <xdr:row>1</xdr:row>
      <xdr:rowOff>53340</xdr:rowOff>
    </xdr:from>
    <xdr:to>
      <xdr:col>14</xdr:col>
      <xdr:colOff>807787</xdr:colOff>
      <xdr:row>6</xdr:row>
      <xdr:rowOff>106761</xdr:rowOff>
    </xdr:to>
    <xdr:pic>
      <xdr:nvPicPr>
        <xdr:cNvPr id="9" name="Picture 8">
          <a:extLst>
            <a:ext uri="{FF2B5EF4-FFF2-40B4-BE49-F238E27FC236}">
              <a16:creationId xmlns:a16="http://schemas.microsoft.com/office/drawing/2014/main" id="{34A46A07-53B1-D1BE-081C-429781C0A7F5}"/>
            </a:ext>
          </a:extLst>
        </xdr:cNvPr>
        <xdr:cNvPicPr>
          <a:picLocks noChangeAspect="1"/>
        </xdr:cNvPicPr>
      </xdr:nvPicPr>
      <xdr:blipFill>
        <a:blip xmlns:r="http://schemas.openxmlformats.org/officeDocument/2006/relationships" r:embed="rId8"/>
        <a:stretch>
          <a:fillRect/>
        </a:stretch>
      </xdr:blipFill>
      <xdr:spPr>
        <a:xfrm>
          <a:off x="13068300" y="220980"/>
          <a:ext cx="777307" cy="9297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Z359"/>
  <sheetViews>
    <sheetView tabSelected="1" zoomScaleNormal="100" workbookViewId="0"/>
  </sheetViews>
  <sheetFormatPr defaultRowHeight="13.2"/>
  <cols>
    <col min="2" max="2" width="15.6640625" customWidth="1"/>
    <col min="3" max="3" width="67.88671875" customWidth="1"/>
    <col min="4" max="4" width="13.33203125" customWidth="1"/>
    <col min="5" max="5" width="12.6640625" customWidth="1"/>
    <col min="6" max="6" width="15.33203125" customWidth="1"/>
    <col min="7" max="8" width="14.6640625" customWidth="1"/>
    <col min="9" max="9" width="32.44140625" style="10" customWidth="1"/>
    <col min="10" max="10" width="18.109375" customWidth="1"/>
    <col min="11" max="11" width="16.88671875" customWidth="1"/>
    <col min="12" max="12" width="12" customWidth="1"/>
    <col min="13" max="13" width="37.109375" customWidth="1"/>
    <col min="14" max="14" width="16.33203125" customWidth="1"/>
    <col min="15" max="15" width="17.5546875" customWidth="1"/>
    <col min="16" max="16" width="12.5546875" customWidth="1"/>
    <col min="17" max="17" width="21.109375" customWidth="1"/>
    <col min="18" max="18" width="16.6640625" customWidth="1"/>
    <col min="19" max="19" width="18.33203125" customWidth="1"/>
    <col min="20" max="20" width="12.33203125" customWidth="1"/>
    <col min="21" max="21" width="18.6640625" customWidth="1"/>
    <col min="22" max="22" width="16.109375" customWidth="1"/>
    <col min="23" max="23" width="19" customWidth="1"/>
    <col min="24" max="24" width="23.44140625" customWidth="1"/>
  </cols>
  <sheetData>
    <row r="2" spans="2:26" ht="16.8" customHeight="1">
      <c r="B2" s="10" t="s">
        <v>0</v>
      </c>
      <c r="C2" s="10"/>
      <c r="D2" s="10"/>
      <c r="E2" s="10" t="s">
        <v>1</v>
      </c>
      <c r="F2" s="10" t="s">
        <v>1</v>
      </c>
      <c r="G2" s="10" t="s">
        <v>2</v>
      </c>
      <c r="H2" s="10"/>
      <c r="J2" s="10"/>
      <c r="K2" s="65" t="s">
        <v>3</v>
      </c>
      <c r="L2" s="64"/>
      <c r="M2" s="91" t="s">
        <v>4</v>
      </c>
      <c r="N2" s="91"/>
      <c r="O2" s="91"/>
      <c r="Z2" s="100"/>
    </row>
    <row r="3" spans="2:26" ht="16.8" customHeight="1" thickBot="1">
      <c r="B3" s="25" t="s">
        <v>5</v>
      </c>
      <c r="C3" s="25" t="s">
        <v>6</v>
      </c>
      <c r="D3" s="25" t="s">
        <v>2</v>
      </c>
      <c r="E3" s="26" t="s">
        <v>7</v>
      </c>
      <c r="F3" s="26" t="s">
        <v>8</v>
      </c>
      <c r="G3" s="25" t="s">
        <v>9</v>
      </c>
      <c r="H3" s="25" t="s">
        <v>10</v>
      </c>
      <c r="I3" s="25" t="s">
        <v>11</v>
      </c>
      <c r="J3" s="25" t="s">
        <v>12</v>
      </c>
      <c r="K3" s="25" t="s">
        <v>13</v>
      </c>
      <c r="L3" s="64"/>
      <c r="M3" s="91" t="s">
        <v>14</v>
      </c>
      <c r="N3" s="91"/>
      <c r="O3" s="91"/>
      <c r="P3" s="91"/>
    </row>
    <row r="4" spans="2:26" ht="16.2" customHeight="1">
      <c r="B4" s="16">
        <f>Tiers!B3</f>
        <v>0</v>
      </c>
      <c r="C4" s="17" t="str">
        <f>Tiers!Y3</f>
        <v>||||||||| x 1</v>
      </c>
      <c r="D4" s="73">
        <f>Tiers!C3</f>
        <v>0</v>
      </c>
      <c r="E4" s="36">
        <f>F4-SUM(E5:E358)</f>
        <v>1466392</v>
      </c>
      <c r="F4" s="92">
        <f t="shared" ref="F4:F67" si="0">$N$6</f>
        <v>2000000</v>
      </c>
      <c r="G4" s="73">
        <f t="shared" ref="G4:G67" si="1">E4*D4</f>
        <v>0</v>
      </c>
      <c r="H4" s="73">
        <f t="shared" ref="H4:H67" si="2">F4/E4</f>
        <v>1.3638917833703403</v>
      </c>
      <c r="I4" s="20" t="s">
        <v>15</v>
      </c>
      <c r="J4" s="36">
        <f t="shared" ref="J4:J67" si="3">ROUND(IF(D4=0,($N$17*0.3),((((N$17*0.7)-(N$19*N$18)))*(E4/N$14)+$N$19)),0)</f>
        <v>1800</v>
      </c>
      <c r="K4" s="66"/>
      <c r="M4" s="91" t="s">
        <v>16</v>
      </c>
      <c r="N4" s="91"/>
      <c r="O4" s="91"/>
      <c r="P4" s="91"/>
    </row>
    <row r="5" spans="2:26" ht="16.2" customHeight="1">
      <c r="B5" s="16">
        <f>Tiers!B4</f>
        <v>1</v>
      </c>
      <c r="C5" s="17" t="str">
        <f>Tiers!Y4</f>
        <v>main-0||||||||| x 1</v>
      </c>
      <c r="D5" s="73">
        <f>Tiers!C4</f>
        <v>0.1</v>
      </c>
      <c r="E5" s="36">
        <v>70000</v>
      </c>
      <c r="F5" s="36">
        <f t="shared" si="0"/>
        <v>2000000</v>
      </c>
      <c r="G5" s="73">
        <f t="shared" si="1"/>
        <v>7000</v>
      </c>
      <c r="H5" s="73">
        <f t="shared" si="2"/>
        <v>28.571428571428573</v>
      </c>
      <c r="I5" s="21" t="str">
        <f>'Data Analysis'!BM3 &amp; " | " &amp; 'Data Analysis'!BN3</f>
        <v>Less than Stake | Single Win</v>
      </c>
      <c r="J5" s="36">
        <f t="shared" si="3"/>
        <v>278</v>
      </c>
      <c r="K5" s="66">
        <f t="shared" ref="K5:K68" si="4">G5/N$9</f>
        <v>4.216867469879519E-3</v>
      </c>
      <c r="M5" s="1"/>
      <c r="N5" s="3"/>
      <c r="O5" s="1"/>
      <c r="P5" s="91"/>
    </row>
    <row r="6" spans="2:26">
      <c r="B6" s="16">
        <f>Tiers!B5</f>
        <v>2</v>
      </c>
      <c r="C6" s="17" t="str">
        <f>Tiers!Y5</f>
        <v>main-1||||||||| x 1</v>
      </c>
      <c r="D6" s="73">
        <f>Tiers!C5</f>
        <v>0.2</v>
      </c>
      <c r="E6" s="36">
        <v>40003</v>
      </c>
      <c r="F6" s="36">
        <f t="shared" si="0"/>
        <v>2000000</v>
      </c>
      <c r="G6" s="73">
        <f t="shared" si="1"/>
        <v>8000.6</v>
      </c>
      <c r="H6" s="73">
        <f t="shared" si="2"/>
        <v>49.99625028122891</v>
      </c>
      <c r="I6" s="21" t="str">
        <f>'Data Analysis'!BM4 &amp; " | " &amp; 'Data Analysis'!BN4</f>
        <v>Less than Stake | Single Win</v>
      </c>
      <c r="J6" s="36">
        <f t="shared" si="3"/>
        <v>162</v>
      </c>
      <c r="K6" s="66">
        <f t="shared" si="4"/>
        <v>4.8196385542168688E-3</v>
      </c>
      <c r="M6" s="2" t="s">
        <v>17</v>
      </c>
      <c r="N6" s="48">
        <v>2000000</v>
      </c>
      <c r="P6" s="1"/>
    </row>
    <row r="7" spans="2:26">
      <c r="B7" s="16">
        <f>Tiers!B6</f>
        <v>3</v>
      </c>
      <c r="C7" s="17" t="str">
        <f>Tiers!Y6</f>
        <v>main-2||||||||| x 1</v>
      </c>
      <c r="D7" s="73">
        <f>Tiers!C6</f>
        <v>0.5</v>
      </c>
      <c r="E7" s="36">
        <v>20001</v>
      </c>
      <c r="F7" s="36">
        <f t="shared" si="0"/>
        <v>2000000</v>
      </c>
      <c r="G7" s="73">
        <f t="shared" si="1"/>
        <v>10000.5</v>
      </c>
      <c r="H7" s="73">
        <f t="shared" si="2"/>
        <v>99.995000249987498</v>
      </c>
      <c r="I7" s="21" t="str">
        <f>'Data Analysis'!BM5 &amp; " | " &amp; 'Data Analysis'!BN5</f>
        <v>Less than Stake | Single Win</v>
      </c>
      <c r="J7" s="36">
        <f t="shared" si="3"/>
        <v>84</v>
      </c>
      <c r="K7" s="66">
        <f t="shared" si="4"/>
        <v>6.0243975903614471E-3</v>
      </c>
      <c r="M7" s="2" t="s">
        <v>18</v>
      </c>
      <c r="N7" s="49">
        <v>1</v>
      </c>
    </row>
    <row r="8" spans="2:26">
      <c r="B8" s="16">
        <f>Tiers!B7</f>
        <v>4</v>
      </c>
      <c r="C8" s="17" t="str">
        <f>Tiers!Y7</f>
        <v>main-3||||||||| x 1</v>
      </c>
      <c r="D8" s="73">
        <f>Tiers!C7</f>
        <v>1</v>
      </c>
      <c r="E8" s="36">
        <v>66424</v>
      </c>
      <c r="F8" s="36">
        <f t="shared" si="0"/>
        <v>2000000</v>
      </c>
      <c r="G8" s="73">
        <f t="shared" si="1"/>
        <v>66424</v>
      </c>
      <c r="H8" s="73">
        <f t="shared" si="2"/>
        <v>30.109598940142117</v>
      </c>
      <c r="I8" s="21" t="str">
        <f>'Data Analysis'!BM6 &amp; " | " &amp; 'Data Analysis'!BN6</f>
        <v>Stake Back | Single Win</v>
      </c>
      <c r="J8" s="36">
        <f t="shared" si="3"/>
        <v>264</v>
      </c>
      <c r="K8" s="66">
        <f t="shared" si="4"/>
        <v>4.001445783132531E-2</v>
      </c>
      <c r="M8" s="2" t="s">
        <v>19</v>
      </c>
      <c r="N8" s="49">
        <f>N6*N7</f>
        <v>2000000</v>
      </c>
    </row>
    <row r="9" spans="2:26">
      <c r="B9" s="16">
        <f>Tiers!B8</f>
        <v>5</v>
      </c>
      <c r="C9" s="17" t="str">
        <f>Tiers!Y8</f>
        <v>main-4||||||||| x 1</v>
      </c>
      <c r="D9" s="73">
        <f>Tiers!C8</f>
        <v>1.5</v>
      </c>
      <c r="E9" s="36">
        <v>30000</v>
      </c>
      <c r="F9" s="36">
        <f t="shared" si="0"/>
        <v>2000000</v>
      </c>
      <c r="G9" s="73">
        <f t="shared" si="1"/>
        <v>45000</v>
      </c>
      <c r="H9" s="73">
        <f t="shared" si="2"/>
        <v>66.666666666666671</v>
      </c>
      <c r="I9" s="21" t="str">
        <f>'Data Analysis'!BM7 &amp; " | " &amp; 'Data Analysis'!BN7</f>
        <v>Standard Win | Single Win</v>
      </c>
      <c r="J9" s="36">
        <f t="shared" si="3"/>
        <v>123</v>
      </c>
      <c r="K9" s="66">
        <f t="shared" si="4"/>
        <v>2.7108433734939767E-2</v>
      </c>
      <c r="M9" s="2" t="s">
        <v>20</v>
      </c>
      <c r="N9" s="49">
        <f>G359</f>
        <v>1659999.9999999995</v>
      </c>
      <c r="P9" s="69"/>
    </row>
    <row r="10" spans="2:26">
      <c r="B10" s="16">
        <f>Tiers!B9</f>
        <v>6</v>
      </c>
      <c r="C10" s="17" t="str">
        <f>Tiers!Y9</f>
        <v>main-5||||||||| x 1</v>
      </c>
      <c r="D10" s="73">
        <f>Tiers!C9</f>
        <v>2</v>
      </c>
      <c r="E10" s="36">
        <v>15000</v>
      </c>
      <c r="F10" s="36">
        <f t="shared" si="0"/>
        <v>2000000</v>
      </c>
      <c r="G10" s="73">
        <f t="shared" si="1"/>
        <v>30000</v>
      </c>
      <c r="H10" s="73">
        <f t="shared" si="2"/>
        <v>133.33333333333334</v>
      </c>
      <c r="I10" s="21" t="str">
        <f>'Data Analysis'!BM8 &amp; " | " &amp; 'Data Analysis'!BN8</f>
        <v>Standard Win | Single Win</v>
      </c>
      <c r="J10" s="36">
        <f t="shared" si="3"/>
        <v>64</v>
      </c>
      <c r="K10" s="66">
        <f t="shared" si="4"/>
        <v>1.8072289156626512E-2</v>
      </c>
      <c r="M10" s="2" t="s">
        <v>21</v>
      </c>
      <c r="N10" s="51">
        <v>0.83</v>
      </c>
      <c r="P10" s="67"/>
    </row>
    <row r="11" spans="2:26">
      <c r="B11" s="16">
        <f>Tiers!B10</f>
        <v>7</v>
      </c>
      <c r="C11" s="17" t="str">
        <f>Tiers!Y10</f>
        <v>main-6||||||||| x 1</v>
      </c>
      <c r="D11" s="73">
        <f>Tiers!C10</f>
        <v>2.5</v>
      </c>
      <c r="E11" s="36">
        <v>3000</v>
      </c>
      <c r="F11" s="36">
        <f t="shared" si="0"/>
        <v>2000000</v>
      </c>
      <c r="G11" s="73">
        <f t="shared" si="1"/>
        <v>7500</v>
      </c>
      <c r="H11" s="73">
        <f t="shared" si="2"/>
        <v>666.66666666666663</v>
      </c>
      <c r="I11" s="21" t="str">
        <f>'Data Analysis'!BM9 &amp; " | " &amp; 'Data Analysis'!BN9</f>
        <v>Standard Win | Single Win</v>
      </c>
      <c r="J11" s="36">
        <f t="shared" si="3"/>
        <v>18</v>
      </c>
      <c r="K11" s="66">
        <f t="shared" si="4"/>
        <v>4.518072289156628E-3</v>
      </c>
      <c r="M11" s="2" t="s">
        <v>22</v>
      </c>
      <c r="N11" s="51">
        <f>N9/N8</f>
        <v>0.82999999999999974</v>
      </c>
      <c r="O11" t="str">
        <f>IF(N11=N10, "okay", "error")</f>
        <v>okay</v>
      </c>
    </row>
    <row r="12" spans="2:26">
      <c r="B12" s="16">
        <f>Tiers!B11</f>
        <v>8</v>
      </c>
      <c r="C12" s="17" t="str">
        <f>Tiers!Y11</f>
        <v>main-7||||||||| x 1</v>
      </c>
      <c r="D12" s="73">
        <f>Tiers!C11</f>
        <v>3</v>
      </c>
      <c r="E12" s="36">
        <v>1000</v>
      </c>
      <c r="F12" s="36">
        <f t="shared" si="0"/>
        <v>2000000</v>
      </c>
      <c r="G12" s="73">
        <f t="shared" si="1"/>
        <v>3000</v>
      </c>
      <c r="H12" s="73">
        <f t="shared" si="2"/>
        <v>2000</v>
      </c>
      <c r="I12" s="21" t="str">
        <f>'Data Analysis'!BM10 &amp; " | " &amp; 'Data Analysis'!BN10</f>
        <v>Standard Win | Single Win</v>
      </c>
      <c r="J12" s="36">
        <f t="shared" si="3"/>
        <v>10</v>
      </c>
      <c r="K12" s="66">
        <f t="shared" si="4"/>
        <v>1.8072289156626511E-3</v>
      </c>
      <c r="M12" s="2" t="s">
        <v>23</v>
      </c>
      <c r="N12" s="51">
        <f>'Progressive Jackpots'!C30+'Progressive Jackpots'!C31</f>
        <v>0.04</v>
      </c>
    </row>
    <row r="13" spans="2:26">
      <c r="B13" s="16">
        <f>Tiers!B12</f>
        <v>9</v>
      </c>
      <c r="C13" s="17" t="str">
        <f>Tiers!Y12</f>
        <v>main-8||||||||| x 1</v>
      </c>
      <c r="D13" s="73">
        <f>Tiers!C12</f>
        <v>5</v>
      </c>
      <c r="E13" s="36">
        <v>967</v>
      </c>
      <c r="F13" s="36">
        <f t="shared" si="0"/>
        <v>2000000</v>
      </c>
      <c r="G13" s="73">
        <f t="shared" si="1"/>
        <v>4835</v>
      </c>
      <c r="H13" s="73">
        <f t="shared" si="2"/>
        <v>2068.2523267838678</v>
      </c>
      <c r="I13" s="21" t="str">
        <f>'Data Analysis'!BM11 &amp; " | " &amp; 'Data Analysis'!BN11</f>
        <v>Standard Win | Single Win</v>
      </c>
      <c r="J13" s="36">
        <f t="shared" si="3"/>
        <v>10</v>
      </c>
      <c r="K13" s="66">
        <f t="shared" si="4"/>
        <v>2.9126506024096392E-3</v>
      </c>
      <c r="M13" s="2" t="s">
        <v>24</v>
      </c>
      <c r="N13" s="51">
        <f>N12+N11</f>
        <v>0.86999999999999977</v>
      </c>
    </row>
    <row r="14" spans="2:26">
      <c r="B14" s="16">
        <f>Tiers!B13</f>
        <v>10</v>
      </c>
      <c r="C14" s="17" t="str">
        <f>Tiers!Y13</f>
        <v>main-9||||||||| x 1</v>
      </c>
      <c r="D14" s="73">
        <f>Tiers!C13</f>
        <v>10</v>
      </c>
      <c r="E14" s="36">
        <v>484</v>
      </c>
      <c r="F14" s="36">
        <f t="shared" si="0"/>
        <v>2000000</v>
      </c>
      <c r="G14" s="73">
        <f t="shared" si="1"/>
        <v>4840</v>
      </c>
      <c r="H14" s="73">
        <f t="shared" si="2"/>
        <v>4132.2314049586776</v>
      </c>
      <c r="I14" s="21" t="str">
        <f>'Data Analysis'!BM12 &amp; " | " &amp; 'Data Analysis'!BN12</f>
        <v>Big Win | Single Win</v>
      </c>
      <c r="J14" s="36">
        <f t="shared" si="3"/>
        <v>8</v>
      </c>
      <c r="K14" s="66">
        <f t="shared" si="4"/>
        <v>2.9156626506024103E-3</v>
      </c>
      <c r="M14" s="2" t="s">
        <v>25</v>
      </c>
      <c r="N14" s="50">
        <f>SUM(E5:E358)</f>
        <v>533608</v>
      </c>
    </row>
    <row r="15" spans="2:26">
      <c r="B15" s="16">
        <f>Tiers!B14</f>
        <v>11</v>
      </c>
      <c r="C15" s="17" t="str">
        <f>Tiers!Y14</f>
        <v>main-10||||||||| x 1</v>
      </c>
      <c r="D15" s="73">
        <f>Tiers!C14</f>
        <v>1</v>
      </c>
      <c r="E15" s="36">
        <v>67382</v>
      </c>
      <c r="F15" s="36">
        <f t="shared" si="0"/>
        <v>2000000</v>
      </c>
      <c r="G15" s="73">
        <f t="shared" si="1"/>
        <v>67382</v>
      </c>
      <c r="H15" s="73">
        <f t="shared" si="2"/>
        <v>29.681517319165355</v>
      </c>
      <c r="I15" s="21" t="str">
        <f>'Data Analysis'!BM13 &amp; " | " &amp; 'Data Analysis'!BN13</f>
        <v>Stake Back | Single Win</v>
      </c>
      <c r="J15" s="36">
        <f t="shared" si="3"/>
        <v>268</v>
      </c>
      <c r="K15" s="66">
        <f t="shared" si="4"/>
        <v>4.0591566265060254E-2</v>
      </c>
      <c r="M15" s="2" t="s">
        <v>26</v>
      </c>
      <c r="N15" s="49">
        <f>N6/N14</f>
        <v>3.748069744081798</v>
      </c>
    </row>
    <row r="16" spans="2:26">
      <c r="B16" s="16">
        <f>Tiers!B15</f>
        <v>12</v>
      </c>
      <c r="C16" s="17" t="str">
        <f>Tiers!Y15</f>
        <v>main-11||||||||| x 1</v>
      </c>
      <c r="D16" s="73">
        <f>Tiers!C15</f>
        <v>1.5</v>
      </c>
      <c r="E16" s="36">
        <v>30000</v>
      </c>
      <c r="F16" s="36">
        <f t="shared" si="0"/>
        <v>2000000</v>
      </c>
      <c r="G16" s="73">
        <f t="shared" si="1"/>
        <v>45000</v>
      </c>
      <c r="H16" s="73">
        <f t="shared" si="2"/>
        <v>66.666666666666671</v>
      </c>
      <c r="I16" s="21" t="str">
        <f>'Data Analysis'!BM14 &amp; " | " &amp; 'Data Analysis'!BN14</f>
        <v>Standard Win | Single Win</v>
      </c>
      <c r="J16" s="36">
        <f t="shared" si="3"/>
        <v>123</v>
      </c>
      <c r="K16" s="66">
        <f t="shared" si="4"/>
        <v>2.7108433734939767E-2</v>
      </c>
    </row>
    <row r="17" spans="2:16">
      <c r="B17" s="16">
        <f>Tiers!B16</f>
        <v>13</v>
      </c>
      <c r="C17" s="17" t="str">
        <f>Tiers!Y16</f>
        <v>main-12||||||||| x 1</v>
      </c>
      <c r="D17" s="73">
        <f>Tiers!C16</f>
        <v>2</v>
      </c>
      <c r="E17" s="36">
        <v>15000</v>
      </c>
      <c r="F17" s="36">
        <f t="shared" si="0"/>
        <v>2000000</v>
      </c>
      <c r="G17" s="73">
        <f t="shared" si="1"/>
        <v>30000</v>
      </c>
      <c r="H17" s="73">
        <f t="shared" si="2"/>
        <v>133.33333333333334</v>
      </c>
      <c r="I17" s="21" t="str">
        <f>'Data Analysis'!BM15 &amp; " | " &amp; 'Data Analysis'!BN15</f>
        <v>Standard Win | Single Win</v>
      </c>
      <c r="J17" s="36">
        <f t="shared" si="3"/>
        <v>64</v>
      </c>
      <c r="K17" s="66">
        <f t="shared" si="4"/>
        <v>1.8072289156626512E-2</v>
      </c>
      <c r="M17" s="2" t="s">
        <v>27</v>
      </c>
      <c r="N17" s="50">
        <v>6000</v>
      </c>
    </row>
    <row r="18" spans="2:16">
      <c r="B18" s="16">
        <f>Tiers!B17</f>
        <v>14</v>
      </c>
      <c r="C18" s="17" t="str">
        <f>Tiers!Y17</f>
        <v>main-13||||||||| x 1</v>
      </c>
      <c r="D18" s="73">
        <f>Tiers!C17</f>
        <v>5</v>
      </c>
      <c r="E18" s="36">
        <v>967</v>
      </c>
      <c r="F18" s="36">
        <f t="shared" si="0"/>
        <v>2000000</v>
      </c>
      <c r="G18" s="73">
        <f t="shared" si="1"/>
        <v>4835</v>
      </c>
      <c r="H18" s="73">
        <f t="shared" si="2"/>
        <v>2068.2523267838678</v>
      </c>
      <c r="I18" s="21" t="str">
        <f>'Data Analysis'!BM16 &amp; " | " &amp; 'Data Analysis'!BN16</f>
        <v>Standard Win | Single Win</v>
      </c>
      <c r="J18" s="36">
        <f t="shared" si="3"/>
        <v>10</v>
      </c>
      <c r="K18" s="66">
        <f t="shared" si="4"/>
        <v>2.9126506024096392E-3</v>
      </c>
      <c r="M18" s="2" t="s">
        <v>28</v>
      </c>
      <c r="N18" s="50">
        <f>COUNT(E5:E358)</f>
        <v>354</v>
      </c>
    </row>
    <row r="19" spans="2:16">
      <c r="B19" s="16">
        <f>Tiers!B18</f>
        <v>15</v>
      </c>
      <c r="C19" s="17" t="str">
        <f>Tiers!Y18</f>
        <v>main-14||||||||| x 1</v>
      </c>
      <c r="D19" s="73">
        <f>Tiers!C18</f>
        <v>10</v>
      </c>
      <c r="E19" s="36">
        <v>484</v>
      </c>
      <c r="F19" s="36">
        <f t="shared" si="0"/>
        <v>2000000</v>
      </c>
      <c r="G19" s="73">
        <f t="shared" si="1"/>
        <v>4840</v>
      </c>
      <c r="H19" s="73">
        <f t="shared" si="2"/>
        <v>4132.2314049586776</v>
      </c>
      <c r="I19" s="21" t="str">
        <f>'Data Analysis'!BM17 &amp; " | " &amp; 'Data Analysis'!BN17</f>
        <v>Big Win | Single Win</v>
      </c>
      <c r="J19" s="36">
        <f t="shared" si="3"/>
        <v>8</v>
      </c>
      <c r="K19" s="66">
        <f t="shared" si="4"/>
        <v>2.9156626506024103E-3</v>
      </c>
      <c r="M19" s="2" t="s">
        <v>29</v>
      </c>
      <c r="N19" s="50">
        <v>6</v>
      </c>
    </row>
    <row r="20" spans="2:16">
      <c r="B20" s="16">
        <f>Tiers!B19</f>
        <v>16</v>
      </c>
      <c r="C20" s="17" t="str">
        <f>Tiers!Y19</f>
        <v>main-15||||||||| x 1</v>
      </c>
      <c r="D20" s="73">
        <f>Tiers!C19</f>
        <v>15</v>
      </c>
      <c r="E20" s="36">
        <v>323</v>
      </c>
      <c r="F20" s="36">
        <f t="shared" si="0"/>
        <v>2000000</v>
      </c>
      <c r="G20" s="73">
        <f t="shared" si="1"/>
        <v>4845</v>
      </c>
      <c r="H20" s="73">
        <f t="shared" si="2"/>
        <v>6191.9504643962846</v>
      </c>
      <c r="I20" s="21" t="str">
        <f>'Data Analysis'!BM18 &amp; " | " &amp; 'Data Analysis'!BN18</f>
        <v>Big Win | Single Win</v>
      </c>
      <c r="J20" s="36">
        <f t="shared" si="3"/>
        <v>7</v>
      </c>
      <c r="K20" s="66">
        <f t="shared" si="4"/>
        <v>2.9186746987951814E-3</v>
      </c>
    </row>
    <row r="21" spans="2:16">
      <c r="B21" s="16">
        <f>Tiers!B20</f>
        <v>17</v>
      </c>
      <c r="C21" s="17" t="str">
        <f>Tiers!Y20</f>
        <v>main-16||||||||| x 1</v>
      </c>
      <c r="D21" s="73">
        <f>Tiers!C20</f>
        <v>20</v>
      </c>
      <c r="E21" s="36">
        <v>145</v>
      </c>
      <c r="F21" s="36">
        <f t="shared" si="0"/>
        <v>2000000</v>
      </c>
      <c r="G21" s="73">
        <f t="shared" si="1"/>
        <v>2900</v>
      </c>
      <c r="H21" s="73">
        <f t="shared" si="2"/>
        <v>13793.103448275862</v>
      </c>
      <c r="I21" s="21" t="str">
        <f>'Data Analysis'!BM19 &amp; " | " &amp; 'Data Analysis'!BN19</f>
        <v>Big Win | Single Win</v>
      </c>
      <c r="J21" s="36">
        <f t="shared" si="3"/>
        <v>7</v>
      </c>
      <c r="K21" s="66">
        <f t="shared" si="4"/>
        <v>1.7469879518072294E-3</v>
      </c>
      <c r="M21" s="2" t="s">
        <v>30</v>
      </c>
      <c r="N21" s="112">
        <f>N8*N10-N9</f>
        <v>0</v>
      </c>
    </row>
    <row r="22" spans="2:16">
      <c r="B22" s="16">
        <f>Tiers!B21</f>
        <v>18</v>
      </c>
      <c r="C22" s="17" t="str">
        <f>Tiers!Y21</f>
        <v>main-17||||||||| x 1</v>
      </c>
      <c r="D22" s="73">
        <f>Tiers!C21</f>
        <v>50</v>
      </c>
      <c r="E22" s="36">
        <v>10</v>
      </c>
      <c r="F22" s="36">
        <f t="shared" si="0"/>
        <v>2000000</v>
      </c>
      <c r="G22" s="73">
        <f t="shared" si="1"/>
        <v>500</v>
      </c>
      <c r="H22" s="73">
        <f t="shared" si="2"/>
        <v>200000</v>
      </c>
      <c r="I22" s="21" t="str">
        <f>'Data Analysis'!BM20 &amp; " | " &amp; 'Data Analysis'!BN20</f>
        <v>Huge Win | Single Win</v>
      </c>
      <c r="J22" s="36">
        <f t="shared" si="3"/>
        <v>6</v>
      </c>
      <c r="K22" s="66">
        <f t="shared" si="4"/>
        <v>3.0120481927710851E-4</v>
      </c>
      <c r="M22" s="2" t="s">
        <v>31</v>
      </c>
      <c r="N22" s="93"/>
    </row>
    <row r="23" spans="2:16">
      <c r="B23" s="16">
        <f>Tiers!B22</f>
        <v>19</v>
      </c>
      <c r="C23" s="17" t="str">
        <f>Tiers!Y22</f>
        <v>main-18||||||||| x 1</v>
      </c>
      <c r="D23" s="73">
        <f>Tiers!C22</f>
        <v>100</v>
      </c>
      <c r="E23" s="36">
        <v>3</v>
      </c>
      <c r="F23" s="36">
        <f t="shared" si="0"/>
        <v>2000000</v>
      </c>
      <c r="G23" s="73">
        <f t="shared" si="1"/>
        <v>300</v>
      </c>
      <c r="H23" s="73">
        <f t="shared" si="2"/>
        <v>666666.66666666663</v>
      </c>
      <c r="I23" s="21" t="str">
        <f>'Data Analysis'!BM21 &amp; " | " &amp; 'Data Analysis'!BN21</f>
        <v>Huge Win | Single Win</v>
      </c>
      <c r="J23" s="36">
        <f t="shared" si="3"/>
        <v>6</v>
      </c>
      <c r="K23" s="66">
        <f t="shared" si="4"/>
        <v>1.8072289156626512E-4</v>
      </c>
    </row>
    <row r="24" spans="2:16">
      <c r="B24" s="16">
        <f>Tiers!B23</f>
        <v>20</v>
      </c>
      <c r="C24" s="17" t="str">
        <f>Tiers!Y23</f>
        <v>main-19||||||||| x 1</v>
      </c>
      <c r="D24" s="73">
        <f>Tiers!C23</f>
        <v>200</v>
      </c>
      <c r="E24" s="36">
        <v>2</v>
      </c>
      <c r="F24" s="36">
        <f t="shared" si="0"/>
        <v>2000000</v>
      </c>
      <c r="G24" s="73">
        <f t="shared" si="1"/>
        <v>400</v>
      </c>
      <c r="H24" s="73">
        <f t="shared" si="2"/>
        <v>1000000</v>
      </c>
      <c r="I24" s="21" t="str">
        <f>'Data Analysis'!BM22 &amp; " | " &amp; 'Data Analysis'!BN22</f>
        <v>Huge Win | Single Win</v>
      </c>
      <c r="J24" s="36">
        <f t="shared" si="3"/>
        <v>6</v>
      </c>
      <c r="K24" s="66">
        <f t="shared" si="4"/>
        <v>2.4096385542168682E-4</v>
      </c>
    </row>
    <row r="25" spans="2:16">
      <c r="B25" s="16">
        <f>Tiers!B24</f>
        <v>21</v>
      </c>
      <c r="C25" s="17" t="str">
        <f>Tiers!Y24</f>
        <v>main-20||||||||| x 1</v>
      </c>
      <c r="D25" s="73">
        <f>Tiers!C24</f>
        <v>1.5</v>
      </c>
      <c r="E25" s="36">
        <v>30000</v>
      </c>
      <c r="F25" s="36">
        <f t="shared" si="0"/>
        <v>2000000</v>
      </c>
      <c r="G25" s="73">
        <f t="shared" si="1"/>
        <v>45000</v>
      </c>
      <c r="H25" s="73">
        <f t="shared" si="2"/>
        <v>66.666666666666671</v>
      </c>
      <c r="I25" s="21" t="str">
        <f>'Data Analysis'!BM23 &amp; " | " &amp; 'Data Analysis'!BN23</f>
        <v>Standard Win | Single Win</v>
      </c>
      <c r="J25" s="36">
        <f t="shared" si="3"/>
        <v>123</v>
      </c>
      <c r="K25" s="66">
        <f t="shared" si="4"/>
        <v>2.7108433734939767E-2</v>
      </c>
      <c r="M25" s="292" t="s">
        <v>32</v>
      </c>
      <c r="N25" s="293"/>
      <c r="O25" s="293"/>
      <c r="P25" s="293"/>
    </row>
    <row r="26" spans="2:16">
      <c r="B26" s="16">
        <f>Tiers!B25</f>
        <v>22</v>
      </c>
      <c r="C26" s="17" t="str">
        <f>Tiers!Y25</f>
        <v>main-21||||||||| x 1</v>
      </c>
      <c r="D26" s="73">
        <f>Tiers!C25</f>
        <v>2</v>
      </c>
      <c r="E26" s="36">
        <v>15000</v>
      </c>
      <c r="F26" s="36">
        <f t="shared" si="0"/>
        <v>2000000</v>
      </c>
      <c r="G26" s="73">
        <f t="shared" si="1"/>
        <v>30000</v>
      </c>
      <c r="H26" s="73">
        <f t="shared" si="2"/>
        <v>133.33333333333334</v>
      </c>
      <c r="I26" s="21" t="str">
        <f>'Data Analysis'!BM24 &amp; " | " &amp; 'Data Analysis'!BN24</f>
        <v>Standard Win | Single Win</v>
      </c>
      <c r="J26" s="36">
        <f t="shared" si="3"/>
        <v>64</v>
      </c>
      <c r="K26" s="66">
        <f t="shared" si="4"/>
        <v>1.8072289156626512E-2</v>
      </c>
      <c r="M26" s="293"/>
      <c r="N26" s="293"/>
      <c r="O26" s="293"/>
      <c r="P26" s="293"/>
    </row>
    <row r="27" spans="2:16">
      <c r="B27" s="16">
        <f>Tiers!B26</f>
        <v>23</v>
      </c>
      <c r="C27" s="17" t="str">
        <f>Tiers!Y26</f>
        <v>main-22||||||||| x 1</v>
      </c>
      <c r="D27" s="73">
        <f>Tiers!C26</f>
        <v>5</v>
      </c>
      <c r="E27" s="36">
        <v>1000</v>
      </c>
      <c r="F27" s="36">
        <f t="shared" si="0"/>
        <v>2000000</v>
      </c>
      <c r="G27" s="73">
        <f t="shared" si="1"/>
        <v>5000</v>
      </c>
      <c r="H27" s="73">
        <f t="shared" si="2"/>
        <v>2000</v>
      </c>
      <c r="I27" s="21" t="str">
        <f>'Data Analysis'!BM25 &amp; " | " &amp; 'Data Analysis'!BN25</f>
        <v>Standard Win | Single Win</v>
      </c>
      <c r="J27" s="36">
        <f t="shared" si="3"/>
        <v>10</v>
      </c>
      <c r="K27" s="66">
        <f t="shared" si="4"/>
        <v>3.0120481927710854E-3</v>
      </c>
      <c r="M27" s="293"/>
      <c r="N27" s="293"/>
      <c r="O27" s="293"/>
      <c r="P27" s="293"/>
    </row>
    <row r="28" spans="2:16">
      <c r="B28" s="16">
        <f>Tiers!B27</f>
        <v>24</v>
      </c>
      <c r="C28" s="17" t="str">
        <f>Tiers!Y27</f>
        <v>main-23||||||||| x 1</v>
      </c>
      <c r="D28" s="73">
        <f>Tiers!C27</f>
        <v>10</v>
      </c>
      <c r="E28" s="36">
        <v>500</v>
      </c>
      <c r="F28" s="36">
        <f t="shared" si="0"/>
        <v>2000000</v>
      </c>
      <c r="G28" s="73">
        <f t="shared" si="1"/>
        <v>5000</v>
      </c>
      <c r="H28" s="73">
        <f t="shared" si="2"/>
        <v>4000</v>
      </c>
      <c r="I28" s="21" t="str">
        <f>'Data Analysis'!BM26 &amp; " | " &amp; 'Data Analysis'!BN26</f>
        <v>Big Win | Single Win</v>
      </c>
      <c r="J28" s="36">
        <f t="shared" si="3"/>
        <v>8</v>
      </c>
      <c r="K28" s="66">
        <f t="shared" si="4"/>
        <v>3.0120481927710854E-3</v>
      </c>
      <c r="M28" s="293"/>
      <c r="N28" s="293"/>
      <c r="O28" s="293"/>
      <c r="P28" s="293"/>
    </row>
    <row r="29" spans="2:16">
      <c r="B29" s="16">
        <f>Tiers!B28</f>
        <v>25</v>
      </c>
      <c r="C29" s="17" t="str">
        <f>Tiers!Y28</f>
        <v>main-24||||||||| x 1</v>
      </c>
      <c r="D29" s="73">
        <f>Tiers!C28</f>
        <v>15</v>
      </c>
      <c r="E29" s="36">
        <v>320</v>
      </c>
      <c r="F29" s="36">
        <f t="shared" si="0"/>
        <v>2000000</v>
      </c>
      <c r="G29" s="73">
        <f t="shared" si="1"/>
        <v>4800</v>
      </c>
      <c r="H29" s="73">
        <f t="shared" si="2"/>
        <v>6250</v>
      </c>
      <c r="I29" s="21" t="str">
        <f>'Data Analysis'!BM27 &amp; " | " &amp; 'Data Analysis'!BN27</f>
        <v>Big Win | Single Win</v>
      </c>
      <c r="J29" s="36">
        <f t="shared" si="3"/>
        <v>7</v>
      </c>
      <c r="K29" s="66">
        <f t="shared" si="4"/>
        <v>2.8915662650602419E-3</v>
      </c>
      <c r="M29" s="293"/>
      <c r="N29" s="293"/>
      <c r="O29" s="293"/>
      <c r="P29" s="293"/>
    </row>
    <row r="30" spans="2:16">
      <c r="B30" s="16">
        <f>Tiers!B29</f>
        <v>26</v>
      </c>
      <c r="C30" s="17" t="str">
        <f>Tiers!Y29</f>
        <v>main-25||||||||| x 1</v>
      </c>
      <c r="D30" s="73">
        <f>Tiers!C29</f>
        <v>20</v>
      </c>
      <c r="E30" s="36">
        <v>142</v>
      </c>
      <c r="F30" s="36">
        <f t="shared" si="0"/>
        <v>2000000</v>
      </c>
      <c r="G30" s="73">
        <f t="shared" si="1"/>
        <v>2840</v>
      </c>
      <c r="H30" s="73">
        <f t="shared" si="2"/>
        <v>14084.507042253521</v>
      </c>
      <c r="I30" s="21" t="str">
        <f>'Data Analysis'!BM28 &amp; " | " &amp; 'Data Analysis'!BN28</f>
        <v>Big Win | Single Win</v>
      </c>
      <c r="J30" s="36">
        <f t="shared" si="3"/>
        <v>7</v>
      </c>
      <c r="K30" s="66">
        <f t="shared" si="4"/>
        <v>1.7108433734939763E-3</v>
      </c>
      <c r="M30" s="2"/>
      <c r="N30" s="49"/>
    </row>
    <row r="31" spans="2:16">
      <c r="B31" s="16">
        <f>Tiers!B30</f>
        <v>27</v>
      </c>
      <c r="C31" s="17" t="str">
        <f>Tiers!Y30</f>
        <v>main-26||||||||| x 1</v>
      </c>
      <c r="D31" s="73">
        <f>Tiers!C30</f>
        <v>50</v>
      </c>
      <c r="E31" s="36">
        <v>10</v>
      </c>
      <c r="F31" s="36">
        <f t="shared" si="0"/>
        <v>2000000</v>
      </c>
      <c r="G31" s="73">
        <f t="shared" si="1"/>
        <v>500</v>
      </c>
      <c r="H31" s="73">
        <f t="shared" si="2"/>
        <v>200000</v>
      </c>
      <c r="I31" s="21" t="str">
        <f>'Data Analysis'!BM29 &amp; " | " &amp; 'Data Analysis'!BN29</f>
        <v>Huge Win | Single Win</v>
      </c>
      <c r="J31" s="36">
        <f t="shared" si="3"/>
        <v>6</v>
      </c>
      <c r="K31" s="66">
        <f t="shared" si="4"/>
        <v>3.0120481927710851E-4</v>
      </c>
      <c r="M31" s="2"/>
      <c r="N31" s="49"/>
    </row>
    <row r="32" spans="2:16">
      <c r="B32" s="16">
        <f>Tiers!B31</f>
        <v>28</v>
      </c>
      <c r="C32" s="17" t="str">
        <f>Tiers!Y31</f>
        <v>main-27||||||||| x 1</v>
      </c>
      <c r="D32" s="73">
        <f>Tiers!C31</f>
        <v>100</v>
      </c>
      <c r="E32" s="36">
        <v>3</v>
      </c>
      <c r="F32" s="36">
        <f t="shared" si="0"/>
        <v>2000000</v>
      </c>
      <c r="G32" s="73">
        <f t="shared" si="1"/>
        <v>300</v>
      </c>
      <c r="H32" s="73">
        <f t="shared" si="2"/>
        <v>666666.66666666663</v>
      </c>
      <c r="I32" s="21" t="str">
        <f>'Data Analysis'!BM30 &amp; " | " &amp; 'Data Analysis'!BN30</f>
        <v>Huge Win | Single Win</v>
      </c>
      <c r="J32" s="36">
        <f t="shared" si="3"/>
        <v>6</v>
      </c>
      <c r="K32" s="66">
        <f t="shared" si="4"/>
        <v>1.8072289156626512E-4</v>
      </c>
      <c r="M32" s="2"/>
      <c r="N32" s="130"/>
    </row>
    <row r="33" spans="2:14">
      <c r="B33" s="16">
        <f>Tiers!B32</f>
        <v>29</v>
      </c>
      <c r="C33" s="17" t="str">
        <f>Tiers!Y32</f>
        <v>main-28||||||||| x 1</v>
      </c>
      <c r="D33" s="73">
        <f>Tiers!C32</f>
        <v>200</v>
      </c>
      <c r="E33" s="36">
        <v>2</v>
      </c>
      <c r="F33" s="36">
        <f t="shared" si="0"/>
        <v>2000000</v>
      </c>
      <c r="G33" s="73">
        <f t="shared" si="1"/>
        <v>400</v>
      </c>
      <c r="H33" s="73">
        <f t="shared" si="2"/>
        <v>1000000</v>
      </c>
      <c r="I33" s="21" t="str">
        <f>'Data Analysis'!BM31 &amp; " | " &amp; 'Data Analysis'!BN31</f>
        <v>Huge Win | Single Win</v>
      </c>
      <c r="J33" s="36">
        <f t="shared" si="3"/>
        <v>6</v>
      </c>
      <c r="K33" s="66">
        <f t="shared" si="4"/>
        <v>2.4096385542168682E-4</v>
      </c>
      <c r="M33" s="2"/>
      <c r="N33" s="130"/>
    </row>
    <row r="34" spans="2:14">
      <c r="B34" s="16">
        <f>Tiers!B33</f>
        <v>30</v>
      </c>
      <c r="C34" s="17" t="str">
        <f>Tiers!Y33</f>
        <v>main-29||||||||| x 1</v>
      </c>
      <c r="D34" s="73">
        <f>Tiers!C33</f>
        <v>500</v>
      </c>
      <c r="E34" s="36">
        <v>2</v>
      </c>
      <c r="F34" s="36">
        <f t="shared" si="0"/>
        <v>2000000</v>
      </c>
      <c r="G34" s="73">
        <f t="shared" si="1"/>
        <v>1000</v>
      </c>
      <c r="H34" s="73">
        <f t="shared" si="2"/>
        <v>1000000</v>
      </c>
      <c r="I34" s="21" t="str">
        <f>'Data Analysis'!BM32 &amp; " | " &amp; 'Data Analysis'!BN32</f>
        <v>Huge Win | Single Win</v>
      </c>
      <c r="J34" s="36">
        <f t="shared" si="3"/>
        <v>6</v>
      </c>
      <c r="K34" s="66">
        <f t="shared" si="4"/>
        <v>6.0240963855421703E-4</v>
      </c>
      <c r="M34" s="2"/>
      <c r="N34" s="130"/>
    </row>
    <row r="35" spans="2:14">
      <c r="B35" s="16">
        <f>Tiers!B34</f>
        <v>31</v>
      </c>
      <c r="C35" s="17" t="str">
        <f>Tiers!Y34</f>
        <v>main-30||||||||| x 1</v>
      </c>
      <c r="D35" s="73">
        <f>Tiers!C34</f>
        <v>2</v>
      </c>
      <c r="E35" s="36">
        <v>2416</v>
      </c>
      <c r="F35" s="36">
        <f t="shared" si="0"/>
        <v>2000000</v>
      </c>
      <c r="G35" s="73">
        <f t="shared" si="1"/>
        <v>4832</v>
      </c>
      <c r="H35" s="73">
        <f t="shared" si="2"/>
        <v>827.81456953642385</v>
      </c>
      <c r="I35" s="21" t="str">
        <f>'Data Analysis'!BM33 &amp; " | " &amp; 'Data Analysis'!BN33</f>
        <v>Standard Win | Single Win</v>
      </c>
      <c r="J35" s="36">
        <f t="shared" si="3"/>
        <v>15</v>
      </c>
      <c r="K35" s="66">
        <f t="shared" si="4"/>
        <v>2.9108433734939768E-3</v>
      </c>
      <c r="M35" s="2"/>
      <c r="N35" s="130"/>
    </row>
    <row r="36" spans="2:14">
      <c r="B36" s="16">
        <f>Tiers!B35</f>
        <v>32</v>
      </c>
      <c r="C36" s="17" t="str">
        <f>Tiers!Y35</f>
        <v>main-31||||||||| x 1</v>
      </c>
      <c r="D36" s="73">
        <f>Tiers!C35</f>
        <v>5</v>
      </c>
      <c r="E36" s="36">
        <v>967</v>
      </c>
      <c r="F36" s="36">
        <f t="shared" si="0"/>
        <v>2000000</v>
      </c>
      <c r="G36" s="73">
        <f t="shared" si="1"/>
        <v>4835</v>
      </c>
      <c r="H36" s="73">
        <f t="shared" si="2"/>
        <v>2068.2523267838678</v>
      </c>
      <c r="I36" s="21" t="str">
        <f>'Data Analysis'!BM34 &amp; " | " &amp; 'Data Analysis'!BN34</f>
        <v>Standard Win | Single Win</v>
      </c>
      <c r="J36" s="36">
        <f t="shared" si="3"/>
        <v>10</v>
      </c>
      <c r="K36" s="66">
        <f t="shared" si="4"/>
        <v>2.9126506024096392E-3</v>
      </c>
    </row>
    <row r="37" spans="2:14">
      <c r="B37" s="16">
        <f>Tiers!B36</f>
        <v>33</v>
      </c>
      <c r="C37" s="17" t="str">
        <f>Tiers!Y36</f>
        <v>main-32||||||||| x 1</v>
      </c>
      <c r="D37" s="73">
        <f>Tiers!C36</f>
        <v>10</v>
      </c>
      <c r="E37" s="36">
        <v>484</v>
      </c>
      <c r="F37" s="36">
        <f t="shared" si="0"/>
        <v>2000000</v>
      </c>
      <c r="G37" s="73">
        <f t="shared" si="1"/>
        <v>4840</v>
      </c>
      <c r="H37" s="73">
        <f t="shared" si="2"/>
        <v>4132.2314049586776</v>
      </c>
      <c r="I37" s="21" t="str">
        <f>'Data Analysis'!BM35 &amp; " | " &amp; 'Data Analysis'!BN35</f>
        <v>Big Win | Single Win</v>
      </c>
      <c r="J37" s="36">
        <f t="shared" si="3"/>
        <v>8</v>
      </c>
      <c r="K37" s="66">
        <f t="shared" si="4"/>
        <v>2.9156626506024103E-3</v>
      </c>
    </row>
    <row r="38" spans="2:14">
      <c r="B38" s="16">
        <f>Tiers!B37</f>
        <v>34</v>
      </c>
      <c r="C38" s="17" t="str">
        <f>Tiers!Y37</f>
        <v>main-33||||||||| x 1</v>
      </c>
      <c r="D38" s="73">
        <f>Tiers!C37</f>
        <v>15</v>
      </c>
      <c r="E38" s="36">
        <v>323</v>
      </c>
      <c r="F38" s="36">
        <f t="shared" si="0"/>
        <v>2000000</v>
      </c>
      <c r="G38" s="73">
        <f t="shared" si="1"/>
        <v>4845</v>
      </c>
      <c r="H38" s="73">
        <f t="shared" si="2"/>
        <v>6191.9504643962846</v>
      </c>
      <c r="I38" s="21" t="str">
        <f>'Data Analysis'!BM36 &amp; " | " &amp; 'Data Analysis'!BN36</f>
        <v>Big Win | Single Win</v>
      </c>
      <c r="J38" s="36">
        <f t="shared" si="3"/>
        <v>7</v>
      </c>
      <c r="K38" s="66">
        <f t="shared" si="4"/>
        <v>2.9186746987951814E-3</v>
      </c>
    </row>
    <row r="39" spans="2:14">
      <c r="B39" s="16">
        <f>Tiers!B38</f>
        <v>35</v>
      </c>
      <c r="C39" s="17" t="str">
        <f>Tiers!Y38</f>
        <v>main-34||||||||| x 1</v>
      </c>
      <c r="D39" s="73">
        <f>Tiers!C38</f>
        <v>20</v>
      </c>
      <c r="E39" s="36">
        <v>142</v>
      </c>
      <c r="F39" s="36">
        <f t="shared" si="0"/>
        <v>2000000</v>
      </c>
      <c r="G39" s="73">
        <f t="shared" si="1"/>
        <v>2840</v>
      </c>
      <c r="H39" s="73">
        <f t="shared" si="2"/>
        <v>14084.507042253521</v>
      </c>
      <c r="I39" s="21" t="str">
        <f>'Data Analysis'!BM37 &amp; " | " &amp; 'Data Analysis'!BN37</f>
        <v>Big Win | Single Win</v>
      </c>
      <c r="J39" s="36">
        <f t="shared" si="3"/>
        <v>7</v>
      </c>
      <c r="K39" s="66">
        <f t="shared" si="4"/>
        <v>1.7108433734939763E-3</v>
      </c>
    </row>
    <row r="40" spans="2:14">
      <c r="B40" s="16">
        <f>Tiers!B39</f>
        <v>36</v>
      </c>
      <c r="C40" s="17" t="str">
        <f>Tiers!Y39</f>
        <v>main-35||||||||| x 1</v>
      </c>
      <c r="D40" s="73">
        <f>Tiers!C39</f>
        <v>50</v>
      </c>
      <c r="E40" s="36">
        <v>10</v>
      </c>
      <c r="F40" s="36">
        <f t="shared" si="0"/>
        <v>2000000</v>
      </c>
      <c r="G40" s="73">
        <f t="shared" si="1"/>
        <v>500</v>
      </c>
      <c r="H40" s="73">
        <f t="shared" si="2"/>
        <v>200000</v>
      </c>
      <c r="I40" s="21" t="str">
        <f>'Data Analysis'!BM38 &amp; " | " &amp; 'Data Analysis'!BN38</f>
        <v>Huge Win | Single Win</v>
      </c>
      <c r="J40" s="36">
        <f t="shared" si="3"/>
        <v>6</v>
      </c>
      <c r="K40" s="66">
        <f t="shared" si="4"/>
        <v>3.0120481927710851E-4</v>
      </c>
    </row>
    <row r="41" spans="2:14">
      <c r="B41" s="16">
        <f>Tiers!B40</f>
        <v>37</v>
      </c>
      <c r="C41" s="17" t="str">
        <f>Tiers!Y40</f>
        <v>main-36||||||||| x 1</v>
      </c>
      <c r="D41" s="73">
        <f>Tiers!C40</f>
        <v>100</v>
      </c>
      <c r="E41" s="36">
        <v>3</v>
      </c>
      <c r="F41" s="36">
        <f t="shared" si="0"/>
        <v>2000000</v>
      </c>
      <c r="G41" s="73">
        <f t="shared" si="1"/>
        <v>300</v>
      </c>
      <c r="H41" s="73">
        <f t="shared" si="2"/>
        <v>666666.66666666663</v>
      </c>
      <c r="I41" s="21" t="str">
        <f>'Data Analysis'!BM39 &amp; " | " &amp; 'Data Analysis'!BN39</f>
        <v>Huge Win | Single Win</v>
      </c>
      <c r="J41" s="36">
        <f t="shared" si="3"/>
        <v>6</v>
      </c>
      <c r="K41" s="66">
        <f t="shared" si="4"/>
        <v>1.8072289156626512E-4</v>
      </c>
    </row>
    <row r="42" spans="2:14">
      <c r="B42" s="16">
        <f>Tiers!B41</f>
        <v>38</v>
      </c>
      <c r="C42" s="17" t="str">
        <f>Tiers!Y41</f>
        <v>main-37||||||||| x 1</v>
      </c>
      <c r="D42" s="73">
        <f>Tiers!C41</f>
        <v>200</v>
      </c>
      <c r="E42" s="36">
        <v>1</v>
      </c>
      <c r="F42" s="36">
        <f t="shared" si="0"/>
        <v>2000000</v>
      </c>
      <c r="G42" s="73">
        <f t="shared" si="1"/>
        <v>200</v>
      </c>
      <c r="H42" s="73">
        <f t="shared" si="2"/>
        <v>2000000</v>
      </c>
      <c r="I42" s="21" t="str">
        <f>'Data Analysis'!BM40 &amp; " | " &amp; 'Data Analysis'!BN40</f>
        <v>Huge Win | Single Win</v>
      </c>
      <c r="J42" s="36">
        <f t="shared" si="3"/>
        <v>6</v>
      </c>
      <c r="K42" s="66">
        <f t="shared" si="4"/>
        <v>1.2048192771084341E-4</v>
      </c>
    </row>
    <row r="43" spans="2:14">
      <c r="B43" s="16">
        <f>Tiers!B42</f>
        <v>39</v>
      </c>
      <c r="C43" s="17" t="str">
        <f>Tiers!Y42</f>
        <v>main-38||||||||| x 1</v>
      </c>
      <c r="D43" s="73">
        <f>Tiers!C42</f>
        <v>500</v>
      </c>
      <c r="E43" s="36">
        <v>1</v>
      </c>
      <c r="F43" s="36">
        <f t="shared" si="0"/>
        <v>2000000</v>
      </c>
      <c r="G43" s="73">
        <f t="shared" si="1"/>
        <v>500</v>
      </c>
      <c r="H43" s="73">
        <f t="shared" si="2"/>
        <v>2000000</v>
      </c>
      <c r="I43" s="21" t="str">
        <f>'Data Analysis'!BM41 &amp; " | " &amp; 'Data Analysis'!BN41</f>
        <v>Huge Win | Single Win</v>
      </c>
      <c r="J43" s="36">
        <f t="shared" si="3"/>
        <v>6</v>
      </c>
      <c r="K43" s="66">
        <f t="shared" si="4"/>
        <v>3.0120481927710851E-4</v>
      </c>
    </row>
    <row r="44" spans="2:14">
      <c r="B44" s="16">
        <f>Tiers!B43</f>
        <v>40</v>
      </c>
      <c r="C44" s="17" t="str">
        <f>Tiers!Y43</f>
        <v>main-39||||||||| x 1</v>
      </c>
      <c r="D44" s="73">
        <f>Tiers!C43</f>
        <v>1000</v>
      </c>
      <c r="E44" s="36">
        <v>1</v>
      </c>
      <c r="F44" s="36">
        <f t="shared" si="0"/>
        <v>2000000</v>
      </c>
      <c r="G44" s="73">
        <f t="shared" si="1"/>
        <v>1000</v>
      </c>
      <c r="H44" s="73">
        <f t="shared" si="2"/>
        <v>2000000</v>
      </c>
      <c r="I44" s="21" t="str">
        <f>'Data Analysis'!BM42 &amp; " | " &amp; 'Data Analysis'!BN42</f>
        <v>Top Prize | Single Win</v>
      </c>
      <c r="J44" s="36">
        <f t="shared" si="3"/>
        <v>6</v>
      </c>
      <c r="K44" s="66">
        <f t="shared" si="4"/>
        <v>6.0240963855421703E-4</v>
      </c>
    </row>
    <row r="45" spans="2:14">
      <c r="B45" s="16">
        <f>Tiers!B44</f>
        <v>41</v>
      </c>
      <c r="C45" s="17" t="str">
        <f>Tiers!Y44</f>
        <v>main-40||||||||| x 1</v>
      </c>
      <c r="D45" s="73">
        <f>Tiers!C44</f>
        <v>15</v>
      </c>
      <c r="E45" s="36">
        <v>100</v>
      </c>
      <c r="F45" s="36">
        <f t="shared" si="0"/>
        <v>2000000</v>
      </c>
      <c r="G45" s="73">
        <f t="shared" si="1"/>
        <v>1500</v>
      </c>
      <c r="H45" s="73">
        <f t="shared" si="2"/>
        <v>20000</v>
      </c>
      <c r="I45" s="21" t="str">
        <f>'Data Analysis'!BM43 &amp; " | " &amp; 'Data Analysis'!BN43</f>
        <v>Big Win | Single Win</v>
      </c>
      <c r="J45" s="36">
        <f t="shared" si="3"/>
        <v>6</v>
      </c>
      <c r="K45" s="66">
        <f t="shared" si="4"/>
        <v>9.0361445783132554E-4</v>
      </c>
    </row>
    <row r="46" spans="2:14">
      <c r="B46" s="16">
        <f>Tiers!B45</f>
        <v>42</v>
      </c>
      <c r="C46" s="17" t="str">
        <f>Tiers!Y45</f>
        <v>main-41||||||||| x 1</v>
      </c>
      <c r="D46" s="73">
        <f>Tiers!C45</f>
        <v>20</v>
      </c>
      <c r="E46" s="36">
        <v>100</v>
      </c>
      <c r="F46" s="36">
        <f t="shared" si="0"/>
        <v>2000000</v>
      </c>
      <c r="G46" s="73">
        <f t="shared" si="1"/>
        <v>2000</v>
      </c>
      <c r="H46" s="73">
        <f t="shared" si="2"/>
        <v>20000</v>
      </c>
      <c r="I46" s="21" t="str">
        <f>'Data Analysis'!BM44 &amp; " | " &amp; 'Data Analysis'!BN44</f>
        <v>Big Win | Single Win</v>
      </c>
      <c r="J46" s="36">
        <f t="shared" si="3"/>
        <v>6</v>
      </c>
      <c r="K46" s="66">
        <f t="shared" si="4"/>
        <v>1.2048192771084341E-3</v>
      </c>
    </row>
    <row r="47" spans="2:14">
      <c r="B47" s="16">
        <f>Tiers!B46</f>
        <v>43</v>
      </c>
      <c r="C47" s="17" t="str">
        <f>Tiers!Y46</f>
        <v>main-42||||||||| x 1</v>
      </c>
      <c r="D47" s="73">
        <f>Tiers!C46</f>
        <v>30</v>
      </c>
      <c r="E47" s="36">
        <v>100</v>
      </c>
      <c r="F47" s="36">
        <f t="shared" si="0"/>
        <v>2000000</v>
      </c>
      <c r="G47" s="73">
        <f t="shared" si="1"/>
        <v>3000</v>
      </c>
      <c r="H47" s="73">
        <f t="shared" si="2"/>
        <v>20000</v>
      </c>
      <c r="I47" s="21" t="str">
        <f>'Data Analysis'!BM45 &amp; " | " &amp; 'Data Analysis'!BN45</f>
        <v>Big Win | Single Win</v>
      </c>
      <c r="J47" s="36">
        <f t="shared" si="3"/>
        <v>6</v>
      </c>
      <c r="K47" s="66">
        <f t="shared" si="4"/>
        <v>1.8072289156626511E-3</v>
      </c>
    </row>
    <row r="48" spans="2:14">
      <c r="B48" s="16">
        <f>Tiers!B47</f>
        <v>44</v>
      </c>
      <c r="C48" s="17" t="str">
        <f>Tiers!Y47</f>
        <v>main-0|main-0|||||||| x 1</v>
      </c>
      <c r="D48" s="73">
        <f>Tiers!C47</f>
        <v>0.2</v>
      </c>
      <c r="E48" s="36">
        <v>24000</v>
      </c>
      <c r="F48" s="36">
        <f t="shared" si="0"/>
        <v>2000000</v>
      </c>
      <c r="G48" s="73">
        <f t="shared" si="1"/>
        <v>4800</v>
      </c>
      <c r="H48" s="73">
        <f t="shared" si="2"/>
        <v>83.333333333333329</v>
      </c>
      <c r="I48" s="21" t="str">
        <f>'Data Analysis'!BM46 &amp; " | " &amp; 'Data Analysis'!BN46</f>
        <v>Less than Stake | Combo Win</v>
      </c>
      <c r="J48" s="36">
        <f t="shared" si="3"/>
        <v>99</v>
      </c>
      <c r="K48" s="66">
        <f t="shared" si="4"/>
        <v>2.8915662650602419E-3</v>
      </c>
    </row>
    <row r="49" spans="2:11">
      <c r="B49" s="16">
        <f>Tiers!B48</f>
        <v>45</v>
      </c>
      <c r="C49" s="17" t="str">
        <f>Tiers!Y48</f>
        <v>main-0|main-1|||||||| x 1</v>
      </c>
      <c r="D49" s="73">
        <f>Tiers!C48</f>
        <v>0.30000000000000004</v>
      </c>
      <c r="E49" s="36">
        <v>16000</v>
      </c>
      <c r="F49" s="36">
        <f t="shared" si="0"/>
        <v>2000000</v>
      </c>
      <c r="G49" s="73">
        <f t="shared" si="1"/>
        <v>4800.0000000000009</v>
      </c>
      <c r="H49" s="73">
        <f t="shared" si="2"/>
        <v>125</v>
      </c>
      <c r="I49" s="21" t="str">
        <f>'Data Analysis'!BM47 &amp; " | " &amp; 'Data Analysis'!BN47</f>
        <v>Less than Stake | Combo Win</v>
      </c>
      <c r="J49" s="36">
        <f t="shared" si="3"/>
        <v>68</v>
      </c>
      <c r="K49" s="66">
        <f t="shared" si="4"/>
        <v>2.8915662650602423E-3</v>
      </c>
    </row>
    <row r="50" spans="2:11">
      <c r="B50" s="16">
        <f>Tiers!B49</f>
        <v>46</v>
      </c>
      <c r="C50" s="17" t="str">
        <f>Tiers!Y49</f>
        <v>main-1|main-1|||||||| x 1</v>
      </c>
      <c r="D50" s="73">
        <f>Tiers!C49</f>
        <v>0.4</v>
      </c>
      <c r="E50" s="36">
        <v>12000</v>
      </c>
      <c r="F50" s="36">
        <f t="shared" si="0"/>
        <v>2000000</v>
      </c>
      <c r="G50" s="73">
        <f t="shared" si="1"/>
        <v>4800</v>
      </c>
      <c r="H50" s="73">
        <f t="shared" si="2"/>
        <v>166.66666666666666</v>
      </c>
      <c r="I50" s="21" t="str">
        <f>'Data Analysis'!BM48 &amp; " | " &amp; 'Data Analysis'!BN48</f>
        <v>Less than Stake | Combo Win</v>
      </c>
      <c r="J50" s="36">
        <f t="shared" si="3"/>
        <v>53</v>
      </c>
      <c r="K50" s="66">
        <f t="shared" si="4"/>
        <v>2.8915662650602419E-3</v>
      </c>
    </row>
    <row r="51" spans="2:11">
      <c r="B51" s="16">
        <f>Tiers!B50</f>
        <v>47</v>
      </c>
      <c r="C51" s="17" t="str">
        <f>Tiers!Y50</f>
        <v>main-0|main-2|||||||| x 1</v>
      </c>
      <c r="D51" s="73">
        <f>Tiers!C50</f>
        <v>0.6</v>
      </c>
      <c r="E51" s="36">
        <v>8000</v>
      </c>
      <c r="F51" s="36">
        <f t="shared" si="0"/>
        <v>2000000</v>
      </c>
      <c r="G51" s="73">
        <f t="shared" si="1"/>
        <v>4800</v>
      </c>
      <c r="H51" s="73">
        <f t="shared" si="2"/>
        <v>250</v>
      </c>
      <c r="I51" s="21" t="str">
        <f>'Data Analysis'!BM49 &amp; " | " &amp; 'Data Analysis'!BN49</f>
        <v>Less than Stake | Combo Win</v>
      </c>
      <c r="J51" s="36">
        <f t="shared" si="3"/>
        <v>37</v>
      </c>
      <c r="K51" s="66">
        <f t="shared" si="4"/>
        <v>2.8915662650602419E-3</v>
      </c>
    </row>
    <row r="52" spans="2:11">
      <c r="B52" s="16">
        <f>Tiers!B51</f>
        <v>48</v>
      </c>
      <c r="C52" s="17" t="str">
        <f>Tiers!Y51</f>
        <v>main-11|main-2|||||||| x 1</v>
      </c>
      <c r="D52" s="73">
        <f>Tiers!C51</f>
        <v>2</v>
      </c>
      <c r="E52" s="36">
        <v>2416</v>
      </c>
      <c r="F52" s="36">
        <f t="shared" si="0"/>
        <v>2000000</v>
      </c>
      <c r="G52" s="73">
        <f t="shared" si="1"/>
        <v>4832</v>
      </c>
      <c r="H52" s="73">
        <f t="shared" si="2"/>
        <v>827.81456953642385</v>
      </c>
      <c r="I52" s="21" t="str">
        <f>'Data Analysis'!BM50 &amp; " | " &amp; 'Data Analysis'!BN50</f>
        <v>Standard Win | Combo Win</v>
      </c>
      <c r="J52" s="36">
        <f t="shared" si="3"/>
        <v>15</v>
      </c>
      <c r="K52" s="66">
        <f t="shared" si="4"/>
        <v>2.9108433734939768E-3</v>
      </c>
    </row>
    <row r="53" spans="2:11">
      <c r="B53" s="16">
        <f>Tiers!B52</f>
        <v>49</v>
      </c>
      <c r="C53" s="17" t="str">
        <f>Tiers!Y52</f>
        <v>main-3|main-2|||||||| x 1</v>
      </c>
      <c r="D53" s="73">
        <f>Tiers!C52</f>
        <v>1.5</v>
      </c>
      <c r="E53" s="36">
        <v>500</v>
      </c>
      <c r="F53" s="36">
        <f t="shared" si="0"/>
        <v>2000000</v>
      </c>
      <c r="G53" s="73">
        <f t="shared" si="1"/>
        <v>750</v>
      </c>
      <c r="H53" s="73">
        <f t="shared" si="2"/>
        <v>4000</v>
      </c>
      <c r="I53" s="21" t="str">
        <f>'Data Analysis'!BM51 &amp; " | " &amp; 'Data Analysis'!BN51</f>
        <v>Standard Win | Combo Win</v>
      </c>
      <c r="J53" s="36">
        <f t="shared" si="3"/>
        <v>8</v>
      </c>
      <c r="K53" s="66">
        <f t="shared" si="4"/>
        <v>4.5180722891566277E-4</v>
      </c>
    </row>
    <row r="54" spans="2:11">
      <c r="B54" s="16">
        <f>Tiers!B53</f>
        <v>50</v>
      </c>
      <c r="C54" s="17" t="str">
        <f>Tiers!Y53</f>
        <v>main-3|main-21|||||||| x 1</v>
      </c>
      <c r="D54" s="73">
        <f>Tiers!C53</f>
        <v>3</v>
      </c>
      <c r="E54" s="36">
        <v>161</v>
      </c>
      <c r="F54" s="36">
        <f t="shared" si="0"/>
        <v>2000000</v>
      </c>
      <c r="G54" s="73">
        <f t="shared" si="1"/>
        <v>483</v>
      </c>
      <c r="H54" s="73">
        <f t="shared" si="2"/>
        <v>12422.360248447205</v>
      </c>
      <c r="I54" s="21" t="str">
        <f>'Data Analysis'!BM52 &amp; " | " &amp; 'Data Analysis'!BN52</f>
        <v>Standard Win | Combo Win</v>
      </c>
      <c r="J54" s="36">
        <f t="shared" si="3"/>
        <v>7</v>
      </c>
      <c r="K54" s="66">
        <f t="shared" si="4"/>
        <v>2.9096385542168681E-4</v>
      </c>
    </row>
    <row r="55" spans="2:11">
      <c r="B55" s="16">
        <f>Tiers!B54</f>
        <v>51</v>
      </c>
      <c r="C55" s="17" t="str">
        <f>Tiers!Y54</f>
        <v>main-2|main-5|||||||| x 1</v>
      </c>
      <c r="D55" s="73">
        <f>Tiers!C54</f>
        <v>2.5</v>
      </c>
      <c r="E55" s="36">
        <v>19</v>
      </c>
      <c r="F55" s="36">
        <f t="shared" si="0"/>
        <v>2000000</v>
      </c>
      <c r="G55" s="73">
        <f t="shared" si="1"/>
        <v>47.5</v>
      </c>
      <c r="H55" s="73">
        <f t="shared" si="2"/>
        <v>105263.15789473684</v>
      </c>
      <c r="I55" s="21" t="str">
        <f>'Data Analysis'!BM53 &amp; " | " &amp; 'Data Analysis'!BN53</f>
        <v>Standard Win | Combo Win</v>
      </c>
      <c r="J55" s="36">
        <f t="shared" si="3"/>
        <v>6</v>
      </c>
      <c r="K55" s="66">
        <f t="shared" si="4"/>
        <v>2.8614457831325308E-5</v>
      </c>
    </row>
    <row r="56" spans="2:11">
      <c r="B56" s="16">
        <f>Tiers!B55</f>
        <v>52</v>
      </c>
      <c r="C56" s="17" t="str">
        <f>Tiers!Y55</f>
        <v>main-4|main-22|||||||| x 1</v>
      </c>
      <c r="D56" s="73">
        <f>Tiers!C55</f>
        <v>6.5</v>
      </c>
      <c r="E56" s="36">
        <v>8</v>
      </c>
      <c r="F56" s="36">
        <f t="shared" si="0"/>
        <v>2000000</v>
      </c>
      <c r="G56" s="73">
        <f t="shared" si="1"/>
        <v>52</v>
      </c>
      <c r="H56" s="73">
        <f t="shared" si="2"/>
        <v>250000</v>
      </c>
      <c r="I56" s="21" t="str">
        <f>'Data Analysis'!BM54 &amp; " | " &amp; 'Data Analysis'!BN54</f>
        <v>Standard Win | Combo Win</v>
      </c>
      <c r="J56" s="36">
        <f t="shared" si="3"/>
        <v>6</v>
      </c>
      <c r="K56" s="66">
        <f t="shared" si="4"/>
        <v>3.1325301204819288E-5</v>
      </c>
    </row>
    <row r="57" spans="2:11">
      <c r="B57" s="16">
        <f>Tiers!B56</f>
        <v>53</v>
      </c>
      <c r="C57" s="17" t="str">
        <f>Tiers!Y56</f>
        <v>main-4|main-4|||||||| x 1</v>
      </c>
      <c r="D57" s="73">
        <f>Tiers!C56</f>
        <v>3</v>
      </c>
      <c r="E57" s="36">
        <v>17</v>
      </c>
      <c r="F57" s="36">
        <f t="shared" si="0"/>
        <v>2000000</v>
      </c>
      <c r="G57" s="73">
        <f t="shared" si="1"/>
        <v>51</v>
      </c>
      <c r="H57" s="73">
        <f t="shared" si="2"/>
        <v>117647.05882352941</v>
      </c>
      <c r="I57" s="21" t="str">
        <f>'Data Analysis'!BM55 &amp; " | " &amp; 'Data Analysis'!BN55</f>
        <v>Standard Win | Combo Win</v>
      </c>
      <c r="J57" s="36">
        <f t="shared" si="3"/>
        <v>6</v>
      </c>
      <c r="K57" s="66">
        <f t="shared" si="4"/>
        <v>3.0722891566265072E-5</v>
      </c>
    </row>
    <row r="58" spans="2:11">
      <c r="B58" s="16">
        <f>Tiers!B57</f>
        <v>54</v>
      </c>
      <c r="C58" s="17" t="str">
        <f>Tiers!Y57</f>
        <v>main-3|main-15|||||||| x 1</v>
      </c>
      <c r="D58" s="73">
        <f>Tiers!C57</f>
        <v>16</v>
      </c>
      <c r="E58" s="36">
        <v>4</v>
      </c>
      <c r="F58" s="36">
        <f t="shared" si="0"/>
        <v>2000000</v>
      </c>
      <c r="G58" s="73">
        <f t="shared" si="1"/>
        <v>64</v>
      </c>
      <c r="H58" s="73">
        <f t="shared" si="2"/>
        <v>500000</v>
      </c>
      <c r="I58" s="21" t="str">
        <f>'Data Analysis'!BM56 &amp; " | " &amp; 'Data Analysis'!BN56</f>
        <v>Big Win | Combo Win</v>
      </c>
      <c r="J58" s="36">
        <f t="shared" si="3"/>
        <v>6</v>
      </c>
      <c r="K58" s="66">
        <f t="shared" si="4"/>
        <v>3.8554216867469889E-5</v>
      </c>
    </row>
    <row r="59" spans="2:11">
      <c r="B59" s="16">
        <f>Tiers!B58</f>
        <v>55</v>
      </c>
      <c r="C59" s="17" t="str">
        <f>Tiers!Y58</f>
        <v>main-5|main-15|||||||| x 1</v>
      </c>
      <c r="D59" s="73">
        <f>Tiers!C58</f>
        <v>17</v>
      </c>
      <c r="E59" s="36">
        <v>1</v>
      </c>
      <c r="F59" s="36">
        <f t="shared" si="0"/>
        <v>2000000</v>
      </c>
      <c r="G59" s="73">
        <f t="shared" si="1"/>
        <v>17</v>
      </c>
      <c r="H59" s="73">
        <f t="shared" si="2"/>
        <v>2000000</v>
      </c>
      <c r="I59" s="21" t="str">
        <f>'Data Analysis'!BM57 &amp; " | " &amp; 'Data Analysis'!BN57</f>
        <v>Big Win | Combo Win</v>
      </c>
      <c r="J59" s="36">
        <f t="shared" si="3"/>
        <v>6</v>
      </c>
      <c r="K59" s="66">
        <f t="shared" si="4"/>
        <v>1.024096385542169E-5</v>
      </c>
    </row>
    <row r="60" spans="2:11">
      <c r="B60" s="16">
        <f>Tiers!B59</f>
        <v>56</v>
      </c>
      <c r="C60" s="17" t="str">
        <f>Tiers!Y59</f>
        <v>main-5|main-25|||||||| x 1</v>
      </c>
      <c r="D60" s="73">
        <f>Tiers!C59</f>
        <v>22</v>
      </c>
      <c r="E60" s="36">
        <v>22</v>
      </c>
      <c r="F60" s="36">
        <f t="shared" si="0"/>
        <v>2000000</v>
      </c>
      <c r="G60" s="73">
        <f t="shared" si="1"/>
        <v>484</v>
      </c>
      <c r="H60" s="73">
        <f t="shared" si="2"/>
        <v>90909.090909090912</v>
      </c>
      <c r="I60" s="21" t="str">
        <f>'Data Analysis'!BM58 &amp; " | " &amp; 'Data Analysis'!BN58</f>
        <v>Big Win | Combo Win</v>
      </c>
      <c r="J60" s="36">
        <f t="shared" si="3"/>
        <v>6</v>
      </c>
      <c r="K60" s="66">
        <f t="shared" si="4"/>
        <v>2.9156626506024106E-4</v>
      </c>
    </row>
    <row r="61" spans="2:11">
      <c r="B61" s="16">
        <f>Tiers!B60</f>
        <v>57</v>
      </c>
      <c r="C61" s="17" t="str">
        <f>Tiers!Y60</f>
        <v>main-5|main-26|||||||| x 1</v>
      </c>
      <c r="D61" s="73">
        <f>Tiers!C60</f>
        <v>52</v>
      </c>
      <c r="E61" s="36">
        <v>2</v>
      </c>
      <c r="F61" s="36">
        <f t="shared" si="0"/>
        <v>2000000</v>
      </c>
      <c r="G61" s="73">
        <f t="shared" si="1"/>
        <v>104</v>
      </c>
      <c r="H61" s="73">
        <f t="shared" si="2"/>
        <v>1000000</v>
      </c>
      <c r="I61" s="21" t="str">
        <f>'Data Analysis'!BM59 &amp; " | " &amp; 'Data Analysis'!BN59</f>
        <v>Huge Win | Combo Win</v>
      </c>
      <c r="J61" s="36">
        <f t="shared" si="3"/>
        <v>6</v>
      </c>
      <c r="K61" s="66">
        <f t="shared" si="4"/>
        <v>6.2650602409638576E-5</v>
      </c>
    </row>
    <row r="62" spans="2:11">
      <c r="B62" s="16">
        <f>Tiers!B61</f>
        <v>58</v>
      </c>
      <c r="C62" s="17" t="str">
        <f>Tiers!Y61</f>
        <v>main-14|main-2|||||||| x 1</v>
      </c>
      <c r="D62" s="73">
        <f>Tiers!C61</f>
        <v>10.5</v>
      </c>
      <c r="E62" s="36">
        <v>46</v>
      </c>
      <c r="F62" s="36">
        <f t="shared" si="0"/>
        <v>2000000</v>
      </c>
      <c r="G62" s="73">
        <f t="shared" si="1"/>
        <v>483</v>
      </c>
      <c r="H62" s="73">
        <f t="shared" si="2"/>
        <v>43478.260869565216</v>
      </c>
      <c r="I62" s="21" t="str">
        <f>'Data Analysis'!BM60 &amp; " | " &amp; 'Data Analysis'!BN60</f>
        <v>Big Win | Combo Win</v>
      </c>
      <c r="J62" s="36">
        <f t="shared" si="3"/>
        <v>6</v>
      </c>
      <c r="K62" s="66">
        <f t="shared" si="4"/>
        <v>2.9096385542168681E-4</v>
      </c>
    </row>
    <row r="63" spans="2:11">
      <c r="B63" s="16">
        <f>Tiers!B62</f>
        <v>59</v>
      </c>
      <c r="C63" s="17" t="str">
        <f>Tiers!Y62</f>
        <v>main-3|main-20|main-4||||||| x 1</v>
      </c>
      <c r="D63" s="73">
        <f>Tiers!C62</f>
        <v>4</v>
      </c>
      <c r="E63" s="36">
        <v>12</v>
      </c>
      <c r="F63" s="36">
        <f t="shared" si="0"/>
        <v>2000000</v>
      </c>
      <c r="G63" s="73">
        <f t="shared" si="1"/>
        <v>48</v>
      </c>
      <c r="H63" s="73">
        <f t="shared" si="2"/>
        <v>166666.66666666666</v>
      </c>
      <c r="I63" s="21" t="str">
        <f>'Data Analysis'!BM61 &amp; " | " &amp; 'Data Analysis'!BN61</f>
        <v>Standard Win | Combo Win</v>
      </c>
      <c r="J63" s="36">
        <f t="shared" si="3"/>
        <v>6</v>
      </c>
      <c r="K63" s="66">
        <f t="shared" si="4"/>
        <v>2.8915662650602416E-5</v>
      </c>
    </row>
    <row r="64" spans="2:11">
      <c r="B64" s="16">
        <f>Tiers!B63</f>
        <v>60</v>
      </c>
      <c r="C64" s="17" t="str">
        <f>Tiers!Y63</f>
        <v>main-4|main-5|main-13||||||| x 1</v>
      </c>
      <c r="D64" s="73">
        <f>Tiers!C63</f>
        <v>8.5</v>
      </c>
      <c r="E64" s="36">
        <v>6</v>
      </c>
      <c r="F64" s="36">
        <f t="shared" si="0"/>
        <v>2000000</v>
      </c>
      <c r="G64" s="73">
        <f t="shared" si="1"/>
        <v>51</v>
      </c>
      <c r="H64" s="73">
        <f t="shared" si="2"/>
        <v>333333.33333333331</v>
      </c>
      <c r="I64" s="21" t="str">
        <f>'Data Analysis'!BM62 &amp; " | " &amp; 'Data Analysis'!BN62</f>
        <v>Standard Win | Combo Win</v>
      </c>
      <c r="J64" s="36">
        <f t="shared" si="3"/>
        <v>6</v>
      </c>
      <c r="K64" s="66">
        <f t="shared" si="4"/>
        <v>3.0722891566265072E-5</v>
      </c>
    </row>
    <row r="65" spans="2:11">
      <c r="B65" s="16">
        <f>Tiers!B64</f>
        <v>61</v>
      </c>
      <c r="C65" s="17" t="str">
        <f>Tiers!Y64</f>
        <v>main-4|main-2|main-24||||||| x 1</v>
      </c>
      <c r="D65" s="73">
        <f>Tiers!C64</f>
        <v>17</v>
      </c>
      <c r="E65" s="36">
        <v>3</v>
      </c>
      <c r="F65" s="36">
        <f t="shared" si="0"/>
        <v>2000000</v>
      </c>
      <c r="G65" s="73">
        <f t="shared" si="1"/>
        <v>51</v>
      </c>
      <c r="H65" s="73">
        <f t="shared" si="2"/>
        <v>666666.66666666663</v>
      </c>
      <c r="I65" s="21" t="str">
        <f>'Data Analysis'!BM63 &amp; " | " &amp; 'Data Analysis'!BN63</f>
        <v>Big Win | Combo Win</v>
      </c>
      <c r="J65" s="36">
        <f t="shared" si="3"/>
        <v>6</v>
      </c>
      <c r="K65" s="66">
        <f t="shared" si="4"/>
        <v>3.0722891566265072E-5</v>
      </c>
    </row>
    <row r="66" spans="2:11">
      <c r="B66" s="16">
        <f>Tiers!B65</f>
        <v>62</v>
      </c>
      <c r="C66" s="17" t="str">
        <f>Tiers!Y65</f>
        <v>main-15|main-13|main-13||||||| x 1</v>
      </c>
      <c r="D66" s="73">
        <f>Tiers!C65</f>
        <v>25</v>
      </c>
      <c r="E66" s="36">
        <v>19</v>
      </c>
      <c r="F66" s="36">
        <f t="shared" si="0"/>
        <v>2000000</v>
      </c>
      <c r="G66" s="73">
        <f t="shared" si="1"/>
        <v>475</v>
      </c>
      <c r="H66" s="73">
        <f t="shared" si="2"/>
        <v>105263.15789473684</v>
      </c>
      <c r="I66" s="21" t="str">
        <f>'Data Analysis'!BM64 &amp; " | " &amp; 'Data Analysis'!BN64</f>
        <v>Big Win | Combo Win</v>
      </c>
      <c r="J66" s="36">
        <f t="shared" si="3"/>
        <v>6</v>
      </c>
      <c r="K66" s="66">
        <f t="shared" si="4"/>
        <v>2.8614457831325308E-4</v>
      </c>
    </row>
    <row r="67" spans="2:11">
      <c r="B67" s="16">
        <f>Tiers!B66</f>
        <v>63</v>
      </c>
      <c r="C67" s="17" t="str">
        <f>Tiers!Y66</f>
        <v>main-30|main-14|main-15||||||| x 1</v>
      </c>
      <c r="D67" s="73">
        <f>Tiers!C66</f>
        <v>27</v>
      </c>
      <c r="E67" s="36">
        <v>17</v>
      </c>
      <c r="F67" s="36">
        <f t="shared" si="0"/>
        <v>2000000</v>
      </c>
      <c r="G67" s="73">
        <f t="shared" si="1"/>
        <v>459</v>
      </c>
      <c r="H67" s="73">
        <f t="shared" si="2"/>
        <v>117647.05882352941</v>
      </c>
      <c r="I67" s="21" t="str">
        <f>'Data Analysis'!BM65 &amp; " | " &amp; 'Data Analysis'!BN65</f>
        <v>Big Win | Combo Win</v>
      </c>
      <c r="J67" s="36">
        <f t="shared" si="3"/>
        <v>6</v>
      </c>
      <c r="K67" s="66">
        <f t="shared" si="4"/>
        <v>2.7650602409638562E-4</v>
      </c>
    </row>
    <row r="68" spans="2:11">
      <c r="B68" s="16">
        <f>Tiers!B67</f>
        <v>64</v>
      </c>
      <c r="C68" s="17" t="str">
        <f>Tiers!Y67</f>
        <v>main-2|main-7|main-4||||||| x 1</v>
      </c>
      <c r="D68" s="73">
        <f>Tiers!C67</f>
        <v>5</v>
      </c>
      <c r="E68" s="36">
        <v>96</v>
      </c>
      <c r="F68" s="36">
        <f t="shared" ref="F68:F131" si="5">$N$6</f>
        <v>2000000</v>
      </c>
      <c r="G68" s="73">
        <f t="shared" ref="G68:G131" si="6">E68*D68</f>
        <v>480</v>
      </c>
      <c r="H68" s="73">
        <f t="shared" ref="H68:H131" si="7">F68/E68</f>
        <v>20833.333333333332</v>
      </c>
      <c r="I68" s="21" t="str">
        <f>'Data Analysis'!BM66 &amp; " | " &amp; 'Data Analysis'!BN66</f>
        <v>Standard Win | Combo Win</v>
      </c>
      <c r="J68" s="36">
        <f t="shared" ref="J68:J131" si="8">ROUND(IF(D68=0,($N$17*0.3),((((N$17*0.7)-(N$19*N$18)))*(E68/N$14)+$N$19)),0)</f>
        <v>6</v>
      </c>
      <c r="K68" s="66">
        <f t="shared" si="4"/>
        <v>2.8915662650602419E-4</v>
      </c>
    </row>
    <row r="69" spans="2:11">
      <c r="B69" s="16">
        <f>Tiers!B68</f>
        <v>65</v>
      </c>
      <c r="C69" s="17" t="str">
        <f>Tiers!Y68</f>
        <v>main-11|main-25|main-31||||||| x 1</v>
      </c>
      <c r="D69" s="73">
        <f>Tiers!C68</f>
        <v>26.5</v>
      </c>
      <c r="E69" s="36">
        <v>18</v>
      </c>
      <c r="F69" s="36">
        <f t="shared" si="5"/>
        <v>2000000</v>
      </c>
      <c r="G69" s="73">
        <f t="shared" si="6"/>
        <v>477</v>
      </c>
      <c r="H69" s="73">
        <f t="shared" si="7"/>
        <v>111111.11111111111</v>
      </c>
      <c r="I69" s="21" t="str">
        <f>'Data Analysis'!BM67 &amp; " | " &amp; 'Data Analysis'!BN67</f>
        <v>Big Win | Combo Win</v>
      </c>
      <c r="J69" s="36">
        <f t="shared" si="8"/>
        <v>6</v>
      </c>
      <c r="K69" s="66">
        <f t="shared" ref="K69:K132" si="9">G69/N$9</f>
        <v>2.8734939759036152E-4</v>
      </c>
    </row>
    <row r="70" spans="2:11">
      <c r="B70" s="16">
        <f>Tiers!B69</f>
        <v>66</v>
      </c>
      <c r="C70" s="17" t="str">
        <f>Tiers!Y69</f>
        <v>main-5|main-25|main-12||||||| x 1</v>
      </c>
      <c r="D70" s="73">
        <f>Tiers!C69</f>
        <v>24</v>
      </c>
      <c r="E70" s="36">
        <v>22</v>
      </c>
      <c r="F70" s="36">
        <f t="shared" si="5"/>
        <v>2000000</v>
      </c>
      <c r="G70" s="73">
        <f t="shared" si="6"/>
        <v>528</v>
      </c>
      <c r="H70" s="73">
        <f t="shared" si="7"/>
        <v>90909.090909090912</v>
      </c>
      <c r="I70" s="21" t="str">
        <f>'Data Analysis'!BM68 &amp; " | " &amp; 'Data Analysis'!BN68</f>
        <v>Big Win | Combo Win</v>
      </c>
      <c r="J70" s="36">
        <f t="shared" si="8"/>
        <v>6</v>
      </c>
      <c r="K70" s="66">
        <f t="shared" si="9"/>
        <v>3.1807228915662662E-4</v>
      </c>
    </row>
    <row r="71" spans="2:11">
      <c r="B71" s="16">
        <f>Tiers!B70</f>
        <v>67</v>
      </c>
      <c r="C71" s="17" t="str">
        <f>Tiers!Y70</f>
        <v>main-3|main-33|main-16||||||| x 1</v>
      </c>
      <c r="D71" s="73">
        <f>Tiers!C70</f>
        <v>36</v>
      </c>
      <c r="E71" s="36">
        <v>13</v>
      </c>
      <c r="F71" s="36">
        <f t="shared" si="5"/>
        <v>2000000</v>
      </c>
      <c r="G71" s="73">
        <f t="shared" si="6"/>
        <v>468</v>
      </c>
      <c r="H71" s="73">
        <f t="shared" si="7"/>
        <v>153846.15384615384</v>
      </c>
      <c r="I71" s="21" t="str">
        <f>'Data Analysis'!BM69 &amp; " | " &amp; 'Data Analysis'!BN69</f>
        <v>Big Win | Combo Win</v>
      </c>
      <c r="J71" s="36">
        <f t="shared" si="8"/>
        <v>6</v>
      </c>
      <c r="K71" s="66">
        <f t="shared" si="9"/>
        <v>2.819277108433736E-4</v>
      </c>
    </row>
    <row r="72" spans="2:11">
      <c r="B72" s="16">
        <f>Tiers!B71</f>
        <v>68</v>
      </c>
      <c r="C72" s="17" t="str">
        <f>Tiers!Y71</f>
        <v>main-30|main-6|main-7||||||| x 1</v>
      </c>
      <c r="D72" s="73">
        <f>Tiers!C71</f>
        <v>7.5</v>
      </c>
      <c r="E72" s="36">
        <v>64</v>
      </c>
      <c r="F72" s="36">
        <f t="shared" si="5"/>
        <v>2000000</v>
      </c>
      <c r="G72" s="73">
        <f t="shared" si="6"/>
        <v>480</v>
      </c>
      <c r="H72" s="73">
        <f t="shared" si="7"/>
        <v>31250</v>
      </c>
      <c r="I72" s="21" t="str">
        <f>'Data Analysis'!BM70 &amp; " | " &amp; 'Data Analysis'!BN70</f>
        <v>Standard Win | Combo Win</v>
      </c>
      <c r="J72" s="36">
        <f t="shared" si="8"/>
        <v>6</v>
      </c>
      <c r="K72" s="66">
        <f t="shared" si="9"/>
        <v>2.8915662650602419E-4</v>
      </c>
    </row>
    <row r="73" spans="2:11">
      <c r="B73" s="16">
        <f>Tiers!B72</f>
        <v>69</v>
      </c>
      <c r="C73" s="17" t="str">
        <f>Tiers!Y72</f>
        <v>main-21|main-25|main-7||||||| x 1</v>
      </c>
      <c r="D73" s="73">
        <f>Tiers!C72</f>
        <v>25</v>
      </c>
      <c r="E73" s="36">
        <v>19</v>
      </c>
      <c r="F73" s="36">
        <f t="shared" si="5"/>
        <v>2000000</v>
      </c>
      <c r="G73" s="73">
        <f t="shared" si="6"/>
        <v>475</v>
      </c>
      <c r="H73" s="73">
        <f t="shared" si="7"/>
        <v>105263.15789473684</v>
      </c>
      <c r="I73" s="21" t="str">
        <f>'Data Analysis'!BM71 &amp; " | " &amp; 'Data Analysis'!BN71</f>
        <v>Big Win | Combo Win</v>
      </c>
      <c r="J73" s="36">
        <f t="shared" si="8"/>
        <v>6</v>
      </c>
      <c r="K73" s="66">
        <f t="shared" si="9"/>
        <v>2.8614457831325308E-4</v>
      </c>
    </row>
    <row r="74" spans="2:11">
      <c r="B74" s="16">
        <f>Tiers!B73</f>
        <v>70</v>
      </c>
      <c r="C74" s="17" t="str">
        <f>Tiers!Y73</f>
        <v>main-5|main-25|main-25||||||| x 1</v>
      </c>
      <c r="D74" s="73">
        <f>Tiers!C73</f>
        <v>42</v>
      </c>
      <c r="E74" s="36">
        <v>16</v>
      </c>
      <c r="F74" s="36">
        <f t="shared" si="5"/>
        <v>2000000</v>
      </c>
      <c r="G74" s="73">
        <f t="shared" si="6"/>
        <v>672</v>
      </c>
      <c r="H74" s="73">
        <f t="shared" si="7"/>
        <v>125000</v>
      </c>
      <c r="I74" s="21" t="str">
        <f>'Data Analysis'!BM72 &amp; " | " &amp; 'Data Analysis'!BN72</f>
        <v>Big Win | Combo Win</v>
      </c>
      <c r="J74" s="36">
        <f t="shared" si="8"/>
        <v>6</v>
      </c>
      <c r="K74" s="66">
        <f t="shared" si="9"/>
        <v>4.0481927710843386E-4</v>
      </c>
    </row>
    <row r="75" spans="2:11">
      <c r="B75" s="16">
        <f>Tiers!B74</f>
        <v>71</v>
      </c>
      <c r="C75" s="17" t="str">
        <f>Tiers!Y74</f>
        <v>main-5|main-8|main-14||||||| x 1</v>
      </c>
      <c r="D75" s="73">
        <f>Tiers!C74</f>
        <v>17</v>
      </c>
      <c r="E75" s="36">
        <v>1</v>
      </c>
      <c r="F75" s="36">
        <f t="shared" si="5"/>
        <v>2000000</v>
      </c>
      <c r="G75" s="73">
        <f t="shared" si="6"/>
        <v>17</v>
      </c>
      <c r="H75" s="73">
        <f t="shared" si="7"/>
        <v>2000000</v>
      </c>
      <c r="I75" s="21" t="str">
        <f>'Data Analysis'!BM73 &amp; " | " &amp; 'Data Analysis'!BN73</f>
        <v>Big Win | Combo Win</v>
      </c>
      <c r="J75" s="36">
        <f t="shared" si="8"/>
        <v>6</v>
      </c>
      <c r="K75" s="66">
        <f t="shared" si="9"/>
        <v>1.024096385542169E-5</v>
      </c>
    </row>
    <row r="76" spans="2:11">
      <c r="B76" s="16">
        <f>Tiers!B75</f>
        <v>72</v>
      </c>
      <c r="C76" s="17" t="str">
        <f>Tiers!Y75</f>
        <v>main-15|main-9|main-3||||||| x 1</v>
      </c>
      <c r="D76" s="73">
        <f>Tiers!C75</f>
        <v>26</v>
      </c>
      <c r="E76" s="36">
        <v>18</v>
      </c>
      <c r="F76" s="36">
        <f t="shared" si="5"/>
        <v>2000000</v>
      </c>
      <c r="G76" s="73">
        <f t="shared" si="6"/>
        <v>468</v>
      </c>
      <c r="H76" s="73">
        <f t="shared" si="7"/>
        <v>111111.11111111111</v>
      </c>
      <c r="I76" s="21" t="str">
        <f>'Data Analysis'!BM74 &amp; " | " &amp; 'Data Analysis'!BN74</f>
        <v>Big Win | Combo Win</v>
      </c>
      <c r="J76" s="36">
        <f t="shared" si="8"/>
        <v>6</v>
      </c>
      <c r="K76" s="66">
        <f t="shared" si="9"/>
        <v>2.819277108433736E-4</v>
      </c>
    </row>
    <row r="77" spans="2:11">
      <c r="B77" s="16">
        <f>Tiers!B76</f>
        <v>73</v>
      </c>
      <c r="C77" s="17" t="str">
        <f>Tiers!Y76</f>
        <v>main-31|main-7|main-2||||||| x 1</v>
      </c>
      <c r="D77" s="73">
        <f>Tiers!C76</f>
        <v>8.5</v>
      </c>
      <c r="E77" s="36">
        <v>6</v>
      </c>
      <c r="F77" s="36">
        <f t="shared" si="5"/>
        <v>2000000</v>
      </c>
      <c r="G77" s="73">
        <f t="shared" si="6"/>
        <v>51</v>
      </c>
      <c r="H77" s="73">
        <f t="shared" si="7"/>
        <v>333333.33333333331</v>
      </c>
      <c r="I77" s="21" t="str">
        <f>'Data Analysis'!BM75 &amp; " | " &amp; 'Data Analysis'!BN75</f>
        <v>Standard Win | Combo Win</v>
      </c>
      <c r="J77" s="36">
        <f t="shared" si="8"/>
        <v>6</v>
      </c>
      <c r="K77" s="66">
        <f t="shared" si="9"/>
        <v>3.0722891566265072E-5</v>
      </c>
    </row>
    <row r="78" spans="2:11">
      <c r="B78" s="16">
        <f>Tiers!B77</f>
        <v>74</v>
      </c>
      <c r="C78" s="17" t="str">
        <f>Tiers!Y77</f>
        <v>main-8|main-12|main-5||||||| x 1</v>
      </c>
      <c r="D78" s="73">
        <f>Tiers!C77</f>
        <v>9</v>
      </c>
      <c r="E78" s="36">
        <v>6</v>
      </c>
      <c r="F78" s="36">
        <f t="shared" si="5"/>
        <v>2000000</v>
      </c>
      <c r="G78" s="73">
        <f t="shared" si="6"/>
        <v>54</v>
      </c>
      <c r="H78" s="73">
        <f t="shared" si="7"/>
        <v>333333.33333333331</v>
      </c>
      <c r="I78" s="21" t="str">
        <f>'Data Analysis'!BM76 &amp; " | " &amp; 'Data Analysis'!BN76</f>
        <v>Standard Win | Combo Win</v>
      </c>
      <c r="J78" s="36">
        <f t="shared" si="8"/>
        <v>6</v>
      </c>
      <c r="K78" s="66">
        <f t="shared" si="9"/>
        <v>3.253012048192772E-5</v>
      </c>
    </row>
    <row r="79" spans="2:11">
      <c r="B79" s="16">
        <f>Tiers!B78</f>
        <v>75</v>
      </c>
      <c r="C79" s="17" t="str">
        <f>Tiers!Y78</f>
        <v>main-30|main-25|main-1||||||| x 1</v>
      </c>
      <c r="D79" s="73">
        <f>Tiers!C78</f>
        <v>22.2</v>
      </c>
      <c r="E79" s="36">
        <v>21</v>
      </c>
      <c r="F79" s="36">
        <f t="shared" si="5"/>
        <v>2000000</v>
      </c>
      <c r="G79" s="73">
        <f t="shared" si="6"/>
        <v>466.2</v>
      </c>
      <c r="H79" s="73">
        <f t="shared" si="7"/>
        <v>95238.095238095237</v>
      </c>
      <c r="I79" s="21" t="str">
        <f>'Data Analysis'!BM77 &amp; " | " &amp; 'Data Analysis'!BN77</f>
        <v>Big Win | Combo Win</v>
      </c>
      <c r="J79" s="36">
        <f t="shared" si="8"/>
        <v>6</v>
      </c>
      <c r="K79" s="66">
        <f t="shared" si="9"/>
        <v>2.8084337349397595E-4</v>
      </c>
    </row>
    <row r="80" spans="2:11">
      <c r="B80" s="16">
        <f>Tiers!B79</f>
        <v>76</v>
      </c>
      <c r="C80" s="17" t="str">
        <f>Tiers!Y79</f>
        <v>main-4|main-0|main-1|main-1|||||| x 1</v>
      </c>
      <c r="D80" s="73">
        <f>Tiers!C79</f>
        <v>2</v>
      </c>
      <c r="E80" s="36">
        <v>24</v>
      </c>
      <c r="F80" s="36">
        <f t="shared" si="5"/>
        <v>2000000</v>
      </c>
      <c r="G80" s="73">
        <f t="shared" si="6"/>
        <v>48</v>
      </c>
      <c r="H80" s="73">
        <f t="shared" si="7"/>
        <v>83333.333333333328</v>
      </c>
      <c r="I80" s="21" t="str">
        <f>'Data Analysis'!BM78 &amp; " | " &amp; 'Data Analysis'!BN78</f>
        <v>Standard Win | Combo Win</v>
      </c>
      <c r="J80" s="36">
        <f t="shared" si="8"/>
        <v>6</v>
      </c>
      <c r="K80" s="66">
        <f t="shared" si="9"/>
        <v>2.8915662650602416E-5</v>
      </c>
    </row>
    <row r="81" spans="2:11">
      <c r="B81" s="16">
        <f>Tiers!B80</f>
        <v>77</v>
      </c>
      <c r="C81" s="17" t="str">
        <f>Tiers!Y80</f>
        <v>main-3|main-4|main-2|main-21|||||| x 1</v>
      </c>
      <c r="D81" s="73">
        <f>Tiers!C80</f>
        <v>5</v>
      </c>
      <c r="E81" s="36">
        <v>96</v>
      </c>
      <c r="F81" s="36">
        <f t="shared" si="5"/>
        <v>2000000</v>
      </c>
      <c r="G81" s="73">
        <f t="shared" si="6"/>
        <v>480</v>
      </c>
      <c r="H81" s="73">
        <f t="shared" si="7"/>
        <v>20833.333333333332</v>
      </c>
      <c r="I81" s="21" t="str">
        <f>'Data Analysis'!BM79 &amp; " | " &amp; 'Data Analysis'!BN79</f>
        <v>Standard Win | Combo Win</v>
      </c>
      <c r="J81" s="36">
        <f t="shared" si="8"/>
        <v>6</v>
      </c>
      <c r="K81" s="66">
        <f t="shared" si="9"/>
        <v>2.8915662650602419E-4</v>
      </c>
    </row>
    <row r="82" spans="2:11">
      <c r="B82" s="16">
        <f>Tiers!B81</f>
        <v>78</v>
      </c>
      <c r="C82" s="17" t="str">
        <f>Tiers!Y81</f>
        <v>main-5|main-3|main-5|main-15|||||| x 1</v>
      </c>
      <c r="D82" s="73">
        <f>Tiers!C81</f>
        <v>20</v>
      </c>
      <c r="E82" s="36">
        <v>24</v>
      </c>
      <c r="F82" s="36">
        <f t="shared" si="5"/>
        <v>2000000</v>
      </c>
      <c r="G82" s="73">
        <f t="shared" si="6"/>
        <v>480</v>
      </c>
      <c r="H82" s="73">
        <f t="shared" si="7"/>
        <v>83333.333333333328</v>
      </c>
      <c r="I82" s="21" t="str">
        <f>'Data Analysis'!BM80 &amp; " | " &amp; 'Data Analysis'!BN80</f>
        <v>Big Win | Combo Win</v>
      </c>
      <c r="J82" s="36">
        <f t="shared" si="8"/>
        <v>6</v>
      </c>
      <c r="K82" s="66">
        <f t="shared" si="9"/>
        <v>2.8915662650602419E-4</v>
      </c>
    </row>
    <row r="83" spans="2:11">
      <c r="B83" s="16">
        <f>Tiers!B82</f>
        <v>79</v>
      </c>
      <c r="C83" s="17" t="str">
        <f>Tiers!Y82</f>
        <v>main-5|main-13|main-25|main-22|||||| x 1</v>
      </c>
      <c r="D83" s="73">
        <f>Tiers!C82</f>
        <v>32</v>
      </c>
      <c r="E83" s="36">
        <v>15</v>
      </c>
      <c r="F83" s="36">
        <f t="shared" si="5"/>
        <v>2000000</v>
      </c>
      <c r="G83" s="73">
        <f t="shared" si="6"/>
        <v>480</v>
      </c>
      <c r="H83" s="73">
        <f t="shared" si="7"/>
        <v>133333.33333333334</v>
      </c>
      <c r="I83" s="21" t="str">
        <f>'Data Analysis'!BM81 &amp; " | " &amp; 'Data Analysis'!BN81</f>
        <v>Big Win | Combo Win</v>
      </c>
      <c r="J83" s="36">
        <f t="shared" si="8"/>
        <v>6</v>
      </c>
      <c r="K83" s="66">
        <f t="shared" si="9"/>
        <v>2.8915662650602419E-4</v>
      </c>
    </row>
    <row r="84" spans="2:11">
      <c r="B84" s="16">
        <f>Tiers!B83</f>
        <v>80</v>
      </c>
      <c r="C84" s="17" t="str">
        <f>Tiers!Y83</f>
        <v>main-22|main-13|main-34|main-25|||||| x 1</v>
      </c>
      <c r="D84" s="73">
        <f>Tiers!C83</f>
        <v>50</v>
      </c>
      <c r="E84" s="36">
        <v>10</v>
      </c>
      <c r="F84" s="36">
        <f t="shared" si="5"/>
        <v>2000000</v>
      </c>
      <c r="G84" s="73">
        <f t="shared" si="6"/>
        <v>500</v>
      </c>
      <c r="H84" s="73">
        <f t="shared" si="7"/>
        <v>200000</v>
      </c>
      <c r="I84" s="21" t="str">
        <f>'Data Analysis'!BM82 &amp; " | " &amp; 'Data Analysis'!BN82</f>
        <v>Huge Win | Combo Win</v>
      </c>
      <c r="J84" s="36">
        <f t="shared" si="8"/>
        <v>6</v>
      </c>
      <c r="K84" s="66">
        <f t="shared" si="9"/>
        <v>3.0120481927710851E-4</v>
      </c>
    </row>
    <row r="85" spans="2:11">
      <c r="B85" s="16">
        <f>Tiers!B84</f>
        <v>81</v>
      </c>
      <c r="C85" s="17" t="str">
        <f>Tiers!Y84</f>
        <v>main-3|main-12|main-3|main-2|||||| x 1</v>
      </c>
      <c r="D85" s="73">
        <f>Tiers!C84</f>
        <v>4.5</v>
      </c>
      <c r="E85" s="36">
        <v>10</v>
      </c>
      <c r="F85" s="36">
        <f t="shared" si="5"/>
        <v>2000000</v>
      </c>
      <c r="G85" s="73">
        <f t="shared" si="6"/>
        <v>45</v>
      </c>
      <c r="H85" s="73">
        <f t="shared" si="7"/>
        <v>200000</v>
      </c>
      <c r="I85" s="21" t="str">
        <f>'Data Analysis'!BM83 &amp; " | " &amp; 'Data Analysis'!BN83</f>
        <v>Standard Win | Combo Win</v>
      </c>
      <c r="J85" s="36">
        <f t="shared" si="8"/>
        <v>6</v>
      </c>
      <c r="K85" s="66">
        <f t="shared" si="9"/>
        <v>2.7108433734939768E-5</v>
      </c>
    </row>
    <row r="86" spans="2:11">
      <c r="B86" s="16">
        <f>Tiers!B85</f>
        <v>82</v>
      </c>
      <c r="C86" s="17" t="str">
        <f>Tiers!Y85</f>
        <v>main-8|main-5|main-12|main-3|||||| x 1</v>
      </c>
      <c r="D86" s="73">
        <f>Tiers!C85</f>
        <v>10</v>
      </c>
      <c r="E86" s="36">
        <v>18</v>
      </c>
      <c r="F86" s="36">
        <f t="shared" si="5"/>
        <v>2000000</v>
      </c>
      <c r="G86" s="73">
        <f t="shared" si="6"/>
        <v>180</v>
      </c>
      <c r="H86" s="73">
        <f t="shared" si="7"/>
        <v>111111.11111111111</v>
      </c>
      <c r="I86" s="21" t="str">
        <f>'Data Analysis'!BM84 &amp; " | " &amp; 'Data Analysis'!BN84</f>
        <v>Big Win | Combo Win</v>
      </c>
      <c r="J86" s="36">
        <f t="shared" si="8"/>
        <v>6</v>
      </c>
      <c r="K86" s="66">
        <f t="shared" si="9"/>
        <v>1.0843373493975907E-4</v>
      </c>
    </row>
    <row r="87" spans="2:11">
      <c r="B87" s="16">
        <f>Tiers!B86</f>
        <v>83</v>
      </c>
      <c r="C87" s="17" t="str">
        <f>Tiers!Y86</f>
        <v>main-9|main-4|main-11|main-15|||||| x 1</v>
      </c>
      <c r="D87" s="73">
        <f>Tiers!C86</f>
        <v>28</v>
      </c>
      <c r="E87" s="36">
        <v>17</v>
      </c>
      <c r="F87" s="36">
        <f t="shared" si="5"/>
        <v>2000000</v>
      </c>
      <c r="G87" s="73">
        <f t="shared" si="6"/>
        <v>476</v>
      </c>
      <c r="H87" s="73">
        <f t="shared" si="7"/>
        <v>117647.05882352941</v>
      </c>
      <c r="I87" s="21" t="str">
        <f>'Data Analysis'!BM85 &amp; " | " &amp; 'Data Analysis'!BN85</f>
        <v>Big Win | Combo Win</v>
      </c>
      <c r="J87" s="36">
        <f t="shared" si="8"/>
        <v>6</v>
      </c>
      <c r="K87" s="66">
        <f t="shared" si="9"/>
        <v>2.8674698795180733E-4</v>
      </c>
    </row>
    <row r="88" spans="2:11">
      <c r="B88" s="16">
        <f>Tiers!B87</f>
        <v>84</v>
      </c>
      <c r="C88" s="17" t="str">
        <f>Tiers!Y87</f>
        <v>main-4|main-25|main-8|main-2|||||| x 1</v>
      </c>
      <c r="D88" s="73">
        <f>Tiers!C87</f>
        <v>27</v>
      </c>
      <c r="E88" s="36">
        <v>19</v>
      </c>
      <c r="F88" s="36">
        <f t="shared" si="5"/>
        <v>2000000</v>
      </c>
      <c r="G88" s="73">
        <f t="shared" si="6"/>
        <v>513</v>
      </c>
      <c r="H88" s="73">
        <f t="shared" si="7"/>
        <v>105263.15789473684</v>
      </c>
      <c r="I88" s="21" t="str">
        <f>'Data Analysis'!BM86 &amp; " | " &amp; 'Data Analysis'!BN86</f>
        <v>Big Win | Combo Win</v>
      </c>
      <c r="J88" s="36">
        <f t="shared" si="8"/>
        <v>6</v>
      </c>
      <c r="K88" s="66">
        <f t="shared" si="9"/>
        <v>3.0903614457831335E-4</v>
      </c>
    </row>
    <row r="89" spans="2:11">
      <c r="B89" s="16">
        <f>Tiers!B88</f>
        <v>85</v>
      </c>
      <c r="C89" s="17" t="str">
        <f>Tiers!Y88</f>
        <v>main-4|main-2|main-5|main-3|main-3||||| x 1</v>
      </c>
      <c r="D89" s="73">
        <f>Tiers!C88</f>
        <v>6</v>
      </c>
      <c r="E89" s="36">
        <v>9</v>
      </c>
      <c r="F89" s="36">
        <f t="shared" si="5"/>
        <v>2000000</v>
      </c>
      <c r="G89" s="73">
        <f t="shared" si="6"/>
        <v>54</v>
      </c>
      <c r="H89" s="73">
        <f t="shared" si="7"/>
        <v>222222.22222222222</v>
      </c>
      <c r="I89" s="21" t="str">
        <f>'Data Analysis'!BM87 &amp; " | " &amp; 'Data Analysis'!BN87</f>
        <v>Standard Win | Combo Win</v>
      </c>
      <c r="J89" s="36">
        <f t="shared" si="8"/>
        <v>6</v>
      </c>
      <c r="K89" s="66">
        <f t="shared" si="9"/>
        <v>3.253012048192772E-5</v>
      </c>
    </row>
    <row r="90" spans="2:11">
      <c r="B90" s="16">
        <f>Tiers!B89</f>
        <v>86</v>
      </c>
      <c r="C90" s="17" t="str">
        <f>Tiers!Y89</f>
        <v>main-15|main-5|main-2|main-12|main-4||||| x 1</v>
      </c>
      <c r="D90" s="73">
        <f>Tiers!C89</f>
        <v>21</v>
      </c>
      <c r="E90" s="36">
        <v>23</v>
      </c>
      <c r="F90" s="36">
        <f t="shared" si="5"/>
        <v>2000000</v>
      </c>
      <c r="G90" s="73">
        <f t="shared" si="6"/>
        <v>483</v>
      </c>
      <c r="H90" s="73">
        <f t="shared" si="7"/>
        <v>86956.521739130432</v>
      </c>
      <c r="I90" s="21" t="str">
        <f>'Data Analysis'!BM88 &amp; " | " &amp; 'Data Analysis'!BN88</f>
        <v>Big Win | Combo Win</v>
      </c>
      <c r="J90" s="36">
        <f t="shared" si="8"/>
        <v>6</v>
      </c>
      <c r="K90" s="66">
        <f t="shared" si="9"/>
        <v>2.9096385542168681E-4</v>
      </c>
    </row>
    <row r="91" spans="2:11">
      <c r="B91" s="16">
        <f>Tiers!B90</f>
        <v>87</v>
      </c>
      <c r="C91" s="17" t="str">
        <f>Tiers!Y90</f>
        <v>main-3|main-31|main-4|main-16|main-3||||| x 1</v>
      </c>
      <c r="D91" s="73">
        <f>Tiers!C90</f>
        <v>28.5</v>
      </c>
      <c r="E91" s="36">
        <v>17</v>
      </c>
      <c r="F91" s="36">
        <f t="shared" si="5"/>
        <v>2000000</v>
      </c>
      <c r="G91" s="73">
        <f t="shared" si="6"/>
        <v>484.5</v>
      </c>
      <c r="H91" s="73">
        <f t="shared" si="7"/>
        <v>117647.05882352941</v>
      </c>
      <c r="I91" s="21" t="str">
        <f>'Data Analysis'!BM89 &amp; " | " &amp; 'Data Analysis'!BN89</f>
        <v>Big Win | Combo Win</v>
      </c>
      <c r="J91" s="36">
        <f t="shared" si="8"/>
        <v>6</v>
      </c>
      <c r="K91" s="66">
        <f t="shared" si="9"/>
        <v>2.9186746987951818E-4</v>
      </c>
    </row>
    <row r="92" spans="2:11">
      <c r="B92" s="16">
        <f>Tiers!B91</f>
        <v>88</v>
      </c>
      <c r="C92" s="17" t="str">
        <f>Tiers!Y91</f>
        <v>main-3|main-4|main-2|main-8|main-5||||| x 1</v>
      </c>
      <c r="D92" s="73">
        <f>Tiers!C91</f>
        <v>10</v>
      </c>
      <c r="E92" s="36">
        <v>48</v>
      </c>
      <c r="F92" s="36">
        <f t="shared" si="5"/>
        <v>2000000</v>
      </c>
      <c r="G92" s="73">
        <f t="shared" si="6"/>
        <v>480</v>
      </c>
      <c r="H92" s="73">
        <f t="shared" si="7"/>
        <v>41666.666666666664</v>
      </c>
      <c r="I92" s="21" t="str">
        <f>'Data Analysis'!BM90 &amp; " | " &amp; 'Data Analysis'!BN90</f>
        <v>Big Win | Combo Win</v>
      </c>
      <c r="J92" s="36">
        <f t="shared" si="8"/>
        <v>6</v>
      </c>
      <c r="K92" s="66">
        <f t="shared" si="9"/>
        <v>2.8915662650602419E-4</v>
      </c>
    </row>
    <row r="93" spans="2:11">
      <c r="B93" s="16">
        <f>Tiers!B92</f>
        <v>89</v>
      </c>
      <c r="C93" s="17" t="str">
        <f>Tiers!Y92</f>
        <v>main-6|main-32|main-31|main-8|main-4||||| x 1</v>
      </c>
      <c r="D93" s="73">
        <f>Tiers!C92</f>
        <v>24</v>
      </c>
      <c r="E93" s="36">
        <v>20</v>
      </c>
      <c r="F93" s="36">
        <f t="shared" si="5"/>
        <v>2000000</v>
      </c>
      <c r="G93" s="73">
        <f t="shared" si="6"/>
        <v>480</v>
      </c>
      <c r="H93" s="73">
        <f t="shared" si="7"/>
        <v>100000</v>
      </c>
      <c r="I93" s="21" t="str">
        <f>'Data Analysis'!BM91 &amp; " | " &amp; 'Data Analysis'!BN91</f>
        <v>Big Win | Combo Win</v>
      </c>
      <c r="J93" s="36">
        <f t="shared" si="8"/>
        <v>6</v>
      </c>
      <c r="K93" s="66">
        <f t="shared" si="9"/>
        <v>2.8915662650602419E-4</v>
      </c>
    </row>
    <row r="94" spans="2:11">
      <c r="B94" s="16">
        <f>Tiers!B93</f>
        <v>90</v>
      </c>
      <c r="C94" s="17" t="str">
        <f>Tiers!Y93</f>
        <v>main-4|main-4|main-4|main-3|main-34||||| x 1</v>
      </c>
      <c r="D94" s="73">
        <f>Tiers!C93</f>
        <v>25.5</v>
      </c>
      <c r="E94" s="36">
        <v>19</v>
      </c>
      <c r="F94" s="36">
        <f t="shared" si="5"/>
        <v>2000000</v>
      </c>
      <c r="G94" s="73">
        <f t="shared" si="6"/>
        <v>484.5</v>
      </c>
      <c r="H94" s="73">
        <f t="shared" si="7"/>
        <v>105263.15789473684</v>
      </c>
      <c r="I94" s="21" t="str">
        <f>'Data Analysis'!BM92 &amp; " | " &amp; 'Data Analysis'!BN92</f>
        <v>Big Win | Combo Win</v>
      </c>
      <c r="J94" s="36">
        <f t="shared" si="8"/>
        <v>6</v>
      </c>
      <c r="K94" s="66">
        <f t="shared" si="9"/>
        <v>2.9186746987951818E-4</v>
      </c>
    </row>
    <row r="95" spans="2:11">
      <c r="B95" s="16">
        <f>Tiers!B94</f>
        <v>91</v>
      </c>
      <c r="C95" s="17" t="str">
        <f>Tiers!Y94</f>
        <v>main-5|main-21|main-4|main-4|main-1||||| x 1</v>
      </c>
      <c r="D95" s="73">
        <f>Tiers!C94</f>
        <v>7.2</v>
      </c>
      <c r="E95" s="36">
        <v>7</v>
      </c>
      <c r="F95" s="36">
        <f t="shared" si="5"/>
        <v>2000000</v>
      </c>
      <c r="G95" s="73">
        <f t="shared" si="6"/>
        <v>50.4</v>
      </c>
      <c r="H95" s="73">
        <f t="shared" si="7"/>
        <v>285714.28571428574</v>
      </c>
      <c r="I95" s="21" t="str">
        <f>'Data Analysis'!BM93 &amp; " | " &amp; 'Data Analysis'!BN93</f>
        <v>Standard Win | Combo Win</v>
      </c>
      <c r="J95" s="36">
        <f t="shared" si="8"/>
        <v>6</v>
      </c>
      <c r="K95" s="66">
        <f t="shared" si="9"/>
        <v>3.0361445783132538E-5</v>
      </c>
    </row>
    <row r="96" spans="2:11">
      <c r="B96" s="16">
        <f>Tiers!B95</f>
        <v>92</v>
      </c>
      <c r="C96" s="17" t="str">
        <f>Tiers!Y95</f>
        <v>main-7|main-5|main-5|main-14|main-3||||| x 1</v>
      </c>
      <c r="D96" s="73">
        <f>Tiers!C95</f>
        <v>18</v>
      </c>
      <c r="E96" s="36">
        <v>3</v>
      </c>
      <c r="F96" s="36">
        <f t="shared" si="5"/>
        <v>2000000</v>
      </c>
      <c r="G96" s="73">
        <f t="shared" si="6"/>
        <v>54</v>
      </c>
      <c r="H96" s="73">
        <f t="shared" si="7"/>
        <v>666666.66666666663</v>
      </c>
      <c r="I96" s="21" t="str">
        <f>'Data Analysis'!BM94 &amp; " | " &amp; 'Data Analysis'!BN94</f>
        <v>Big Win | Combo Win</v>
      </c>
      <c r="J96" s="36">
        <f t="shared" si="8"/>
        <v>6</v>
      </c>
      <c r="K96" s="66">
        <f t="shared" si="9"/>
        <v>3.253012048192772E-5</v>
      </c>
    </row>
    <row r="97" spans="2:11">
      <c r="B97" s="16">
        <f>Tiers!B96</f>
        <v>93</v>
      </c>
      <c r="C97" s="17" t="str">
        <f>Tiers!Y96</f>
        <v>main-5|main-3|main-9|main-32|main-7||||| x 1</v>
      </c>
      <c r="D97" s="73">
        <f>Tiers!C96</f>
        <v>26</v>
      </c>
      <c r="E97" s="36">
        <v>18</v>
      </c>
      <c r="F97" s="36">
        <f t="shared" si="5"/>
        <v>2000000</v>
      </c>
      <c r="G97" s="73">
        <f t="shared" si="6"/>
        <v>468</v>
      </c>
      <c r="H97" s="73">
        <f t="shared" si="7"/>
        <v>111111.11111111111</v>
      </c>
      <c r="I97" s="21" t="str">
        <f>'Data Analysis'!BM95 &amp; " | " &amp; 'Data Analysis'!BN95</f>
        <v>Big Win | Combo Win</v>
      </c>
      <c r="J97" s="36">
        <f t="shared" si="8"/>
        <v>6</v>
      </c>
      <c r="K97" s="66">
        <f t="shared" si="9"/>
        <v>2.819277108433736E-4</v>
      </c>
    </row>
    <row r="98" spans="2:11">
      <c r="B98" s="16">
        <f>Tiers!B97</f>
        <v>94</v>
      </c>
      <c r="C98" s="17" t="str">
        <f>Tiers!Y97</f>
        <v>main-2|main-23|main-3|main-7|main-14||||| x 1</v>
      </c>
      <c r="D98" s="73">
        <f>Tiers!C97</f>
        <v>24.5</v>
      </c>
      <c r="E98" s="36">
        <v>19</v>
      </c>
      <c r="F98" s="36">
        <f t="shared" si="5"/>
        <v>2000000</v>
      </c>
      <c r="G98" s="73">
        <f t="shared" si="6"/>
        <v>465.5</v>
      </c>
      <c r="H98" s="73">
        <f t="shared" si="7"/>
        <v>105263.15789473684</v>
      </c>
      <c r="I98" s="21" t="str">
        <f>'Data Analysis'!BM96 &amp; " | " &amp; 'Data Analysis'!BN96</f>
        <v>Big Win | Combo Win</v>
      </c>
      <c r="J98" s="36">
        <f t="shared" si="8"/>
        <v>6</v>
      </c>
      <c r="K98" s="66">
        <f t="shared" si="9"/>
        <v>2.8042168674698804E-4</v>
      </c>
    </row>
    <row r="99" spans="2:11">
      <c r="B99" s="16">
        <f>Tiers!B98</f>
        <v>95</v>
      </c>
      <c r="C99" s="125" t="str">
        <f>Tiers!Y98</f>
        <v>main-0||||||||| x 20</v>
      </c>
      <c r="D99" s="73">
        <f>Tiers!C98</f>
        <v>2</v>
      </c>
      <c r="E99" s="36">
        <v>2416</v>
      </c>
      <c r="F99" s="36">
        <f t="shared" si="5"/>
        <v>2000000</v>
      </c>
      <c r="G99" s="73">
        <f t="shared" si="6"/>
        <v>4832</v>
      </c>
      <c r="H99" s="73">
        <f t="shared" si="7"/>
        <v>827.81456953642385</v>
      </c>
      <c r="I99" s="21" t="str">
        <f>'Data Analysis'!BM97 &amp; " | " &amp; 'Data Analysis'!BN97</f>
        <v>Standard Win | Single Win</v>
      </c>
      <c r="J99" s="36">
        <f t="shared" si="8"/>
        <v>15</v>
      </c>
      <c r="K99" s="66">
        <f t="shared" si="9"/>
        <v>2.9108433734939768E-3</v>
      </c>
    </row>
    <row r="100" spans="2:11">
      <c r="B100" s="16">
        <f>Tiers!B99</f>
        <v>96</v>
      </c>
      <c r="C100" s="125" t="str">
        <f>Tiers!Y99</f>
        <v>main-1||||||||| x 20</v>
      </c>
      <c r="D100" s="73">
        <f>Tiers!C99</f>
        <v>4</v>
      </c>
      <c r="E100" s="36">
        <v>1800</v>
      </c>
      <c r="F100" s="36">
        <f t="shared" si="5"/>
        <v>2000000</v>
      </c>
      <c r="G100" s="73">
        <f t="shared" si="6"/>
        <v>7200</v>
      </c>
      <c r="H100" s="73">
        <f t="shared" si="7"/>
        <v>1111.1111111111111</v>
      </c>
      <c r="I100" s="21" t="str">
        <f>'Data Analysis'!BM98 &amp; " | " &amp; 'Data Analysis'!BN98</f>
        <v>Standard Win | Single Win</v>
      </c>
      <c r="J100" s="36">
        <f t="shared" si="8"/>
        <v>13</v>
      </c>
      <c r="K100" s="66">
        <f t="shared" si="9"/>
        <v>4.3373493975903624E-3</v>
      </c>
    </row>
    <row r="101" spans="2:11">
      <c r="B101" s="16">
        <f>Tiers!B100</f>
        <v>97</v>
      </c>
      <c r="C101" s="125" t="str">
        <f>Tiers!Y100</f>
        <v>main-2||||||||| x 20</v>
      </c>
      <c r="D101" s="73">
        <f>Tiers!C100</f>
        <v>10</v>
      </c>
      <c r="E101" s="36">
        <v>1200</v>
      </c>
      <c r="F101" s="36">
        <f t="shared" si="5"/>
        <v>2000000</v>
      </c>
      <c r="G101" s="73">
        <f t="shared" si="6"/>
        <v>12000</v>
      </c>
      <c r="H101" s="73">
        <f t="shared" si="7"/>
        <v>1666.6666666666667</v>
      </c>
      <c r="I101" s="21" t="str">
        <f>'Data Analysis'!BM99 &amp; " | " &amp; 'Data Analysis'!BN99</f>
        <v>Big Win | Single Win</v>
      </c>
      <c r="J101" s="36">
        <f t="shared" si="8"/>
        <v>11</v>
      </c>
      <c r="K101" s="66">
        <f t="shared" si="9"/>
        <v>7.2289156626506043E-3</v>
      </c>
    </row>
    <row r="102" spans="2:11">
      <c r="B102" s="16">
        <f>Tiers!B101</f>
        <v>98</v>
      </c>
      <c r="C102" s="125" t="str">
        <f>Tiers!Y101</f>
        <v>main-3||||||||| x 20</v>
      </c>
      <c r="D102" s="73">
        <f>Tiers!C101</f>
        <v>20</v>
      </c>
      <c r="E102" s="36">
        <v>900</v>
      </c>
      <c r="F102" s="36">
        <f t="shared" si="5"/>
        <v>2000000</v>
      </c>
      <c r="G102" s="73">
        <f t="shared" si="6"/>
        <v>18000</v>
      </c>
      <c r="H102" s="73">
        <f t="shared" si="7"/>
        <v>2222.2222222222222</v>
      </c>
      <c r="I102" s="21" t="str">
        <f>'Data Analysis'!BM100 &amp; " | " &amp; 'Data Analysis'!BN100</f>
        <v>Big Win | Single Win</v>
      </c>
      <c r="J102" s="36">
        <f t="shared" si="8"/>
        <v>10</v>
      </c>
      <c r="K102" s="66">
        <f t="shared" si="9"/>
        <v>1.0843373493975907E-2</v>
      </c>
    </row>
    <row r="103" spans="2:11">
      <c r="B103" s="16">
        <f>Tiers!B102</f>
        <v>99</v>
      </c>
      <c r="C103" s="125" t="str">
        <f>Tiers!Y102</f>
        <v>main-4||||||||| x 20</v>
      </c>
      <c r="D103" s="73">
        <f>Tiers!C102</f>
        <v>30</v>
      </c>
      <c r="E103" s="36">
        <v>162</v>
      </c>
      <c r="F103" s="36">
        <f t="shared" si="5"/>
        <v>2000000</v>
      </c>
      <c r="G103" s="73">
        <f t="shared" si="6"/>
        <v>4860</v>
      </c>
      <c r="H103" s="73">
        <f t="shared" si="7"/>
        <v>12345.679012345679</v>
      </c>
      <c r="I103" s="21" t="str">
        <f>'Data Analysis'!BM101 &amp; " | " &amp; 'Data Analysis'!BN101</f>
        <v>Big Win | Single Win</v>
      </c>
      <c r="J103" s="36">
        <f t="shared" si="8"/>
        <v>7</v>
      </c>
      <c r="K103" s="66">
        <f t="shared" si="9"/>
        <v>2.9277108433734948E-3</v>
      </c>
    </row>
    <row r="104" spans="2:11">
      <c r="B104" s="16">
        <f>Tiers!B103</f>
        <v>100</v>
      </c>
      <c r="C104" s="125" t="str">
        <f>Tiers!Y103</f>
        <v>main-5||||||||| x 20</v>
      </c>
      <c r="D104" s="73">
        <f>Tiers!C103</f>
        <v>40</v>
      </c>
      <c r="E104" s="36">
        <v>200</v>
      </c>
      <c r="F104" s="36">
        <f t="shared" si="5"/>
        <v>2000000</v>
      </c>
      <c r="G104" s="73">
        <f t="shared" si="6"/>
        <v>8000</v>
      </c>
      <c r="H104" s="73">
        <f t="shared" si="7"/>
        <v>10000</v>
      </c>
      <c r="I104" s="21" t="str">
        <f>'Data Analysis'!BM102 &amp; " | " &amp; 'Data Analysis'!BN102</f>
        <v>Big Win | Single Win</v>
      </c>
      <c r="J104" s="36">
        <f t="shared" si="8"/>
        <v>7</v>
      </c>
      <c r="K104" s="66">
        <f t="shared" si="9"/>
        <v>4.8192771084337362E-3</v>
      </c>
    </row>
    <row r="105" spans="2:11">
      <c r="B105" s="16">
        <f>Tiers!B104</f>
        <v>101</v>
      </c>
      <c r="C105" s="125" t="str">
        <f>Tiers!Y104</f>
        <v>main-10||||||||| x 20</v>
      </c>
      <c r="D105" s="73">
        <f>Tiers!C104</f>
        <v>20</v>
      </c>
      <c r="E105" s="36">
        <v>900</v>
      </c>
      <c r="F105" s="36">
        <f t="shared" si="5"/>
        <v>2000000</v>
      </c>
      <c r="G105" s="73">
        <f t="shared" si="6"/>
        <v>18000</v>
      </c>
      <c r="H105" s="73">
        <f t="shared" si="7"/>
        <v>2222.2222222222222</v>
      </c>
      <c r="I105" s="21" t="str">
        <f>'Data Analysis'!BM103 &amp; " | " &amp; 'Data Analysis'!BN103</f>
        <v>Big Win | Single Win</v>
      </c>
      <c r="J105" s="36">
        <f t="shared" si="8"/>
        <v>10</v>
      </c>
      <c r="K105" s="66">
        <f t="shared" si="9"/>
        <v>1.0843373493975907E-2</v>
      </c>
    </row>
    <row r="106" spans="2:11">
      <c r="B106" s="16">
        <f>Tiers!B105</f>
        <v>102</v>
      </c>
      <c r="C106" s="125" t="str">
        <f>Tiers!Y105</f>
        <v>main-11||||||||| x 20</v>
      </c>
      <c r="D106" s="73">
        <f>Tiers!C105</f>
        <v>30</v>
      </c>
      <c r="E106" s="36">
        <v>162</v>
      </c>
      <c r="F106" s="36">
        <f t="shared" si="5"/>
        <v>2000000</v>
      </c>
      <c r="G106" s="73">
        <f t="shared" si="6"/>
        <v>4860</v>
      </c>
      <c r="H106" s="73">
        <f t="shared" si="7"/>
        <v>12345.679012345679</v>
      </c>
      <c r="I106" s="21" t="str">
        <f>'Data Analysis'!BM104 &amp; " | " &amp; 'Data Analysis'!BN104</f>
        <v>Big Win | Single Win</v>
      </c>
      <c r="J106" s="36">
        <f t="shared" si="8"/>
        <v>7</v>
      </c>
      <c r="K106" s="66">
        <f t="shared" si="9"/>
        <v>2.9277108433734948E-3</v>
      </c>
    </row>
    <row r="107" spans="2:11">
      <c r="B107" s="16">
        <f>Tiers!B106</f>
        <v>103</v>
      </c>
      <c r="C107" s="125" t="str">
        <f>Tiers!Y106</f>
        <v>main-12||||||||| x 20</v>
      </c>
      <c r="D107" s="73">
        <f>Tiers!C106</f>
        <v>40</v>
      </c>
      <c r="E107" s="36">
        <v>12</v>
      </c>
      <c r="F107" s="36">
        <f t="shared" si="5"/>
        <v>2000000</v>
      </c>
      <c r="G107" s="73">
        <f t="shared" si="6"/>
        <v>480</v>
      </c>
      <c r="H107" s="73">
        <f t="shared" si="7"/>
        <v>166666.66666666666</v>
      </c>
      <c r="I107" s="21" t="str">
        <f>'Data Analysis'!BM105 &amp; " | " &amp; 'Data Analysis'!BN105</f>
        <v>Big Win | Single Win</v>
      </c>
      <c r="J107" s="36">
        <f t="shared" si="8"/>
        <v>6</v>
      </c>
      <c r="K107" s="66">
        <f t="shared" si="9"/>
        <v>2.8915662650602419E-4</v>
      </c>
    </row>
    <row r="108" spans="2:11">
      <c r="B108" s="16">
        <f>Tiers!B107</f>
        <v>104</v>
      </c>
      <c r="C108" s="125" t="str">
        <f>Tiers!Y107</f>
        <v>main-13||||||||| x 20</v>
      </c>
      <c r="D108" s="73">
        <f>Tiers!C107</f>
        <v>100</v>
      </c>
      <c r="E108" s="36">
        <v>2</v>
      </c>
      <c r="F108" s="36">
        <f t="shared" si="5"/>
        <v>2000000</v>
      </c>
      <c r="G108" s="73">
        <f t="shared" si="6"/>
        <v>200</v>
      </c>
      <c r="H108" s="73">
        <f t="shared" si="7"/>
        <v>1000000</v>
      </c>
      <c r="I108" s="21" t="str">
        <f>'Data Analysis'!BM106 &amp; " | " &amp; 'Data Analysis'!BN106</f>
        <v>Huge Win | Single Win</v>
      </c>
      <c r="J108" s="36">
        <f t="shared" si="8"/>
        <v>6</v>
      </c>
      <c r="K108" s="66">
        <f t="shared" si="9"/>
        <v>1.2048192771084341E-4</v>
      </c>
    </row>
    <row r="109" spans="2:11">
      <c r="B109" s="16">
        <f>Tiers!B108</f>
        <v>105</v>
      </c>
      <c r="C109" s="125" t="str">
        <f>Tiers!Y108</f>
        <v>main-20||||||||| x 20</v>
      </c>
      <c r="D109" s="73">
        <f>Tiers!C108</f>
        <v>30</v>
      </c>
      <c r="E109" s="36">
        <v>162</v>
      </c>
      <c r="F109" s="36">
        <f t="shared" si="5"/>
        <v>2000000</v>
      </c>
      <c r="G109" s="73">
        <f t="shared" si="6"/>
        <v>4860</v>
      </c>
      <c r="H109" s="73">
        <f t="shared" si="7"/>
        <v>12345.679012345679</v>
      </c>
      <c r="I109" s="21" t="str">
        <f>'Data Analysis'!BM107 &amp; " | " &amp; 'Data Analysis'!BN107</f>
        <v>Big Win | Single Win</v>
      </c>
      <c r="J109" s="36">
        <f t="shared" si="8"/>
        <v>7</v>
      </c>
      <c r="K109" s="66">
        <f t="shared" si="9"/>
        <v>2.9277108433734948E-3</v>
      </c>
    </row>
    <row r="110" spans="2:11">
      <c r="B110" s="16">
        <f>Tiers!B109</f>
        <v>106</v>
      </c>
      <c r="C110" s="125" t="str">
        <f>Tiers!Y109</f>
        <v>main-21||||||||| x 20</v>
      </c>
      <c r="D110" s="73">
        <f>Tiers!C109</f>
        <v>40</v>
      </c>
      <c r="E110" s="36">
        <v>24</v>
      </c>
      <c r="F110" s="36">
        <f t="shared" si="5"/>
        <v>2000000</v>
      </c>
      <c r="G110" s="73">
        <f t="shared" si="6"/>
        <v>960</v>
      </c>
      <c r="H110" s="73">
        <f t="shared" si="7"/>
        <v>83333.333333333328</v>
      </c>
      <c r="I110" s="21" t="str">
        <f>'Data Analysis'!BM108 &amp; " | " &amp; 'Data Analysis'!BN108</f>
        <v>Big Win | Single Win</v>
      </c>
      <c r="J110" s="36">
        <f t="shared" si="8"/>
        <v>6</v>
      </c>
      <c r="K110" s="66">
        <f t="shared" si="9"/>
        <v>5.7831325301204838E-4</v>
      </c>
    </row>
    <row r="111" spans="2:11">
      <c r="B111" s="16">
        <f>Tiers!B110</f>
        <v>107</v>
      </c>
      <c r="C111" s="125" t="str">
        <f>Tiers!Y110</f>
        <v>main-30||||||||| x 20</v>
      </c>
      <c r="D111" s="73">
        <f>Tiers!C110</f>
        <v>40</v>
      </c>
      <c r="E111" s="36">
        <v>24</v>
      </c>
      <c r="F111" s="36">
        <f t="shared" si="5"/>
        <v>2000000</v>
      </c>
      <c r="G111" s="73">
        <f t="shared" si="6"/>
        <v>960</v>
      </c>
      <c r="H111" s="73">
        <f t="shared" si="7"/>
        <v>83333.333333333328</v>
      </c>
      <c r="I111" s="21" t="str">
        <f>'Data Analysis'!BM109 &amp; " | " &amp; 'Data Analysis'!BN109</f>
        <v>Big Win | Single Win</v>
      </c>
      <c r="J111" s="36">
        <f t="shared" si="8"/>
        <v>6</v>
      </c>
      <c r="K111" s="66">
        <f t="shared" si="9"/>
        <v>5.7831325301204838E-4</v>
      </c>
    </row>
    <row r="112" spans="2:11">
      <c r="B112" s="16">
        <f>Tiers!B111</f>
        <v>108</v>
      </c>
      <c r="C112" s="125" t="str">
        <f>Tiers!Y111</f>
        <v>main-0|main-0|||||||| x 20</v>
      </c>
      <c r="D112" s="73">
        <f>Tiers!C111</f>
        <v>4</v>
      </c>
      <c r="E112" s="36">
        <v>1800</v>
      </c>
      <c r="F112" s="36">
        <f t="shared" si="5"/>
        <v>2000000</v>
      </c>
      <c r="G112" s="73">
        <f t="shared" si="6"/>
        <v>7200</v>
      </c>
      <c r="H112" s="73">
        <f t="shared" si="7"/>
        <v>1111.1111111111111</v>
      </c>
      <c r="I112" s="21" t="str">
        <f>'Data Analysis'!BM110 &amp; " | " &amp; 'Data Analysis'!BN110</f>
        <v>Standard Win | Combo Win</v>
      </c>
      <c r="J112" s="36">
        <f t="shared" si="8"/>
        <v>13</v>
      </c>
      <c r="K112" s="66">
        <f t="shared" si="9"/>
        <v>4.3373493975903624E-3</v>
      </c>
    </row>
    <row r="113" spans="2:11">
      <c r="B113" s="16">
        <f>Tiers!B112</f>
        <v>109</v>
      </c>
      <c r="C113" s="125" t="str">
        <f>Tiers!Y112</f>
        <v>main-0|main-1|||||||| x 20</v>
      </c>
      <c r="D113" s="73">
        <f>Tiers!C112</f>
        <v>6.0000000000000009</v>
      </c>
      <c r="E113" s="36">
        <v>1500</v>
      </c>
      <c r="F113" s="36">
        <f t="shared" si="5"/>
        <v>2000000</v>
      </c>
      <c r="G113" s="73">
        <f t="shared" si="6"/>
        <v>9000.0000000000018</v>
      </c>
      <c r="H113" s="73">
        <f t="shared" si="7"/>
        <v>1333.3333333333333</v>
      </c>
      <c r="I113" s="21" t="str">
        <f>'Data Analysis'!BM111 &amp; " | " &amp; 'Data Analysis'!BN111</f>
        <v>Standard Win | Combo Win</v>
      </c>
      <c r="J113" s="36">
        <f t="shared" si="8"/>
        <v>12</v>
      </c>
      <c r="K113" s="66">
        <f t="shared" si="9"/>
        <v>5.4216867469879543E-3</v>
      </c>
    </row>
    <row r="114" spans="2:11">
      <c r="B114" s="16">
        <f>Tiers!B113</f>
        <v>110</v>
      </c>
      <c r="C114" s="125" t="str">
        <f>Tiers!Y113</f>
        <v>main-1|main-1|||||||| x 20</v>
      </c>
      <c r="D114" s="73">
        <f>Tiers!C113</f>
        <v>8</v>
      </c>
      <c r="E114" s="36">
        <v>1200</v>
      </c>
      <c r="F114" s="36">
        <f t="shared" si="5"/>
        <v>2000000</v>
      </c>
      <c r="G114" s="73">
        <f t="shared" si="6"/>
        <v>9600</v>
      </c>
      <c r="H114" s="73">
        <f t="shared" si="7"/>
        <v>1666.6666666666667</v>
      </c>
      <c r="I114" s="21" t="str">
        <f>'Data Analysis'!BM112 &amp; " | " &amp; 'Data Analysis'!BN112</f>
        <v>Standard Win | Combo Win</v>
      </c>
      <c r="J114" s="36">
        <f t="shared" si="8"/>
        <v>11</v>
      </c>
      <c r="K114" s="66">
        <f t="shared" si="9"/>
        <v>5.7831325301204838E-3</v>
      </c>
    </row>
    <row r="115" spans="2:11">
      <c r="B115" s="16">
        <f>Tiers!B114</f>
        <v>111</v>
      </c>
      <c r="C115" s="125" t="str">
        <f>Tiers!Y114</f>
        <v>main-0|main-2|||||||| x 20</v>
      </c>
      <c r="D115" s="73">
        <f>Tiers!C114</f>
        <v>12</v>
      </c>
      <c r="E115" s="36">
        <v>900</v>
      </c>
      <c r="F115" s="36">
        <f t="shared" si="5"/>
        <v>2000000</v>
      </c>
      <c r="G115" s="73">
        <f t="shared" si="6"/>
        <v>10800</v>
      </c>
      <c r="H115" s="73">
        <f t="shared" si="7"/>
        <v>2222.2222222222222</v>
      </c>
      <c r="I115" s="21" t="str">
        <f>'Data Analysis'!BM113 &amp; " | " &amp; 'Data Analysis'!BN113</f>
        <v>Big Win | Combo Win</v>
      </c>
      <c r="J115" s="36">
        <f t="shared" si="8"/>
        <v>10</v>
      </c>
      <c r="K115" s="66">
        <f t="shared" si="9"/>
        <v>6.5060240963855437E-3</v>
      </c>
    </row>
    <row r="116" spans="2:11">
      <c r="B116" s="16">
        <f>Tiers!B115</f>
        <v>112</v>
      </c>
      <c r="C116" s="125" t="str">
        <f>Tiers!Y115</f>
        <v>main-0|main-3|||||||| x 20</v>
      </c>
      <c r="D116" s="73">
        <f>Tiers!C115</f>
        <v>22</v>
      </c>
      <c r="E116" s="36">
        <v>900</v>
      </c>
      <c r="F116" s="36">
        <f t="shared" si="5"/>
        <v>2000000</v>
      </c>
      <c r="G116" s="73">
        <f t="shared" si="6"/>
        <v>19800</v>
      </c>
      <c r="H116" s="73">
        <f t="shared" si="7"/>
        <v>2222.2222222222222</v>
      </c>
      <c r="I116" s="21" t="str">
        <f>'Data Analysis'!BM114 &amp; " | " &amp; 'Data Analysis'!BN114</f>
        <v>Big Win | Combo Win</v>
      </c>
      <c r="J116" s="36">
        <f t="shared" si="8"/>
        <v>10</v>
      </c>
      <c r="K116" s="66">
        <f t="shared" si="9"/>
        <v>1.1927710843373497E-2</v>
      </c>
    </row>
    <row r="117" spans="2:11">
      <c r="B117" s="16">
        <f>Tiers!B116</f>
        <v>113</v>
      </c>
      <c r="C117" s="125" t="str">
        <f>Tiers!Y116</f>
        <v>main-0|main-4|||||||| x 20</v>
      </c>
      <c r="D117" s="73">
        <f>Tiers!C116</f>
        <v>32</v>
      </c>
      <c r="E117" s="36">
        <v>300</v>
      </c>
      <c r="F117" s="36">
        <f t="shared" si="5"/>
        <v>2000000</v>
      </c>
      <c r="G117" s="73">
        <f t="shared" si="6"/>
        <v>9600</v>
      </c>
      <c r="H117" s="73">
        <f t="shared" si="7"/>
        <v>6666.666666666667</v>
      </c>
      <c r="I117" s="21" t="str">
        <f>'Data Analysis'!BM115 &amp; " | " &amp; 'Data Analysis'!BN115</f>
        <v>Big Win | Combo Win</v>
      </c>
      <c r="J117" s="36">
        <f t="shared" si="8"/>
        <v>7</v>
      </c>
      <c r="K117" s="66">
        <f t="shared" si="9"/>
        <v>5.7831325301204838E-3</v>
      </c>
    </row>
    <row r="118" spans="2:11">
      <c r="B118" s="16">
        <f>Tiers!B117</f>
        <v>114</v>
      </c>
      <c r="C118" s="125" t="str">
        <f>Tiers!Y117</f>
        <v>main-2|main-20|||||||| x 20</v>
      </c>
      <c r="D118" s="73">
        <f>Tiers!C117</f>
        <v>40</v>
      </c>
      <c r="E118" s="36">
        <v>12</v>
      </c>
      <c r="F118" s="36">
        <f t="shared" si="5"/>
        <v>2000000</v>
      </c>
      <c r="G118" s="73">
        <f t="shared" si="6"/>
        <v>480</v>
      </c>
      <c r="H118" s="73">
        <f t="shared" si="7"/>
        <v>166666.66666666666</v>
      </c>
      <c r="I118" s="21" t="str">
        <f>'Data Analysis'!BM116 &amp; " | " &amp; 'Data Analysis'!BN116</f>
        <v>Big Win | Combo Win</v>
      </c>
      <c r="J118" s="36">
        <f t="shared" si="8"/>
        <v>6</v>
      </c>
      <c r="K118" s="66">
        <f t="shared" si="9"/>
        <v>2.8915662650602419E-4</v>
      </c>
    </row>
    <row r="119" spans="2:11">
      <c r="B119" s="16">
        <f>Tiers!B118</f>
        <v>115</v>
      </c>
      <c r="C119" s="125" t="str">
        <f>Tiers!Y118</f>
        <v>main-4|main-4|||||||| x 20</v>
      </c>
      <c r="D119" s="73">
        <f>Tiers!C118</f>
        <v>60</v>
      </c>
      <c r="E119" s="36">
        <v>8</v>
      </c>
      <c r="F119" s="36">
        <f t="shared" si="5"/>
        <v>2000000</v>
      </c>
      <c r="G119" s="73">
        <f t="shared" si="6"/>
        <v>480</v>
      </c>
      <c r="H119" s="73">
        <f t="shared" si="7"/>
        <v>250000</v>
      </c>
      <c r="I119" s="21" t="str">
        <f>'Data Analysis'!BM117 &amp; " | " &amp; 'Data Analysis'!BN117</f>
        <v>Huge Win | Combo Win</v>
      </c>
      <c r="J119" s="36">
        <f t="shared" si="8"/>
        <v>6</v>
      </c>
      <c r="K119" s="66">
        <f t="shared" si="9"/>
        <v>2.8915662650602419E-4</v>
      </c>
    </row>
    <row r="120" spans="2:11">
      <c r="B120" s="16">
        <f>Tiers!B119</f>
        <v>116</v>
      </c>
      <c r="C120" s="125" t="str">
        <f>Tiers!Y119</f>
        <v>main-4|main-11|||||||| x 20</v>
      </c>
      <c r="D120" s="73">
        <f>Tiers!C119</f>
        <v>60</v>
      </c>
      <c r="E120" s="36">
        <v>8</v>
      </c>
      <c r="F120" s="36">
        <f t="shared" si="5"/>
        <v>2000000</v>
      </c>
      <c r="G120" s="73">
        <f t="shared" si="6"/>
        <v>480</v>
      </c>
      <c r="H120" s="73">
        <f t="shared" si="7"/>
        <v>250000</v>
      </c>
      <c r="I120" s="21" t="str">
        <f>'Data Analysis'!BM118 &amp; " | " &amp; 'Data Analysis'!BN118</f>
        <v>Huge Win | Combo Win</v>
      </c>
      <c r="J120" s="36">
        <f t="shared" si="8"/>
        <v>6</v>
      </c>
      <c r="K120" s="66">
        <f t="shared" si="9"/>
        <v>2.8915662650602419E-4</v>
      </c>
    </row>
    <row r="121" spans="2:11">
      <c r="B121" s="16">
        <f>Tiers!B120</f>
        <v>117</v>
      </c>
      <c r="C121" s="125" t="str">
        <f>Tiers!Y120</f>
        <v>main-10|main-30|||||||| x 20</v>
      </c>
      <c r="D121" s="73">
        <f>Tiers!C120</f>
        <v>60</v>
      </c>
      <c r="E121" s="36">
        <v>8</v>
      </c>
      <c r="F121" s="36">
        <f t="shared" si="5"/>
        <v>2000000</v>
      </c>
      <c r="G121" s="73">
        <f t="shared" si="6"/>
        <v>480</v>
      </c>
      <c r="H121" s="73">
        <f t="shared" si="7"/>
        <v>250000</v>
      </c>
      <c r="I121" s="21" t="str">
        <f>'Data Analysis'!BM119 &amp; " | " &amp; 'Data Analysis'!BN119</f>
        <v>Huge Win | Combo Win</v>
      </c>
      <c r="J121" s="36">
        <f t="shared" si="8"/>
        <v>6</v>
      </c>
      <c r="K121" s="66">
        <f t="shared" si="9"/>
        <v>2.8915662650602419E-4</v>
      </c>
    </row>
    <row r="122" spans="2:11">
      <c r="B122" s="16">
        <f>Tiers!B121</f>
        <v>118</v>
      </c>
      <c r="C122" s="125" t="str">
        <f>Tiers!Y121</f>
        <v>main-0|main-0|main-2||||||| x 20</v>
      </c>
      <c r="D122" s="73">
        <f>Tiers!C121</f>
        <v>14</v>
      </c>
      <c r="E122" s="36">
        <v>900</v>
      </c>
      <c r="F122" s="36">
        <f t="shared" si="5"/>
        <v>2000000</v>
      </c>
      <c r="G122" s="73">
        <f t="shared" si="6"/>
        <v>12600</v>
      </c>
      <c r="H122" s="73">
        <f t="shared" si="7"/>
        <v>2222.2222222222222</v>
      </c>
      <c r="I122" s="21" t="str">
        <f>'Data Analysis'!BM120 &amp; " | " &amp; 'Data Analysis'!BN120</f>
        <v>Big Win | Combo Win</v>
      </c>
      <c r="J122" s="36">
        <f t="shared" si="8"/>
        <v>10</v>
      </c>
      <c r="K122" s="66">
        <f t="shared" si="9"/>
        <v>7.5903614457831347E-3</v>
      </c>
    </row>
    <row r="123" spans="2:11">
      <c r="B123" s="16">
        <f>Tiers!B122</f>
        <v>119</v>
      </c>
      <c r="C123" s="125" t="str">
        <f>Tiers!Y122</f>
        <v>main-1|main-1|main-2||||||| x 20</v>
      </c>
      <c r="D123" s="73">
        <f>Tiers!C122</f>
        <v>18</v>
      </c>
      <c r="E123" s="36">
        <v>900</v>
      </c>
      <c r="F123" s="36">
        <f t="shared" si="5"/>
        <v>2000000</v>
      </c>
      <c r="G123" s="73">
        <f t="shared" si="6"/>
        <v>16200</v>
      </c>
      <c r="H123" s="73">
        <f t="shared" si="7"/>
        <v>2222.2222222222222</v>
      </c>
      <c r="I123" s="21" t="str">
        <f>'Data Analysis'!BM121 &amp; " | " &amp; 'Data Analysis'!BN121</f>
        <v>Big Win | Combo Win</v>
      </c>
      <c r="J123" s="36">
        <f t="shared" si="8"/>
        <v>10</v>
      </c>
      <c r="K123" s="66">
        <f t="shared" si="9"/>
        <v>9.7590361445783168E-3</v>
      </c>
    </row>
    <row r="124" spans="2:11">
      <c r="B124" s="16">
        <f>Tiers!B123</f>
        <v>120</v>
      </c>
      <c r="C124" s="125" t="str">
        <f>Tiers!Y123</f>
        <v>main-2|main-3|main-10||||||| x 20</v>
      </c>
      <c r="D124" s="73">
        <f>Tiers!C123</f>
        <v>50</v>
      </c>
      <c r="E124" s="36">
        <v>5</v>
      </c>
      <c r="F124" s="36">
        <f t="shared" si="5"/>
        <v>2000000</v>
      </c>
      <c r="G124" s="73">
        <f t="shared" si="6"/>
        <v>250</v>
      </c>
      <c r="H124" s="73">
        <f t="shared" si="7"/>
        <v>400000</v>
      </c>
      <c r="I124" s="21" t="str">
        <f>'Data Analysis'!BM122 &amp; " | " &amp; 'Data Analysis'!BN122</f>
        <v>Huge Win | Combo Win</v>
      </c>
      <c r="J124" s="36">
        <f t="shared" si="8"/>
        <v>6</v>
      </c>
      <c r="K124" s="66">
        <f t="shared" si="9"/>
        <v>1.5060240963855426E-4</v>
      </c>
    </row>
    <row r="125" spans="2:11">
      <c r="B125" s="16">
        <f>Tiers!B124</f>
        <v>121</v>
      </c>
      <c r="C125" s="125" t="str">
        <f>Tiers!Y124</f>
        <v>main-0|main-0|main-12||||||| x 20</v>
      </c>
      <c r="D125" s="73">
        <f>Tiers!C124</f>
        <v>44</v>
      </c>
      <c r="E125" s="36">
        <v>110</v>
      </c>
      <c r="F125" s="36">
        <f t="shared" si="5"/>
        <v>2000000</v>
      </c>
      <c r="G125" s="73">
        <f t="shared" si="6"/>
        <v>4840</v>
      </c>
      <c r="H125" s="73">
        <f t="shared" si="7"/>
        <v>18181.81818181818</v>
      </c>
      <c r="I125" s="21" t="str">
        <f>'Data Analysis'!BM123 &amp; " | " &amp; 'Data Analysis'!BN123</f>
        <v>Big Win | Combo Win</v>
      </c>
      <c r="J125" s="36">
        <f t="shared" si="8"/>
        <v>6</v>
      </c>
      <c r="K125" s="66">
        <f t="shared" si="9"/>
        <v>2.9156626506024103E-3</v>
      </c>
    </row>
    <row r="126" spans="2:11">
      <c r="B126" s="16">
        <f>Tiers!B125</f>
        <v>122</v>
      </c>
      <c r="C126" s="125" t="str">
        <f>Tiers!Y125</f>
        <v>main-0|main-0|main-1||||||| x 20</v>
      </c>
      <c r="D126" s="73">
        <f>Tiers!C125</f>
        <v>8</v>
      </c>
      <c r="E126" s="36">
        <v>1500</v>
      </c>
      <c r="F126" s="36">
        <f t="shared" si="5"/>
        <v>2000000</v>
      </c>
      <c r="G126" s="73">
        <f t="shared" si="6"/>
        <v>12000</v>
      </c>
      <c r="H126" s="73">
        <f t="shared" si="7"/>
        <v>1333.3333333333333</v>
      </c>
      <c r="I126" s="21" t="str">
        <f>'Data Analysis'!BM124 &amp; " | " &amp; 'Data Analysis'!BN124</f>
        <v>Standard Win | Combo Win</v>
      </c>
      <c r="J126" s="36">
        <f t="shared" si="8"/>
        <v>12</v>
      </c>
      <c r="K126" s="66">
        <f t="shared" si="9"/>
        <v>7.2289156626506043E-3</v>
      </c>
    </row>
    <row r="127" spans="2:11">
      <c r="B127" s="16">
        <f>Tiers!B126</f>
        <v>123</v>
      </c>
      <c r="C127" s="125" t="str">
        <f>Tiers!Y126</f>
        <v>main-0|main-1|main-2|main-2|||||| x 20</v>
      </c>
      <c r="D127" s="73">
        <f>Tiers!C126</f>
        <v>26</v>
      </c>
      <c r="E127" s="36">
        <v>900</v>
      </c>
      <c r="F127" s="36">
        <f t="shared" si="5"/>
        <v>2000000</v>
      </c>
      <c r="G127" s="73">
        <f t="shared" si="6"/>
        <v>23400</v>
      </c>
      <c r="H127" s="73">
        <f t="shared" si="7"/>
        <v>2222.2222222222222</v>
      </c>
      <c r="I127" s="21" t="str">
        <f>'Data Analysis'!BM125 &amp; " | " &amp; 'Data Analysis'!BN125</f>
        <v>Big Win | Combo Win</v>
      </c>
      <c r="J127" s="36">
        <f t="shared" si="8"/>
        <v>10</v>
      </c>
      <c r="K127" s="66">
        <f t="shared" si="9"/>
        <v>1.4096385542168679E-2</v>
      </c>
    </row>
    <row r="128" spans="2:11">
      <c r="B128" s="16">
        <f>Tiers!B127</f>
        <v>124</v>
      </c>
      <c r="C128" s="125" t="str">
        <f>Tiers!Y127</f>
        <v>main-0|main-1|main-1|main-4|||||| x 20</v>
      </c>
      <c r="D128" s="73">
        <f>Tiers!C127</f>
        <v>40</v>
      </c>
      <c r="E128" s="36">
        <v>200</v>
      </c>
      <c r="F128" s="36">
        <f t="shared" si="5"/>
        <v>2000000</v>
      </c>
      <c r="G128" s="73">
        <f t="shared" si="6"/>
        <v>8000</v>
      </c>
      <c r="H128" s="73">
        <f t="shared" si="7"/>
        <v>10000</v>
      </c>
      <c r="I128" s="21" t="str">
        <f>'Data Analysis'!BM126 &amp; " | " &amp; 'Data Analysis'!BN126</f>
        <v>Big Win | Combo Win</v>
      </c>
      <c r="J128" s="36">
        <f t="shared" si="8"/>
        <v>7</v>
      </c>
      <c r="K128" s="66">
        <f t="shared" si="9"/>
        <v>4.8192771084337362E-3</v>
      </c>
    </row>
    <row r="129" spans="2:11">
      <c r="B129" s="16">
        <f>Tiers!B128</f>
        <v>125</v>
      </c>
      <c r="C129" s="125" t="str">
        <f>Tiers!Y128</f>
        <v>main-0|main-0|main-1|main-10|||||| x 20</v>
      </c>
      <c r="D129" s="73">
        <f>Tiers!C128</f>
        <v>28</v>
      </c>
      <c r="E129" s="36">
        <v>900</v>
      </c>
      <c r="F129" s="36">
        <f t="shared" si="5"/>
        <v>2000000</v>
      </c>
      <c r="G129" s="73">
        <f t="shared" si="6"/>
        <v>25200</v>
      </c>
      <c r="H129" s="73">
        <f t="shared" si="7"/>
        <v>2222.2222222222222</v>
      </c>
      <c r="I129" s="21" t="str">
        <f>'Data Analysis'!BM127 &amp; " | " &amp; 'Data Analysis'!BN127</f>
        <v>Big Win | Combo Win</v>
      </c>
      <c r="J129" s="36">
        <f t="shared" si="8"/>
        <v>10</v>
      </c>
      <c r="K129" s="66">
        <f t="shared" si="9"/>
        <v>1.5180722891566269E-2</v>
      </c>
    </row>
    <row r="130" spans="2:11">
      <c r="B130" s="16">
        <f>Tiers!B129</f>
        <v>126</v>
      </c>
      <c r="C130" s="125" t="str">
        <f>Tiers!Y129</f>
        <v>main-0|main-0|main-0|main-1|||||| x 20</v>
      </c>
      <c r="D130" s="73">
        <f>Tiers!C129</f>
        <v>10</v>
      </c>
      <c r="E130" s="36">
        <v>900</v>
      </c>
      <c r="F130" s="36">
        <f t="shared" si="5"/>
        <v>2000000</v>
      </c>
      <c r="G130" s="73">
        <f t="shared" si="6"/>
        <v>9000</v>
      </c>
      <c r="H130" s="73">
        <f t="shared" si="7"/>
        <v>2222.2222222222222</v>
      </c>
      <c r="I130" s="21" t="str">
        <f>'Data Analysis'!BM128 &amp; " | " &amp; 'Data Analysis'!BN128</f>
        <v>Big Win | Combo Win</v>
      </c>
      <c r="J130" s="36">
        <f t="shared" si="8"/>
        <v>10</v>
      </c>
      <c r="K130" s="66">
        <f t="shared" si="9"/>
        <v>5.4216867469879535E-3</v>
      </c>
    </row>
    <row r="131" spans="2:11">
      <c r="B131" s="16">
        <f>Tiers!B130</f>
        <v>127</v>
      </c>
      <c r="C131" s="125" t="str">
        <f>Tiers!Y130</f>
        <v>main-0|main-0|main-1|main-1|||||| x 20</v>
      </c>
      <c r="D131" s="73">
        <f>Tiers!C130</f>
        <v>12.000000000000002</v>
      </c>
      <c r="E131" s="36">
        <v>900</v>
      </c>
      <c r="F131" s="36">
        <f t="shared" si="5"/>
        <v>2000000</v>
      </c>
      <c r="G131" s="73">
        <f t="shared" si="6"/>
        <v>10800.000000000002</v>
      </c>
      <c r="H131" s="73">
        <f t="shared" si="7"/>
        <v>2222.2222222222222</v>
      </c>
      <c r="I131" s="21" t="str">
        <f>'Data Analysis'!BM129 &amp; " | " &amp; 'Data Analysis'!BN129</f>
        <v>Big Win | Combo Win</v>
      </c>
      <c r="J131" s="36">
        <f t="shared" si="8"/>
        <v>10</v>
      </c>
      <c r="K131" s="66">
        <f t="shared" si="9"/>
        <v>6.5060240963855454E-3</v>
      </c>
    </row>
    <row r="132" spans="2:11">
      <c r="B132" s="16">
        <f>Tiers!B131</f>
        <v>128</v>
      </c>
      <c r="C132" s="125" t="str">
        <f>Tiers!Y131</f>
        <v>main-0|main-0|main-1|main-30|||||| x 20</v>
      </c>
      <c r="D132" s="73">
        <f>Tiers!C131</f>
        <v>48</v>
      </c>
      <c r="E132" s="36">
        <v>200</v>
      </c>
      <c r="F132" s="36">
        <f t="shared" ref="F132:F195" si="10">$N$6</f>
        <v>2000000</v>
      </c>
      <c r="G132" s="73">
        <f t="shared" ref="G132:G195" si="11">E132*D132</f>
        <v>9600</v>
      </c>
      <c r="H132" s="73">
        <f t="shared" ref="H132:H195" si="12">F132/E132</f>
        <v>10000</v>
      </c>
      <c r="I132" s="21" t="str">
        <f>'Data Analysis'!BM130 &amp; " | " &amp; 'Data Analysis'!BN130</f>
        <v>Big Win | Combo Win</v>
      </c>
      <c r="J132" s="36">
        <f t="shared" ref="J132:J195" si="13">ROUND(IF(D132=0,($N$17*0.3),((((N$17*0.7)-(N$19*N$18)))*(E132/N$14)+$N$19)),0)</f>
        <v>7</v>
      </c>
      <c r="K132" s="66">
        <f t="shared" si="9"/>
        <v>5.7831325301204838E-3</v>
      </c>
    </row>
    <row r="133" spans="2:11">
      <c r="B133" s="16">
        <f>Tiers!B132</f>
        <v>129</v>
      </c>
      <c r="C133" s="125" t="str">
        <f>Tiers!Y132</f>
        <v>main-0|main-0|main-1|main-1|main-2||||| x 20</v>
      </c>
      <c r="D133" s="73">
        <f>Tiers!C132</f>
        <v>22</v>
      </c>
      <c r="E133" s="36">
        <v>900</v>
      </c>
      <c r="F133" s="36">
        <f t="shared" si="10"/>
        <v>2000000</v>
      </c>
      <c r="G133" s="73">
        <f t="shared" si="11"/>
        <v>19800</v>
      </c>
      <c r="H133" s="73">
        <f t="shared" si="12"/>
        <v>2222.2222222222222</v>
      </c>
      <c r="I133" s="21" t="str">
        <f>'Data Analysis'!BM131 &amp; " | " &amp; 'Data Analysis'!BN131</f>
        <v>Big Win | Combo Win</v>
      </c>
      <c r="J133" s="36">
        <f t="shared" si="13"/>
        <v>10</v>
      </c>
      <c r="K133" s="66">
        <f t="shared" ref="K133:K196" si="14">G133/N$9</f>
        <v>1.1927710843373497E-2</v>
      </c>
    </row>
    <row r="134" spans="2:11">
      <c r="B134" s="16">
        <f>Tiers!B133</f>
        <v>130</v>
      </c>
      <c r="C134" s="125" t="str">
        <f>Tiers!Y133</f>
        <v>main-0|main-0|main-1|main-10|main-20||||| x 20</v>
      </c>
      <c r="D134" s="73">
        <f>Tiers!C133</f>
        <v>58</v>
      </c>
      <c r="E134" s="36">
        <v>4</v>
      </c>
      <c r="F134" s="36">
        <f t="shared" si="10"/>
        <v>2000000</v>
      </c>
      <c r="G134" s="73">
        <f t="shared" si="11"/>
        <v>232</v>
      </c>
      <c r="H134" s="73">
        <f t="shared" si="12"/>
        <v>500000</v>
      </c>
      <c r="I134" s="21" t="str">
        <f>'Data Analysis'!BM132 &amp; " | " &amp; 'Data Analysis'!BN132</f>
        <v>Huge Win | Combo Win</v>
      </c>
      <c r="J134" s="36">
        <f t="shared" si="13"/>
        <v>6</v>
      </c>
      <c r="K134" s="66">
        <f t="shared" si="14"/>
        <v>1.3975903614457834E-4</v>
      </c>
    </row>
    <row r="135" spans="2:11">
      <c r="B135" s="16">
        <f>Tiers!B134</f>
        <v>131</v>
      </c>
      <c r="C135" s="17" t="str">
        <f>Tiers!Y134</f>
        <v>main-10|bonusA-0|||||||| x 1</v>
      </c>
      <c r="D135" s="73">
        <f>Tiers!C134</f>
        <v>11</v>
      </c>
      <c r="E135" s="36">
        <v>806</v>
      </c>
      <c r="F135" s="36">
        <f t="shared" si="10"/>
        <v>2000000</v>
      </c>
      <c r="G135" s="73">
        <f t="shared" si="11"/>
        <v>8866</v>
      </c>
      <c r="H135" s="73">
        <f t="shared" si="12"/>
        <v>2481.3895781637716</v>
      </c>
      <c r="I135" s="21" t="str">
        <f>'Data Analysis'!BM133 &amp; " | " &amp; 'Data Analysis'!BN133</f>
        <v>Big Win | Bonus Game A</v>
      </c>
      <c r="J135" s="36">
        <f t="shared" si="13"/>
        <v>9</v>
      </c>
      <c r="K135" s="66">
        <f t="shared" si="14"/>
        <v>5.3409638554216881E-3</v>
      </c>
    </row>
    <row r="136" spans="2:11">
      <c r="B136" s="16">
        <f>Tiers!B135</f>
        <v>132</v>
      </c>
      <c r="C136" s="17" t="str">
        <f>Tiers!Y135</f>
        <v>main-0|bonusA-1|||||||| x 1</v>
      </c>
      <c r="D136" s="73">
        <f>Tiers!C135</f>
        <v>15.1</v>
      </c>
      <c r="E136" s="36">
        <v>597</v>
      </c>
      <c r="F136" s="36">
        <f t="shared" si="10"/>
        <v>2000000</v>
      </c>
      <c r="G136" s="73">
        <f t="shared" si="11"/>
        <v>9014.6999999999989</v>
      </c>
      <c r="H136" s="73">
        <f t="shared" si="12"/>
        <v>3350.0837520938026</v>
      </c>
      <c r="I136" s="21" t="str">
        <f>'Data Analysis'!BM134 &amp; " | " &amp; 'Data Analysis'!BN134</f>
        <v>Big Win | Bonus Game A</v>
      </c>
      <c r="J136" s="36">
        <f t="shared" si="13"/>
        <v>8</v>
      </c>
      <c r="K136" s="66">
        <f t="shared" si="14"/>
        <v>5.4305421686747001E-3</v>
      </c>
    </row>
    <row r="137" spans="2:11">
      <c r="B137" s="16">
        <f>Tiers!B136</f>
        <v>133</v>
      </c>
      <c r="C137" s="17" t="str">
        <f>Tiers!Y136</f>
        <v>main-11|bonusA-1|||||||| x 1</v>
      </c>
      <c r="D137" s="73">
        <f>Tiers!C136</f>
        <v>16.5</v>
      </c>
      <c r="E137" s="36">
        <v>509</v>
      </c>
      <c r="F137" s="36">
        <f t="shared" si="10"/>
        <v>2000000</v>
      </c>
      <c r="G137" s="73">
        <f t="shared" si="11"/>
        <v>8398.5</v>
      </c>
      <c r="H137" s="73">
        <f t="shared" si="12"/>
        <v>3929.2730844793714</v>
      </c>
      <c r="I137" s="21" t="str">
        <f>'Data Analysis'!BM135 &amp; " | " &amp; 'Data Analysis'!BN135</f>
        <v>Big Win | Bonus Game A</v>
      </c>
      <c r="J137" s="36">
        <f t="shared" si="13"/>
        <v>8</v>
      </c>
      <c r="K137" s="66">
        <f t="shared" si="14"/>
        <v>5.0593373493975921E-3</v>
      </c>
    </row>
    <row r="138" spans="2:11">
      <c r="B138" s="16">
        <f>Tiers!B137</f>
        <v>134</v>
      </c>
      <c r="C138" s="17" t="str">
        <f>Tiers!Y137</f>
        <v>main-30|bonusA-1|||||||| x 1</v>
      </c>
      <c r="D138" s="73">
        <f>Tiers!C137</f>
        <v>17</v>
      </c>
      <c r="E138" s="36">
        <v>100</v>
      </c>
      <c r="F138" s="36">
        <f t="shared" si="10"/>
        <v>2000000</v>
      </c>
      <c r="G138" s="73">
        <f t="shared" si="11"/>
        <v>1700</v>
      </c>
      <c r="H138" s="73">
        <f t="shared" si="12"/>
        <v>20000</v>
      </c>
      <c r="I138" s="21" t="str">
        <f>'Data Analysis'!BM136 &amp; " | " &amp; 'Data Analysis'!BN136</f>
        <v>Big Win | Bonus Game A</v>
      </c>
      <c r="J138" s="36">
        <f t="shared" si="13"/>
        <v>6</v>
      </c>
      <c r="K138" s="66">
        <f t="shared" si="14"/>
        <v>1.0240963855421689E-3</v>
      </c>
    </row>
    <row r="139" spans="2:11">
      <c r="B139" s="16">
        <f>Tiers!B138</f>
        <v>135</v>
      </c>
      <c r="C139" s="17" t="str">
        <f>Tiers!Y138</f>
        <v>main-1|bonusA-2|||||||| x 1</v>
      </c>
      <c r="D139" s="73">
        <f>Tiers!C138</f>
        <v>20.2</v>
      </c>
      <c r="E139" s="36">
        <v>100</v>
      </c>
      <c r="F139" s="36">
        <f t="shared" si="10"/>
        <v>2000000</v>
      </c>
      <c r="G139" s="73">
        <f t="shared" si="11"/>
        <v>2020</v>
      </c>
      <c r="H139" s="73">
        <f t="shared" si="12"/>
        <v>20000</v>
      </c>
      <c r="I139" s="21" t="str">
        <f>'Data Analysis'!BM137 &amp; " | " &amp; 'Data Analysis'!BN137</f>
        <v>Big Win | Bonus Game A</v>
      </c>
      <c r="J139" s="36">
        <f t="shared" si="13"/>
        <v>6</v>
      </c>
      <c r="K139" s="66">
        <f t="shared" si="14"/>
        <v>1.2168674698795185E-3</v>
      </c>
    </row>
    <row r="140" spans="2:11">
      <c r="B140" s="16">
        <f>Tiers!B139</f>
        <v>136</v>
      </c>
      <c r="C140" s="17" t="str">
        <f>Tiers!Y139</f>
        <v>main-4|bonusA-2|||||||| x 1</v>
      </c>
      <c r="D140" s="73">
        <f>Tiers!C139</f>
        <v>21.5</v>
      </c>
      <c r="E140" s="36">
        <v>100</v>
      </c>
      <c r="F140" s="36">
        <f t="shared" si="10"/>
        <v>2000000</v>
      </c>
      <c r="G140" s="73">
        <f t="shared" si="11"/>
        <v>2150</v>
      </c>
      <c r="H140" s="73">
        <f t="shared" si="12"/>
        <v>20000</v>
      </c>
      <c r="I140" s="21" t="str">
        <f>'Data Analysis'!BM138 &amp; " | " &amp; 'Data Analysis'!BN138</f>
        <v>Big Win | Bonus Game A</v>
      </c>
      <c r="J140" s="36">
        <f t="shared" si="13"/>
        <v>6</v>
      </c>
      <c r="K140" s="66">
        <f t="shared" si="14"/>
        <v>1.2951807228915666E-3</v>
      </c>
    </row>
    <row r="141" spans="2:11">
      <c r="B141" s="16">
        <f>Tiers!B140</f>
        <v>137</v>
      </c>
      <c r="C141" s="17" t="str">
        <f>Tiers!Y140</f>
        <v>main-12|bonusA-2|||||||| x 1</v>
      </c>
      <c r="D141" s="73">
        <f>Tiers!C140</f>
        <v>22</v>
      </c>
      <c r="E141" s="36">
        <v>100</v>
      </c>
      <c r="F141" s="36">
        <f t="shared" si="10"/>
        <v>2000000</v>
      </c>
      <c r="G141" s="73">
        <f t="shared" si="11"/>
        <v>2200</v>
      </c>
      <c r="H141" s="73">
        <f t="shared" si="12"/>
        <v>20000</v>
      </c>
      <c r="I141" s="21" t="str">
        <f>'Data Analysis'!BM139 &amp; " | " &amp; 'Data Analysis'!BN139</f>
        <v>Big Win | Bonus Game A</v>
      </c>
      <c r="J141" s="36">
        <f t="shared" si="13"/>
        <v>6</v>
      </c>
      <c r="K141" s="66">
        <f t="shared" si="14"/>
        <v>1.3253012048192775E-3</v>
      </c>
    </row>
    <row r="142" spans="2:11">
      <c r="B142" s="16">
        <f>Tiers!B141</f>
        <v>138</v>
      </c>
      <c r="C142" s="17" t="str">
        <f>Tiers!Y141</f>
        <v>main-8|bonusA-2|||||||| x 1</v>
      </c>
      <c r="D142" s="73">
        <f>Tiers!C141</f>
        <v>25</v>
      </c>
      <c r="E142" s="36">
        <v>100</v>
      </c>
      <c r="F142" s="36">
        <f t="shared" si="10"/>
        <v>2000000</v>
      </c>
      <c r="G142" s="73">
        <f t="shared" si="11"/>
        <v>2500</v>
      </c>
      <c r="H142" s="73">
        <f t="shared" si="12"/>
        <v>20000</v>
      </c>
      <c r="I142" s="21" t="str">
        <f>'Data Analysis'!BM140 &amp; " | " &amp; 'Data Analysis'!BN140</f>
        <v>Big Win | Bonus Game A</v>
      </c>
      <c r="J142" s="36">
        <f t="shared" si="13"/>
        <v>6</v>
      </c>
      <c r="K142" s="66">
        <f t="shared" si="14"/>
        <v>1.5060240963855427E-3</v>
      </c>
    </row>
    <row r="143" spans="2:11">
      <c r="B143" s="16">
        <f>Tiers!B142</f>
        <v>139</v>
      </c>
      <c r="C143" s="17" t="str">
        <f>Tiers!Y142</f>
        <v>main-22|bonusA-2|||||||| x 1</v>
      </c>
      <c r="D143" s="73">
        <f>Tiers!C142</f>
        <v>25</v>
      </c>
      <c r="E143" s="36">
        <v>100</v>
      </c>
      <c r="F143" s="36">
        <f t="shared" si="10"/>
        <v>2000000</v>
      </c>
      <c r="G143" s="73">
        <f t="shared" si="11"/>
        <v>2500</v>
      </c>
      <c r="H143" s="73">
        <f t="shared" si="12"/>
        <v>20000</v>
      </c>
      <c r="I143" s="21" t="str">
        <f>'Data Analysis'!BM141 &amp; " | " &amp; 'Data Analysis'!BN141</f>
        <v>Big Win | Bonus Game A</v>
      </c>
      <c r="J143" s="36">
        <f t="shared" si="13"/>
        <v>6</v>
      </c>
      <c r="K143" s="66">
        <f t="shared" si="14"/>
        <v>1.5060240963855427E-3</v>
      </c>
    </row>
    <row r="144" spans="2:11">
      <c r="B144" s="16">
        <f>Tiers!B143</f>
        <v>140</v>
      </c>
      <c r="C144" s="17" t="str">
        <f>Tiers!Y143</f>
        <v>main-31|bonusA-2|||||||| x 1</v>
      </c>
      <c r="D144" s="73">
        <f>Tiers!C143</f>
        <v>25</v>
      </c>
      <c r="E144" s="36">
        <v>100</v>
      </c>
      <c r="F144" s="36">
        <f t="shared" si="10"/>
        <v>2000000</v>
      </c>
      <c r="G144" s="73">
        <f t="shared" si="11"/>
        <v>2500</v>
      </c>
      <c r="H144" s="73">
        <f t="shared" si="12"/>
        <v>20000</v>
      </c>
      <c r="I144" s="21" t="str">
        <f>'Data Analysis'!BM142 &amp; " | " &amp; 'Data Analysis'!BN142</f>
        <v>Big Win | Bonus Game A</v>
      </c>
      <c r="J144" s="36">
        <f t="shared" si="13"/>
        <v>6</v>
      </c>
      <c r="K144" s="66">
        <f t="shared" si="14"/>
        <v>1.5060240963855427E-3</v>
      </c>
    </row>
    <row r="145" spans="2:11">
      <c r="B145" s="16">
        <f>Tiers!B144</f>
        <v>141</v>
      </c>
      <c r="C145" s="17" t="str">
        <f>Tiers!Y144</f>
        <v>main-2|bonusA-3|||||||| x 1</v>
      </c>
      <c r="D145" s="73">
        <f>Tiers!C144</f>
        <v>25.5</v>
      </c>
      <c r="E145" s="36">
        <v>100</v>
      </c>
      <c r="F145" s="36">
        <f t="shared" si="10"/>
        <v>2000000</v>
      </c>
      <c r="G145" s="73">
        <f t="shared" si="11"/>
        <v>2550</v>
      </c>
      <c r="H145" s="73">
        <f t="shared" si="12"/>
        <v>20000</v>
      </c>
      <c r="I145" s="21" t="str">
        <f>'Data Analysis'!BM143 &amp; " | " &amp; 'Data Analysis'!BN143</f>
        <v>Big Win | Bonus Game A</v>
      </c>
      <c r="J145" s="36">
        <f t="shared" si="13"/>
        <v>6</v>
      </c>
      <c r="K145" s="66">
        <f t="shared" si="14"/>
        <v>1.5361445783132535E-3</v>
      </c>
    </row>
    <row r="146" spans="2:11">
      <c r="B146" s="16">
        <f>Tiers!B145</f>
        <v>142</v>
      </c>
      <c r="C146" s="17" t="str">
        <f>Tiers!Y145</f>
        <v>main-21|bonusA-3|||||||| x 1</v>
      </c>
      <c r="D146" s="73">
        <f>Tiers!C145</f>
        <v>27</v>
      </c>
      <c r="E146" s="36">
        <v>100</v>
      </c>
      <c r="F146" s="36">
        <f t="shared" si="10"/>
        <v>2000000</v>
      </c>
      <c r="G146" s="73">
        <f t="shared" si="11"/>
        <v>2700</v>
      </c>
      <c r="H146" s="73">
        <f t="shared" si="12"/>
        <v>20000</v>
      </c>
      <c r="I146" s="21" t="str">
        <f>'Data Analysis'!BM144 &amp; " | " &amp; 'Data Analysis'!BN144</f>
        <v>Big Win | Bonus Game A</v>
      </c>
      <c r="J146" s="36">
        <f t="shared" si="13"/>
        <v>6</v>
      </c>
      <c r="K146" s="66">
        <f t="shared" si="14"/>
        <v>1.6265060240963859E-3</v>
      </c>
    </row>
    <row r="147" spans="2:11">
      <c r="B147" s="16">
        <f>Tiers!B146</f>
        <v>143</v>
      </c>
      <c r="C147" s="17" t="str">
        <f>Tiers!Y146</f>
        <v>main-7|bonusA-3|||||||| x 1</v>
      </c>
      <c r="D147" s="73">
        <f>Tiers!C146</f>
        <v>28</v>
      </c>
      <c r="E147" s="36">
        <v>100</v>
      </c>
      <c r="F147" s="36">
        <f t="shared" si="10"/>
        <v>2000000</v>
      </c>
      <c r="G147" s="73">
        <f t="shared" si="11"/>
        <v>2800</v>
      </c>
      <c r="H147" s="73">
        <f t="shared" si="12"/>
        <v>20000</v>
      </c>
      <c r="I147" s="21" t="str">
        <f>'Data Analysis'!BM145 &amp; " | " &amp; 'Data Analysis'!BN145</f>
        <v>Big Win | Bonus Game A</v>
      </c>
      <c r="J147" s="36">
        <f t="shared" si="13"/>
        <v>6</v>
      </c>
      <c r="K147" s="66">
        <f t="shared" si="14"/>
        <v>1.6867469879518076E-3</v>
      </c>
    </row>
    <row r="148" spans="2:11">
      <c r="B148" s="16">
        <f>Tiers!B147</f>
        <v>144</v>
      </c>
      <c r="C148" s="17" t="str">
        <f>Tiers!Y147</f>
        <v>main-9|bonusA-1|||||||| x 1</v>
      </c>
      <c r="D148" s="73">
        <f>Tiers!C147</f>
        <v>25</v>
      </c>
      <c r="E148" s="36">
        <v>100</v>
      </c>
      <c r="F148" s="36">
        <f t="shared" si="10"/>
        <v>2000000</v>
      </c>
      <c r="G148" s="73">
        <f t="shared" si="11"/>
        <v>2500</v>
      </c>
      <c r="H148" s="73">
        <f t="shared" si="12"/>
        <v>20000</v>
      </c>
      <c r="I148" s="21" t="str">
        <f>'Data Analysis'!BM146 &amp; " | " &amp; 'Data Analysis'!BN146</f>
        <v>Big Win | Bonus Game A</v>
      </c>
      <c r="J148" s="36">
        <f t="shared" si="13"/>
        <v>6</v>
      </c>
      <c r="K148" s="66">
        <f t="shared" si="14"/>
        <v>1.5060240963855427E-3</v>
      </c>
    </row>
    <row r="149" spans="2:11">
      <c r="B149" s="16">
        <f>Tiers!B148</f>
        <v>145</v>
      </c>
      <c r="C149" s="17" t="str">
        <f>Tiers!Y148</f>
        <v>main-23|bonusA-1|||||||| x 1</v>
      </c>
      <c r="D149" s="73">
        <f>Tiers!C148</f>
        <v>25</v>
      </c>
      <c r="E149" s="36">
        <v>100</v>
      </c>
      <c r="F149" s="36">
        <f t="shared" si="10"/>
        <v>2000000</v>
      </c>
      <c r="G149" s="73">
        <f t="shared" si="11"/>
        <v>2500</v>
      </c>
      <c r="H149" s="73">
        <f t="shared" si="12"/>
        <v>20000</v>
      </c>
      <c r="I149" s="21" t="str">
        <f>'Data Analysis'!BM147 &amp; " | " &amp; 'Data Analysis'!BN147</f>
        <v>Big Win | Bonus Game A</v>
      </c>
      <c r="J149" s="36">
        <f t="shared" si="13"/>
        <v>6</v>
      </c>
      <c r="K149" s="66">
        <f t="shared" si="14"/>
        <v>1.5060240963855427E-3</v>
      </c>
    </row>
    <row r="150" spans="2:11">
      <c r="B150" s="16">
        <f>Tiers!B149</f>
        <v>146</v>
      </c>
      <c r="C150" s="17" t="str">
        <f>Tiers!Y149</f>
        <v>main-13|bonusA-3|||||||| x 1</v>
      </c>
      <c r="D150" s="73">
        <f>Tiers!C149</f>
        <v>30</v>
      </c>
      <c r="E150" s="36">
        <v>100</v>
      </c>
      <c r="F150" s="36">
        <f t="shared" si="10"/>
        <v>2000000</v>
      </c>
      <c r="G150" s="73">
        <f t="shared" si="11"/>
        <v>3000</v>
      </c>
      <c r="H150" s="73">
        <f t="shared" si="12"/>
        <v>20000</v>
      </c>
      <c r="I150" s="21" t="str">
        <f>'Data Analysis'!BM148 &amp; " | " &amp; 'Data Analysis'!BN148</f>
        <v>Big Win | Bonus Game A</v>
      </c>
      <c r="J150" s="36">
        <f t="shared" si="13"/>
        <v>6</v>
      </c>
      <c r="K150" s="66">
        <f t="shared" si="14"/>
        <v>1.8072289156626511E-3</v>
      </c>
    </row>
    <row r="151" spans="2:11">
      <c r="B151" s="16">
        <f>Tiers!B150</f>
        <v>147</v>
      </c>
      <c r="C151" s="17" t="str">
        <f>Tiers!Y150</f>
        <v>main-24|bonusA-0|||||||| x 1</v>
      </c>
      <c r="D151" s="73">
        <f>Tiers!C150</f>
        <v>25</v>
      </c>
      <c r="E151" s="36">
        <v>40</v>
      </c>
      <c r="F151" s="36">
        <f t="shared" si="10"/>
        <v>2000000</v>
      </c>
      <c r="G151" s="73">
        <f t="shared" si="11"/>
        <v>1000</v>
      </c>
      <c r="H151" s="73">
        <f t="shared" si="12"/>
        <v>50000</v>
      </c>
      <c r="I151" s="21" t="str">
        <f>'Data Analysis'!BM149 &amp; " | " &amp; 'Data Analysis'!BN149</f>
        <v>Big Win | Bonus Game A</v>
      </c>
      <c r="J151" s="36">
        <f t="shared" si="13"/>
        <v>6</v>
      </c>
      <c r="K151" s="66">
        <f t="shared" si="14"/>
        <v>6.0240963855421703E-4</v>
      </c>
    </row>
    <row r="152" spans="2:11">
      <c r="B152" s="16">
        <f>Tiers!B151</f>
        <v>148</v>
      </c>
      <c r="C152" s="17" t="str">
        <f>Tiers!Y151</f>
        <v>main-20|bonusA-4|||||||| x 1</v>
      </c>
      <c r="D152" s="73">
        <f>Tiers!C151</f>
        <v>31.5</v>
      </c>
      <c r="E152" s="36">
        <v>100</v>
      </c>
      <c r="F152" s="36">
        <f t="shared" si="10"/>
        <v>2000000</v>
      </c>
      <c r="G152" s="73">
        <f t="shared" si="11"/>
        <v>3150</v>
      </c>
      <c r="H152" s="73">
        <f t="shared" si="12"/>
        <v>20000</v>
      </c>
      <c r="I152" s="21" t="str">
        <f>'Data Analysis'!BM150 &amp; " | " &amp; 'Data Analysis'!BN150</f>
        <v>Big Win | Bonus Game A</v>
      </c>
      <c r="J152" s="36">
        <f t="shared" si="13"/>
        <v>6</v>
      </c>
      <c r="K152" s="66">
        <f t="shared" si="14"/>
        <v>1.8975903614457837E-3</v>
      </c>
    </row>
    <row r="153" spans="2:11">
      <c r="B153" s="16">
        <f>Tiers!B152</f>
        <v>149</v>
      </c>
      <c r="C153" s="17" t="str">
        <f>Tiers!Y152</f>
        <v>main-6|bonusA-4|||||||| x 1</v>
      </c>
      <c r="D153" s="73">
        <f>Tiers!C152</f>
        <v>32.5</v>
      </c>
      <c r="E153" s="36">
        <v>100</v>
      </c>
      <c r="F153" s="36">
        <f t="shared" si="10"/>
        <v>2000000</v>
      </c>
      <c r="G153" s="73">
        <f t="shared" si="11"/>
        <v>3250</v>
      </c>
      <c r="H153" s="73">
        <f t="shared" si="12"/>
        <v>20000</v>
      </c>
      <c r="I153" s="21" t="str">
        <f>'Data Analysis'!BM151 &amp; " | " &amp; 'Data Analysis'!BN151</f>
        <v>Big Win | Bonus Game A</v>
      </c>
      <c r="J153" s="36">
        <f t="shared" si="13"/>
        <v>6</v>
      </c>
      <c r="K153" s="66">
        <f t="shared" si="14"/>
        <v>1.9578313253012054E-3</v>
      </c>
    </row>
    <row r="154" spans="2:11">
      <c r="B154" s="16">
        <f>Tiers!B153</f>
        <v>150</v>
      </c>
      <c r="C154" s="17" t="str">
        <f>Tiers!Y153</f>
        <v>main-32|bonusA-3|||||||| x 1</v>
      </c>
      <c r="D154" s="73">
        <f>Tiers!C153</f>
        <v>35</v>
      </c>
      <c r="E154" s="36">
        <v>194</v>
      </c>
      <c r="F154" s="36">
        <f t="shared" si="10"/>
        <v>2000000</v>
      </c>
      <c r="G154" s="73">
        <f t="shared" si="11"/>
        <v>6790</v>
      </c>
      <c r="H154" s="73">
        <f t="shared" si="12"/>
        <v>10309.278350515464</v>
      </c>
      <c r="I154" s="21" t="str">
        <f>'Data Analysis'!BM152 &amp; " | " &amp; 'Data Analysis'!BN152</f>
        <v>Big Win | Bonus Game A</v>
      </c>
      <c r="J154" s="36">
        <f t="shared" si="13"/>
        <v>7</v>
      </c>
      <c r="K154" s="66">
        <f t="shared" si="14"/>
        <v>4.0903614457831333E-3</v>
      </c>
    </row>
    <row r="155" spans="2:11">
      <c r="B155" s="16">
        <f>Tiers!B154</f>
        <v>151</v>
      </c>
      <c r="C155" s="17" t="str">
        <f>Tiers!Y154</f>
        <v>main-14|bonusA-4|||||||| x 1</v>
      </c>
      <c r="D155" s="73">
        <f>Tiers!C154</f>
        <v>40</v>
      </c>
      <c r="E155" s="36">
        <v>20</v>
      </c>
      <c r="F155" s="36">
        <f t="shared" si="10"/>
        <v>2000000</v>
      </c>
      <c r="G155" s="73">
        <f t="shared" si="11"/>
        <v>800</v>
      </c>
      <c r="H155" s="73">
        <f t="shared" si="12"/>
        <v>100000</v>
      </c>
      <c r="I155" s="21" t="str">
        <f>'Data Analysis'!BM153 &amp; " | " &amp; 'Data Analysis'!BN153</f>
        <v>Big Win | Bonus Game A</v>
      </c>
      <c r="J155" s="36">
        <f t="shared" si="13"/>
        <v>6</v>
      </c>
      <c r="K155" s="66">
        <f t="shared" si="14"/>
        <v>4.8192771084337363E-4</v>
      </c>
    </row>
    <row r="156" spans="2:11">
      <c r="B156" s="16">
        <f>Tiers!B155</f>
        <v>152</v>
      </c>
      <c r="C156" s="17" t="str">
        <f>Tiers!Y155</f>
        <v>main-3|bonusA-5|||||||| x 1</v>
      </c>
      <c r="D156" s="73">
        <f>Tiers!C155</f>
        <v>51</v>
      </c>
      <c r="E156" s="36">
        <v>20</v>
      </c>
      <c r="F156" s="36">
        <f t="shared" si="10"/>
        <v>2000000</v>
      </c>
      <c r="G156" s="73">
        <f t="shared" si="11"/>
        <v>1020</v>
      </c>
      <c r="H156" s="73">
        <f t="shared" si="12"/>
        <v>100000</v>
      </c>
      <c r="I156" s="21" t="str">
        <f>'Data Analysis'!BM154 &amp; " | " &amp; 'Data Analysis'!BN154</f>
        <v>Huge Win | Bonus Game A</v>
      </c>
      <c r="J156" s="36">
        <f t="shared" si="13"/>
        <v>6</v>
      </c>
      <c r="K156" s="66">
        <f t="shared" si="14"/>
        <v>6.1445783132530135E-4</v>
      </c>
    </row>
    <row r="157" spans="2:11">
      <c r="B157" s="16">
        <f>Tiers!B156</f>
        <v>153</v>
      </c>
      <c r="C157" s="17" t="str">
        <f>Tiers!Y156</f>
        <v>main-5|bonusA-5|||||||| x 1</v>
      </c>
      <c r="D157" s="73">
        <f>Tiers!C156</f>
        <v>52</v>
      </c>
      <c r="E157" s="36">
        <v>20</v>
      </c>
      <c r="F157" s="36">
        <f t="shared" si="10"/>
        <v>2000000</v>
      </c>
      <c r="G157" s="73">
        <f t="shared" si="11"/>
        <v>1040</v>
      </c>
      <c r="H157" s="73">
        <f t="shared" si="12"/>
        <v>100000</v>
      </c>
      <c r="I157" s="21" t="str">
        <f>'Data Analysis'!BM155 &amp; " | " &amp; 'Data Analysis'!BN155</f>
        <v>Huge Win | Bonus Game A</v>
      </c>
      <c r="J157" s="36">
        <f t="shared" si="13"/>
        <v>6</v>
      </c>
      <c r="K157" s="66">
        <f t="shared" si="14"/>
        <v>6.2650602409638568E-4</v>
      </c>
    </row>
    <row r="158" spans="2:11">
      <c r="B158" s="16">
        <f>Tiers!B157</f>
        <v>154</v>
      </c>
      <c r="C158" s="17" t="str">
        <f>Tiers!Y157</f>
        <v>main-16|bonusA-5|||||||| x 1</v>
      </c>
      <c r="D158" s="73">
        <f>Tiers!C157</f>
        <v>70</v>
      </c>
      <c r="E158" s="36">
        <v>9</v>
      </c>
      <c r="F158" s="36">
        <f t="shared" si="10"/>
        <v>2000000</v>
      </c>
      <c r="G158" s="73">
        <f t="shared" si="11"/>
        <v>630</v>
      </c>
      <c r="H158" s="73">
        <f t="shared" si="12"/>
        <v>222222.22222222222</v>
      </c>
      <c r="I158" s="21" t="str">
        <f>'Data Analysis'!BM156 &amp; " | " &amp; 'Data Analysis'!BN156</f>
        <v>Huge Win | Bonus Game A</v>
      </c>
      <c r="J158" s="36">
        <f t="shared" si="13"/>
        <v>6</v>
      </c>
      <c r="K158" s="66">
        <f t="shared" si="14"/>
        <v>3.7951807228915672E-4</v>
      </c>
    </row>
    <row r="159" spans="2:11">
      <c r="B159" s="16">
        <f>Tiers!B158</f>
        <v>155</v>
      </c>
      <c r="C159" s="17" t="str">
        <f>Tiers!Y158</f>
        <v>main-25|bonusA-5|||||||| x 1</v>
      </c>
      <c r="D159" s="73">
        <f>Tiers!C158</f>
        <v>70</v>
      </c>
      <c r="E159" s="36">
        <v>9</v>
      </c>
      <c r="F159" s="36">
        <f t="shared" si="10"/>
        <v>2000000</v>
      </c>
      <c r="G159" s="73">
        <f t="shared" si="11"/>
        <v>630</v>
      </c>
      <c r="H159" s="73">
        <f t="shared" si="12"/>
        <v>222222.22222222222</v>
      </c>
      <c r="I159" s="21" t="str">
        <f>'Data Analysis'!BM157 &amp; " | " &amp; 'Data Analysis'!BN157</f>
        <v>Huge Win | Bonus Game A</v>
      </c>
      <c r="J159" s="36">
        <f t="shared" si="13"/>
        <v>6</v>
      </c>
      <c r="K159" s="66">
        <f t="shared" si="14"/>
        <v>3.7951807228915672E-4</v>
      </c>
    </row>
    <row r="160" spans="2:11">
      <c r="B160" s="16">
        <f>Tiers!B159</f>
        <v>156</v>
      </c>
      <c r="C160" s="17" t="str">
        <f>Tiers!Y159</f>
        <v>main-15|bonusA-6|||||||| x 1</v>
      </c>
      <c r="D160" s="73">
        <f>Tiers!C159</f>
        <v>115</v>
      </c>
      <c r="E160" s="36">
        <v>2</v>
      </c>
      <c r="F160" s="36">
        <f t="shared" si="10"/>
        <v>2000000</v>
      </c>
      <c r="G160" s="73">
        <f t="shared" si="11"/>
        <v>230</v>
      </c>
      <c r="H160" s="73">
        <f t="shared" si="12"/>
        <v>1000000</v>
      </c>
      <c r="I160" s="21" t="str">
        <f>'Data Analysis'!BM158 &amp; " | " &amp; 'Data Analysis'!BN158</f>
        <v>Huge Win | Bonus Game A</v>
      </c>
      <c r="J160" s="36">
        <f t="shared" si="13"/>
        <v>6</v>
      </c>
      <c r="K160" s="66">
        <f t="shared" si="14"/>
        <v>1.3855421686746991E-4</v>
      </c>
    </row>
    <row r="161" spans="2:11">
      <c r="B161" s="16">
        <f>Tiers!B160</f>
        <v>157</v>
      </c>
      <c r="C161" s="17" t="str">
        <f>Tiers!Y160</f>
        <v>main-0|main-2|bonusA-1||||||| x 1</v>
      </c>
      <c r="D161" s="73">
        <f>Tiers!C160</f>
        <v>15.6</v>
      </c>
      <c r="E161" s="36">
        <v>162</v>
      </c>
      <c r="F161" s="36">
        <f t="shared" si="10"/>
        <v>2000000</v>
      </c>
      <c r="G161" s="73">
        <f t="shared" si="11"/>
        <v>2527.1999999999998</v>
      </c>
      <c r="H161" s="73">
        <f t="shared" si="12"/>
        <v>12345.679012345679</v>
      </c>
      <c r="I161" s="21" t="str">
        <f>'Data Analysis'!BM159 &amp; " | " &amp; 'Data Analysis'!BN159</f>
        <v>Big Win | Bonus Game A</v>
      </c>
      <c r="J161" s="36">
        <f t="shared" si="13"/>
        <v>7</v>
      </c>
      <c r="K161" s="66">
        <f t="shared" si="14"/>
        <v>1.5224096385542173E-3</v>
      </c>
    </row>
    <row r="162" spans="2:11">
      <c r="B162" s="16">
        <f>Tiers!B161</f>
        <v>158</v>
      </c>
      <c r="C162" s="17" t="str">
        <f>Tiers!Y161</f>
        <v>main-11|main-2|bonusA-3||||||| x 1</v>
      </c>
      <c r="D162" s="73">
        <f>Tiers!C161</f>
        <v>27</v>
      </c>
      <c r="E162" s="36">
        <v>20</v>
      </c>
      <c r="F162" s="36">
        <f t="shared" si="10"/>
        <v>2000000</v>
      </c>
      <c r="G162" s="73">
        <f t="shared" si="11"/>
        <v>540</v>
      </c>
      <c r="H162" s="73">
        <f t="shared" si="12"/>
        <v>100000</v>
      </c>
      <c r="I162" s="21" t="str">
        <f>'Data Analysis'!BM160 &amp; " | " &amp; 'Data Analysis'!BN160</f>
        <v>Big Win | Bonus Game A</v>
      </c>
      <c r="J162" s="36">
        <f t="shared" si="13"/>
        <v>6</v>
      </c>
      <c r="K162" s="66">
        <f t="shared" si="14"/>
        <v>3.2530120481927722E-4</v>
      </c>
    </row>
    <row r="163" spans="2:11">
      <c r="B163" s="16">
        <f>Tiers!B162</f>
        <v>159</v>
      </c>
      <c r="C163" s="17" t="str">
        <f>Tiers!Y162</f>
        <v>main-3|main-2|bonusA-0||||||| x 1</v>
      </c>
      <c r="D163" s="73">
        <f>Tiers!C162</f>
        <v>11.5</v>
      </c>
      <c r="E163" s="36">
        <v>744</v>
      </c>
      <c r="F163" s="36">
        <f t="shared" si="10"/>
        <v>2000000</v>
      </c>
      <c r="G163" s="73">
        <f t="shared" si="11"/>
        <v>8556</v>
      </c>
      <c r="H163" s="73">
        <f t="shared" si="12"/>
        <v>2688.1720430107525</v>
      </c>
      <c r="I163" s="21" t="str">
        <f>'Data Analysis'!BM161 &amp; " | " &amp; 'Data Analysis'!BN161</f>
        <v>Big Win | Bonus Game A</v>
      </c>
      <c r="J163" s="36">
        <f t="shared" si="13"/>
        <v>9</v>
      </c>
      <c r="K163" s="66">
        <f t="shared" si="14"/>
        <v>5.1542168674698812E-3</v>
      </c>
    </row>
    <row r="164" spans="2:11">
      <c r="B164" s="16">
        <f>Tiers!B163</f>
        <v>160</v>
      </c>
      <c r="C164" s="17" t="str">
        <f>Tiers!Y163</f>
        <v>main-3|main-21|bonusA-3||||||| x 1</v>
      </c>
      <c r="D164" s="73">
        <f>Tiers!C163</f>
        <v>28</v>
      </c>
      <c r="E164" s="36">
        <v>162</v>
      </c>
      <c r="F164" s="36">
        <f t="shared" si="10"/>
        <v>2000000</v>
      </c>
      <c r="G164" s="73">
        <f t="shared" si="11"/>
        <v>4536</v>
      </c>
      <c r="H164" s="73">
        <f t="shared" si="12"/>
        <v>12345.679012345679</v>
      </c>
      <c r="I164" s="21" t="str">
        <f>'Data Analysis'!BM162 &amp; " | " &amp; 'Data Analysis'!BN162</f>
        <v>Big Win | Bonus Game A</v>
      </c>
      <c r="J164" s="36">
        <f t="shared" si="13"/>
        <v>7</v>
      </c>
      <c r="K164" s="66">
        <f t="shared" si="14"/>
        <v>2.7325301204819286E-3</v>
      </c>
    </row>
    <row r="165" spans="2:11">
      <c r="B165" s="16">
        <f>Tiers!B164</f>
        <v>161</v>
      </c>
      <c r="C165" s="17" t="str">
        <f>Tiers!Y164</f>
        <v>main-2|main-5|bonusA-4||||||| x 1</v>
      </c>
      <c r="D165" s="73">
        <f>Tiers!C164</f>
        <v>32.5</v>
      </c>
      <c r="E165" s="36">
        <v>152</v>
      </c>
      <c r="F165" s="36">
        <f t="shared" si="10"/>
        <v>2000000</v>
      </c>
      <c r="G165" s="73">
        <f t="shared" si="11"/>
        <v>4940</v>
      </c>
      <c r="H165" s="73">
        <f t="shared" si="12"/>
        <v>13157.894736842105</v>
      </c>
      <c r="I165" s="21" t="str">
        <f>'Data Analysis'!BM163 &amp; " | " &amp; 'Data Analysis'!BN163</f>
        <v>Big Win | Bonus Game A</v>
      </c>
      <c r="J165" s="36">
        <f t="shared" si="13"/>
        <v>7</v>
      </c>
      <c r="K165" s="66">
        <f t="shared" si="14"/>
        <v>2.9759036144578321E-3</v>
      </c>
    </row>
    <row r="166" spans="2:11">
      <c r="B166" s="16">
        <f>Tiers!B165</f>
        <v>162</v>
      </c>
      <c r="C166" s="17" t="str">
        <f>Tiers!Y165</f>
        <v>main-4|main-22|bonusA-5||||||| x 1</v>
      </c>
      <c r="D166" s="73">
        <f>Tiers!C165</f>
        <v>56.5</v>
      </c>
      <c r="E166" s="36">
        <v>133</v>
      </c>
      <c r="F166" s="36">
        <f t="shared" si="10"/>
        <v>2000000</v>
      </c>
      <c r="G166" s="73">
        <f t="shared" si="11"/>
        <v>7514.5</v>
      </c>
      <c r="H166" s="73">
        <f t="shared" si="12"/>
        <v>15037.593984962406</v>
      </c>
      <c r="I166" s="21" t="str">
        <f>'Data Analysis'!BM164 &amp; " | " &amp; 'Data Analysis'!BN164</f>
        <v>Huge Win | Bonus Game A</v>
      </c>
      <c r="J166" s="36">
        <f t="shared" si="13"/>
        <v>7</v>
      </c>
      <c r="K166" s="66">
        <f t="shared" si="14"/>
        <v>4.5268072289156641E-3</v>
      </c>
    </row>
    <row r="167" spans="2:11">
      <c r="B167" s="16">
        <f>Tiers!B166</f>
        <v>163</v>
      </c>
      <c r="C167" s="17" t="str">
        <f>Tiers!Y166</f>
        <v>main-4|main-4|bonusA-2||||||| x 1</v>
      </c>
      <c r="D167" s="73">
        <f>Tiers!C166</f>
        <v>23</v>
      </c>
      <c r="E167" s="36">
        <v>237</v>
      </c>
      <c r="F167" s="36">
        <f t="shared" si="10"/>
        <v>2000000</v>
      </c>
      <c r="G167" s="73">
        <f t="shared" si="11"/>
        <v>5451</v>
      </c>
      <c r="H167" s="73">
        <f t="shared" si="12"/>
        <v>8438.818565400843</v>
      </c>
      <c r="I167" s="21" t="str">
        <f>'Data Analysis'!BM165 &amp; " | " &amp; 'Data Analysis'!BN165</f>
        <v>Big Win | Bonus Game A</v>
      </c>
      <c r="J167" s="36">
        <f t="shared" si="13"/>
        <v>7</v>
      </c>
      <c r="K167" s="66">
        <f t="shared" si="14"/>
        <v>3.283734939759037E-3</v>
      </c>
    </row>
    <row r="168" spans="2:11">
      <c r="B168" s="16">
        <f>Tiers!B167</f>
        <v>164</v>
      </c>
      <c r="C168" s="17" t="str">
        <f>Tiers!Y167</f>
        <v>main-4|main-5|main-13|bonusA-1|||||| x 1</v>
      </c>
      <c r="D168" s="73">
        <f>Tiers!C167</f>
        <v>23.5</v>
      </c>
      <c r="E168" s="36">
        <v>100</v>
      </c>
      <c r="F168" s="36">
        <f t="shared" si="10"/>
        <v>2000000</v>
      </c>
      <c r="G168" s="73">
        <f t="shared" si="11"/>
        <v>2350</v>
      </c>
      <c r="H168" s="73">
        <f t="shared" si="12"/>
        <v>20000</v>
      </c>
      <c r="I168" s="21" t="str">
        <f>'Data Analysis'!BM166 &amp; " | " &amp; 'Data Analysis'!BN166</f>
        <v>Big Win | Bonus Game A</v>
      </c>
      <c r="J168" s="36">
        <f t="shared" si="13"/>
        <v>6</v>
      </c>
      <c r="K168" s="66">
        <f t="shared" si="14"/>
        <v>1.4156626506024101E-3</v>
      </c>
    </row>
    <row r="169" spans="2:11">
      <c r="B169" s="16">
        <f>Tiers!B168</f>
        <v>165</v>
      </c>
      <c r="C169" s="17" t="str">
        <f>Tiers!Y168</f>
        <v>main-4|main-2|main-24|bonusA-2|||||| x 1</v>
      </c>
      <c r="D169" s="73">
        <f>Tiers!C168</f>
        <v>37</v>
      </c>
      <c r="E169" s="36">
        <v>79</v>
      </c>
      <c r="F169" s="36">
        <f t="shared" si="10"/>
        <v>2000000</v>
      </c>
      <c r="G169" s="73">
        <f t="shared" si="11"/>
        <v>2923</v>
      </c>
      <c r="H169" s="73">
        <f t="shared" si="12"/>
        <v>25316.455696202531</v>
      </c>
      <c r="I169" s="21" t="str">
        <f>'Data Analysis'!BM167 &amp; " | " &amp; 'Data Analysis'!BN167</f>
        <v>Big Win | Bonus Game A</v>
      </c>
      <c r="J169" s="36">
        <f t="shared" si="13"/>
        <v>6</v>
      </c>
      <c r="K169" s="66">
        <f t="shared" si="14"/>
        <v>1.7608433734939764E-3</v>
      </c>
    </row>
    <row r="170" spans="2:11">
      <c r="B170" s="16">
        <f>Tiers!B169</f>
        <v>166</v>
      </c>
      <c r="C170" s="17" t="str">
        <f>Tiers!Y169</f>
        <v>main-15|main-13|main-13|bonusA-2|||||| x 1</v>
      </c>
      <c r="D170" s="73">
        <f>Tiers!C169</f>
        <v>45</v>
      </c>
      <c r="E170" s="36">
        <v>39</v>
      </c>
      <c r="F170" s="36">
        <f t="shared" si="10"/>
        <v>2000000</v>
      </c>
      <c r="G170" s="73">
        <f t="shared" si="11"/>
        <v>1755</v>
      </c>
      <c r="H170" s="73">
        <f t="shared" si="12"/>
        <v>51282.051282051281</v>
      </c>
      <c r="I170" s="21" t="str">
        <f>'Data Analysis'!BM168 &amp; " | " &amp; 'Data Analysis'!BN168</f>
        <v>Big Win | Bonus Game A</v>
      </c>
      <c r="J170" s="36">
        <f t="shared" si="13"/>
        <v>6</v>
      </c>
      <c r="K170" s="66">
        <f t="shared" si="14"/>
        <v>1.0572289156626509E-3</v>
      </c>
    </row>
    <row r="171" spans="2:11">
      <c r="B171" s="16">
        <f>Tiers!B170</f>
        <v>167</v>
      </c>
      <c r="C171" s="17" t="str">
        <f>Tiers!Y170</f>
        <v>main-30|main-14|main-15|bonusA-2|||||| x 1</v>
      </c>
      <c r="D171" s="73">
        <f>Tiers!C170</f>
        <v>47</v>
      </c>
      <c r="E171" s="36">
        <v>31</v>
      </c>
      <c r="F171" s="36">
        <f t="shared" si="10"/>
        <v>2000000</v>
      </c>
      <c r="G171" s="73">
        <f t="shared" si="11"/>
        <v>1457</v>
      </c>
      <c r="H171" s="73">
        <f t="shared" si="12"/>
        <v>64516.129032258068</v>
      </c>
      <c r="I171" s="21" t="str">
        <f>'Data Analysis'!BM169 &amp; " | " &amp; 'Data Analysis'!BN169</f>
        <v>Big Win | Bonus Game A</v>
      </c>
      <c r="J171" s="36">
        <f t="shared" si="13"/>
        <v>6</v>
      </c>
      <c r="K171" s="66">
        <f t="shared" si="14"/>
        <v>8.7771084337349428E-4</v>
      </c>
    </row>
    <row r="172" spans="2:11">
      <c r="B172" s="16">
        <f>Tiers!B171</f>
        <v>168</v>
      </c>
      <c r="C172" s="17" t="str">
        <f>Tiers!Y171</f>
        <v>main-2|main-7|main-4|bonusA-2|||||| x 1</v>
      </c>
      <c r="D172" s="73">
        <f>Tiers!C171</f>
        <v>25</v>
      </c>
      <c r="E172" s="36">
        <v>100</v>
      </c>
      <c r="F172" s="36">
        <f t="shared" si="10"/>
        <v>2000000</v>
      </c>
      <c r="G172" s="73">
        <f t="shared" si="11"/>
        <v>2500</v>
      </c>
      <c r="H172" s="73">
        <f t="shared" si="12"/>
        <v>20000</v>
      </c>
      <c r="I172" s="21" t="str">
        <f>'Data Analysis'!BM170 &amp; " | " &amp; 'Data Analysis'!BN170</f>
        <v>Big Win | Bonus Game A</v>
      </c>
      <c r="J172" s="36">
        <f t="shared" si="13"/>
        <v>6</v>
      </c>
      <c r="K172" s="66">
        <f t="shared" si="14"/>
        <v>1.5060240963855427E-3</v>
      </c>
    </row>
    <row r="173" spans="2:11">
      <c r="B173" s="16">
        <f>Tiers!B172</f>
        <v>169</v>
      </c>
      <c r="C173" s="17" t="str">
        <f>Tiers!Y172</f>
        <v>main-11|main-25|main-31|bonusA-3|||||| x 1</v>
      </c>
      <c r="D173" s="73">
        <f>Tiers!C172</f>
        <v>51.5</v>
      </c>
      <c r="E173" s="36">
        <v>17</v>
      </c>
      <c r="F173" s="36">
        <f t="shared" si="10"/>
        <v>2000000</v>
      </c>
      <c r="G173" s="73">
        <f t="shared" si="11"/>
        <v>875.5</v>
      </c>
      <c r="H173" s="73">
        <f t="shared" si="12"/>
        <v>117647.05882352941</v>
      </c>
      <c r="I173" s="21" t="str">
        <f>'Data Analysis'!BM171 &amp; " | " &amp; 'Data Analysis'!BN171</f>
        <v>Huge Win | Bonus Game A</v>
      </c>
      <c r="J173" s="36">
        <f t="shared" si="13"/>
        <v>6</v>
      </c>
      <c r="K173" s="66">
        <f t="shared" si="14"/>
        <v>5.2740963855421705E-4</v>
      </c>
    </row>
    <row r="174" spans="2:11">
      <c r="B174" s="16">
        <f>Tiers!B173</f>
        <v>170</v>
      </c>
      <c r="C174" s="17" t="str">
        <f>Tiers!Y173</f>
        <v>main-5|main-25|main-12|bonusA-5|||||| x 1</v>
      </c>
      <c r="D174" s="73">
        <f>Tiers!C173</f>
        <v>74</v>
      </c>
      <c r="E174" s="36">
        <v>5</v>
      </c>
      <c r="F174" s="36">
        <f t="shared" si="10"/>
        <v>2000000</v>
      </c>
      <c r="G174" s="73">
        <f t="shared" si="11"/>
        <v>370</v>
      </c>
      <c r="H174" s="73">
        <f t="shared" si="12"/>
        <v>400000</v>
      </c>
      <c r="I174" s="21" t="str">
        <f>'Data Analysis'!BM172 &amp; " | " &amp; 'Data Analysis'!BN172</f>
        <v>Huge Win | Bonus Game A</v>
      </c>
      <c r="J174" s="36">
        <f t="shared" si="13"/>
        <v>6</v>
      </c>
      <c r="K174" s="66">
        <f t="shared" si="14"/>
        <v>2.2289156626506031E-4</v>
      </c>
    </row>
    <row r="175" spans="2:11">
      <c r="B175" s="16">
        <f>Tiers!B174</f>
        <v>171</v>
      </c>
      <c r="C175" s="17" t="str">
        <f>Tiers!Y174</f>
        <v>main-3|main-33|main-16|bonusA-3|||||| x 1</v>
      </c>
      <c r="D175" s="73">
        <f>Tiers!C174</f>
        <v>61</v>
      </c>
      <c r="E175" s="36">
        <v>5</v>
      </c>
      <c r="F175" s="36">
        <f t="shared" si="10"/>
        <v>2000000</v>
      </c>
      <c r="G175" s="73">
        <f t="shared" si="11"/>
        <v>305</v>
      </c>
      <c r="H175" s="73">
        <f t="shared" si="12"/>
        <v>400000</v>
      </c>
      <c r="I175" s="21" t="str">
        <f>'Data Analysis'!BM173 &amp; " | " &amp; 'Data Analysis'!BN173</f>
        <v>Huge Win | Bonus Game A</v>
      </c>
      <c r="J175" s="36">
        <f t="shared" si="13"/>
        <v>6</v>
      </c>
      <c r="K175" s="66">
        <f t="shared" si="14"/>
        <v>1.837349397590362E-4</v>
      </c>
    </row>
    <row r="176" spans="2:11">
      <c r="B176" s="16">
        <f>Tiers!B175</f>
        <v>172</v>
      </c>
      <c r="C176" s="17" t="str">
        <f>Tiers!Y175</f>
        <v>main-30|main-6|main-7|bonusA-0|||||| x 1</v>
      </c>
      <c r="D176" s="73">
        <f>Tiers!C175</f>
        <v>17.5</v>
      </c>
      <c r="E176" s="36">
        <v>138</v>
      </c>
      <c r="F176" s="36">
        <f t="shared" si="10"/>
        <v>2000000</v>
      </c>
      <c r="G176" s="73">
        <f t="shared" si="11"/>
        <v>2415</v>
      </c>
      <c r="H176" s="73">
        <f t="shared" si="12"/>
        <v>14492.753623188406</v>
      </c>
      <c r="I176" s="21" t="str">
        <f>'Data Analysis'!BM174 &amp; " | " &amp; 'Data Analysis'!BN174</f>
        <v>Big Win | Bonus Game A</v>
      </c>
      <c r="J176" s="36">
        <f t="shared" si="13"/>
        <v>7</v>
      </c>
      <c r="K176" s="66">
        <f t="shared" si="14"/>
        <v>1.4548192771084341E-3</v>
      </c>
    </row>
    <row r="177" spans="2:11">
      <c r="B177" s="16">
        <f>Tiers!B176</f>
        <v>173</v>
      </c>
      <c r="C177" s="17" t="str">
        <f>Tiers!Y176</f>
        <v>main-21|main-25|main-7|bonusA-3|||||| x 1</v>
      </c>
      <c r="D177" s="73">
        <f>Tiers!C176</f>
        <v>50</v>
      </c>
      <c r="E177" s="36">
        <v>21</v>
      </c>
      <c r="F177" s="36">
        <f t="shared" si="10"/>
        <v>2000000</v>
      </c>
      <c r="G177" s="73">
        <f t="shared" si="11"/>
        <v>1050</v>
      </c>
      <c r="H177" s="73">
        <f t="shared" si="12"/>
        <v>95238.095238095237</v>
      </c>
      <c r="I177" s="21" t="str">
        <f>'Data Analysis'!BM175 &amp; " | " &amp; 'Data Analysis'!BN175</f>
        <v>Huge Win | Bonus Game A</v>
      </c>
      <c r="J177" s="36">
        <f t="shared" si="13"/>
        <v>6</v>
      </c>
      <c r="K177" s="66">
        <f t="shared" si="14"/>
        <v>6.3253012048192789E-4</v>
      </c>
    </row>
    <row r="178" spans="2:11">
      <c r="B178" s="16">
        <f>Tiers!B177</f>
        <v>174</v>
      </c>
      <c r="C178" s="17" t="str">
        <f>Tiers!Y177</f>
        <v>main-5|main-25|main-25|bonusA-4|||||| x 1</v>
      </c>
      <c r="D178" s="73">
        <f>Tiers!C177</f>
        <v>72</v>
      </c>
      <c r="E178" s="36">
        <v>3</v>
      </c>
      <c r="F178" s="36">
        <f t="shared" si="10"/>
        <v>2000000</v>
      </c>
      <c r="G178" s="73">
        <f t="shared" si="11"/>
        <v>216</v>
      </c>
      <c r="H178" s="73">
        <f t="shared" si="12"/>
        <v>666666.66666666663</v>
      </c>
      <c r="I178" s="21" t="str">
        <f>'Data Analysis'!BM176 &amp; " | " &amp; 'Data Analysis'!BN176</f>
        <v>Huge Win | Bonus Game A</v>
      </c>
      <c r="J178" s="36">
        <f t="shared" si="13"/>
        <v>6</v>
      </c>
      <c r="K178" s="66">
        <f t="shared" si="14"/>
        <v>1.3012048192771088E-4</v>
      </c>
    </row>
    <row r="179" spans="2:11">
      <c r="B179" s="16">
        <f>Tiers!B178</f>
        <v>175</v>
      </c>
      <c r="C179" s="17" t="str">
        <f>Tiers!Y178</f>
        <v>main-5|main-3|main-5|main-15|bonusA-1||||| x 1</v>
      </c>
      <c r="D179" s="73">
        <f>Tiers!C178</f>
        <v>35</v>
      </c>
      <c r="E179" s="36">
        <v>73</v>
      </c>
      <c r="F179" s="36">
        <f t="shared" si="10"/>
        <v>2000000</v>
      </c>
      <c r="G179" s="73">
        <f t="shared" si="11"/>
        <v>2555</v>
      </c>
      <c r="H179" s="73">
        <f t="shared" si="12"/>
        <v>27397.260273972603</v>
      </c>
      <c r="I179" s="21" t="str">
        <f>'Data Analysis'!BM177 &amp; " | " &amp; 'Data Analysis'!BN177</f>
        <v>Big Win | Bonus Game A</v>
      </c>
      <c r="J179" s="36">
        <f t="shared" si="13"/>
        <v>6</v>
      </c>
      <c r="K179" s="66">
        <f t="shared" si="14"/>
        <v>1.5391566265060244E-3</v>
      </c>
    </row>
    <row r="180" spans="2:11">
      <c r="B180" s="16">
        <f>Tiers!B179</f>
        <v>176</v>
      </c>
      <c r="C180" s="17" t="str">
        <f>Tiers!Y179</f>
        <v>main-5|main-13|main-25|main-22|bonusA-1||||| x 1</v>
      </c>
      <c r="D180" s="73">
        <f>Tiers!C179</f>
        <v>47</v>
      </c>
      <c r="E180" s="36">
        <v>21</v>
      </c>
      <c r="F180" s="36">
        <f t="shared" si="10"/>
        <v>2000000</v>
      </c>
      <c r="G180" s="73">
        <f t="shared" si="11"/>
        <v>987</v>
      </c>
      <c r="H180" s="73">
        <f t="shared" si="12"/>
        <v>95238.095238095237</v>
      </c>
      <c r="I180" s="21" t="str">
        <f>'Data Analysis'!BM178 &amp; " | " &amp; 'Data Analysis'!BN178</f>
        <v>Big Win | Bonus Game A</v>
      </c>
      <c r="J180" s="36">
        <f t="shared" si="13"/>
        <v>6</v>
      </c>
      <c r="K180" s="66">
        <f t="shared" si="14"/>
        <v>5.9457831325301219E-4</v>
      </c>
    </row>
    <row r="181" spans="2:11">
      <c r="B181" s="16">
        <f>Tiers!B180</f>
        <v>177</v>
      </c>
      <c r="C181" s="17" t="str">
        <f>Tiers!Y180</f>
        <v>main-22|main-13|main-34|main-25|bonusA-3||||| x 1</v>
      </c>
      <c r="D181" s="73">
        <f>Tiers!C180</f>
        <v>75</v>
      </c>
      <c r="E181" s="36">
        <v>3</v>
      </c>
      <c r="F181" s="36">
        <f t="shared" si="10"/>
        <v>2000000</v>
      </c>
      <c r="G181" s="73">
        <f t="shared" si="11"/>
        <v>225</v>
      </c>
      <c r="H181" s="73">
        <f t="shared" si="12"/>
        <v>666666.66666666663</v>
      </c>
      <c r="I181" s="21" t="str">
        <f>'Data Analysis'!BM179 &amp; " | " &amp; 'Data Analysis'!BN179</f>
        <v>Huge Win | Bonus Game A</v>
      </c>
      <c r="J181" s="36">
        <f t="shared" si="13"/>
        <v>6</v>
      </c>
      <c r="K181" s="66">
        <f t="shared" si="14"/>
        <v>1.3554216867469883E-4</v>
      </c>
    </row>
    <row r="182" spans="2:11">
      <c r="B182" s="16">
        <f>Tiers!B181</f>
        <v>178</v>
      </c>
      <c r="C182" s="17" t="str">
        <f>Tiers!Y181</f>
        <v>main-3|main-12|main-3|main-2|bonusA-5||||| x 1</v>
      </c>
      <c r="D182" s="73">
        <f>Tiers!C181</f>
        <v>54.5</v>
      </c>
      <c r="E182" s="36">
        <v>14</v>
      </c>
      <c r="F182" s="36">
        <f t="shared" si="10"/>
        <v>2000000</v>
      </c>
      <c r="G182" s="73">
        <f t="shared" si="11"/>
        <v>763</v>
      </c>
      <c r="H182" s="73">
        <f t="shared" si="12"/>
        <v>142857.14285714287</v>
      </c>
      <c r="I182" s="21" t="str">
        <f>'Data Analysis'!BM180 &amp; " | " &amp; 'Data Analysis'!BN180</f>
        <v>Huge Win | Bonus Game A</v>
      </c>
      <c r="J182" s="36">
        <f t="shared" si="13"/>
        <v>6</v>
      </c>
      <c r="K182" s="66">
        <f t="shared" si="14"/>
        <v>4.5963855421686761E-4</v>
      </c>
    </row>
    <row r="183" spans="2:11">
      <c r="B183" s="16">
        <f>Tiers!B182</f>
        <v>179</v>
      </c>
      <c r="C183" s="17" t="str">
        <f>Tiers!Y182</f>
        <v>main-8|main-5|main-12|main-3|bonusA-4||||| x 1</v>
      </c>
      <c r="D183" s="73">
        <f>Tiers!C182</f>
        <v>40</v>
      </c>
      <c r="E183" s="36">
        <v>16</v>
      </c>
      <c r="F183" s="36">
        <f t="shared" si="10"/>
        <v>2000000</v>
      </c>
      <c r="G183" s="73">
        <f t="shared" si="11"/>
        <v>640</v>
      </c>
      <c r="H183" s="73">
        <f t="shared" si="12"/>
        <v>125000</v>
      </c>
      <c r="I183" s="21" t="str">
        <f>'Data Analysis'!BM181 &amp; " | " &amp; 'Data Analysis'!BN181</f>
        <v>Big Win | Bonus Game A</v>
      </c>
      <c r="J183" s="36">
        <f t="shared" si="13"/>
        <v>6</v>
      </c>
      <c r="K183" s="66">
        <f t="shared" si="14"/>
        <v>3.8554216867469889E-4</v>
      </c>
    </row>
    <row r="184" spans="2:11">
      <c r="B184" s="16">
        <f>Tiers!B183</f>
        <v>180</v>
      </c>
      <c r="C184" s="17" t="str">
        <f>Tiers!Y183</f>
        <v>main-9|main-4|main-11|main-15|bonusA-4||||| x 1</v>
      </c>
      <c r="D184" s="73">
        <f>Tiers!C183</f>
        <v>58</v>
      </c>
      <c r="E184" s="36">
        <v>10</v>
      </c>
      <c r="F184" s="36">
        <f t="shared" si="10"/>
        <v>2000000</v>
      </c>
      <c r="G184" s="73">
        <f t="shared" si="11"/>
        <v>580</v>
      </c>
      <c r="H184" s="73">
        <f t="shared" si="12"/>
        <v>200000</v>
      </c>
      <c r="I184" s="21" t="str">
        <f>'Data Analysis'!BM182 &amp; " | " &amp; 'Data Analysis'!BN182</f>
        <v>Huge Win | Bonus Game A</v>
      </c>
      <c r="J184" s="36">
        <f t="shared" si="13"/>
        <v>6</v>
      </c>
      <c r="K184" s="66">
        <f t="shared" si="14"/>
        <v>3.4939759036144586E-4</v>
      </c>
    </row>
    <row r="185" spans="2:11">
      <c r="B185" s="16">
        <f>Tiers!B184</f>
        <v>181</v>
      </c>
      <c r="C185" s="17" t="str">
        <f>Tiers!Y184</f>
        <v>main-4|main-25|main-8|main-2|bonusA-3||||| x 1</v>
      </c>
      <c r="D185" s="73">
        <f>Tiers!C184</f>
        <v>52</v>
      </c>
      <c r="E185" s="36">
        <v>10</v>
      </c>
      <c r="F185" s="36">
        <f t="shared" si="10"/>
        <v>2000000</v>
      </c>
      <c r="G185" s="73">
        <f t="shared" si="11"/>
        <v>520</v>
      </c>
      <c r="H185" s="73">
        <f t="shared" si="12"/>
        <v>200000</v>
      </c>
      <c r="I185" s="21" t="str">
        <f>'Data Analysis'!BM183 &amp; " | " &amp; 'Data Analysis'!BN183</f>
        <v>Huge Win | Bonus Game A</v>
      </c>
      <c r="J185" s="36">
        <f t="shared" si="13"/>
        <v>6</v>
      </c>
      <c r="K185" s="66">
        <f t="shared" si="14"/>
        <v>3.1325301204819284E-4</v>
      </c>
    </row>
    <row r="186" spans="2:11">
      <c r="B186" s="16">
        <f>Tiers!B185</f>
        <v>182</v>
      </c>
      <c r="C186" s="17" t="str">
        <f>Tiers!Y185</f>
        <v>main-3|main-31|main-4|main-16|main-3|bonusA-5|||| x 1</v>
      </c>
      <c r="D186" s="73">
        <f>Tiers!C185</f>
        <v>78.5</v>
      </c>
      <c r="E186" s="36">
        <v>5</v>
      </c>
      <c r="F186" s="36">
        <f t="shared" si="10"/>
        <v>2000000</v>
      </c>
      <c r="G186" s="73">
        <f t="shared" si="11"/>
        <v>392.5</v>
      </c>
      <c r="H186" s="73">
        <f t="shared" si="12"/>
        <v>400000</v>
      </c>
      <c r="I186" s="21" t="str">
        <f>'Data Analysis'!BM184 &amp; " | " &amp; 'Data Analysis'!BN184</f>
        <v>Huge Win | Bonus Game A</v>
      </c>
      <c r="J186" s="36">
        <f t="shared" si="13"/>
        <v>6</v>
      </c>
      <c r="K186" s="66">
        <f t="shared" si="14"/>
        <v>2.3644578313253018E-4</v>
      </c>
    </row>
    <row r="187" spans="2:11">
      <c r="B187" s="16">
        <f>Tiers!B186</f>
        <v>183</v>
      </c>
      <c r="C187" s="17" t="str">
        <f>Tiers!Y186</f>
        <v>main-3|main-4|main-2|main-8|main-5|bonusA-3|||| x 1</v>
      </c>
      <c r="D187" s="73">
        <f>Tiers!C186</f>
        <v>35</v>
      </c>
      <c r="E187" s="36">
        <v>19</v>
      </c>
      <c r="F187" s="36">
        <f t="shared" si="10"/>
        <v>2000000</v>
      </c>
      <c r="G187" s="73">
        <f t="shared" si="11"/>
        <v>665</v>
      </c>
      <c r="H187" s="73">
        <f t="shared" si="12"/>
        <v>105263.15789473684</v>
      </c>
      <c r="I187" s="21" t="str">
        <f>'Data Analysis'!BM185 &amp; " | " &amp; 'Data Analysis'!BN185</f>
        <v>Big Win | Bonus Game A</v>
      </c>
      <c r="J187" s="36">
        <f t="shared" si="13"/>
        <v>6</v>
      </c>
      <c r="K187" s="66">
        <f t="shared" si="14"/>
        <v>4.0060240963855432E-4</v>
      </c>
    </row>
    <row r="188" spans="2:11">
      <c r="B188" s="16">
        <f>Tiers!B187</f>
        <v>184</v>
      </c>
      <c r="C188" s="17" t="str">
        <f>Tiers!Y187</f>
        <v>main-6|main-32|main-31|main-8|main-4|bonusA-0|||| x 1</v>
      </c>
      <c r="D188" s="73">
        <f>Tiers!C187</f>
        <v>34</v>
      </c>
      <c r="E188" s="36">
        <v>16</v>
      </c>
      <c r="F188" s="36">
        <f t="shared" si="10"/>
        <v>2000000</v>
      </c>
      <c r="G188" s="73">
        <f t="shared" si="11"/>
        <v>544</v>
      </c>
      <c r="H188" s="73">
        <f t="shared" si="12"/>
        <v>125000</v>
      </c>
      <c r="I188" s="21" t="str">
        <f>'Data Analysis'!BM186 &amp; " | " &amp; 'Data Analysis'!BN186</f>
        <v>Big Win | Bonus Game A</v>
      </c>
      <c r="J188" s="36">
        <f t="shared" si="13"/>
        <v>6</v>
      </c>
      <c r="K188" s="66">
        <f t="shared" si="14"/>
        <v>3.2771084337349408E-4</v>
      </c>
    </row>
    <row r="189" spans="2:11">
      <c r="B189" s="16">
        <f>Tiers!B188</f>
        <v>185</v>
      </c>
      <c r="C189" s="17" t="str">
        <f>Tiers!Y188</f>
        <v>main-4|main-4|main-4|main-3|main-34|bonusA-4|||| x 1</v>
      </c>
      <c r="D189" s="73">
        <f>Tiers!C188</f>
        <v>55.5</v>
      </c>
      <c r="E189" s="36">
        <v>10</v>
      </c>
      <c r="F189" s="36">
        <f t="shared" si="10"/>
        <v>2000000</v>
      </c>
      <c r="G189" s="73">
        <f t="shared" si="11"/>
        <v>555</v>
      </c>
      <c r="H189" s="73">
        <f t="shared" si="12"/>
        <v>200000</v>
      </c>
      <c r="I189" s="21" t="str">
        <f>'Data Analysis'!BM187 &amp; " | " &amp; 'Data Analysis'!BN187</f>
        <v>Huge Win | Bonus Game A</v>
      </c>
      <c r="J189" s="36">
        <f t="shared" si="13"/>
        <v>6</v>
      </c>
      <c r="K189" s="66">
        <f t="shared" si="14"/>
        <v>3.3433734939759043E-4</v>
      </c>
    </row>
    <row r="190" spans="2:11">
      <c r="B190" s="16">
        <f>Tiers!B189</f>
        <v>186</v>
      </c>
      <c r="C190" s="17" t="str">
        <f>Tiers!Y189</f>
        <v>main-5|main-21|main-4|main-4|main-1|bonusA-4|||| x 1</v>
      </c>
      <c r="D190" s="73">
        <f>Tiers!C189</f>
        <v>37.200000000000003</v>
      </c>
      <c r="E190" s="36">
        <v>17</v>
      </c>
      <c r="F190" s="36">
        <f t="shared" si="10"/>
        <v>2000000</v>
      </c>
      <c r="G190" s="73">
        <f t="shared" si="11"/>
        <v>632.40000000000009</v>
      </c>
      <c r="H190" s="73">
        <f t="shared" si="12"/>
        <v>117647.05882352941</v>
      </c>
      <c r="I190" s="21" t="str">
        <f>'Data Analysis'!BM188 &amp; " | " &amp; 'Data Analysis'!BN188</f>
        <v>Big Win | Bonus Game A</v>
      </c>
      <c r="J190" s="36">
        <f t="shared" si="13"/>
        <v>6</v>
      </c>
      <c r="K190" s="66">
        <f t="shared" si="14"/>
        <v>3.8096385542168689E-4</v>
      </c>
    </row>
    <row r="191" spans="2:11">
      <c r="B191" s="16">
        <f>Tiers!B190</f>
        <v>187</v>
      </c>
      <c r="C191" s="17" t="str">
        <f>Tiers!Y190</f>
        <v>main-7|main-5|main-5|main-14|main-3|bonusA-3|||| x 1</v>
      </c>
      <c r="D191" s="73">
        <f>Tiers!C190</f>
        <v>43</v>
      </c>
      <c r="E191" s="36">
        <v>17</v>
      </c>
      <c r="F191" s="36">
        <f t="shared" si="10"/>
        <v>2000000</v>
      </c>
      <c r="G191" s="73">
        <f t="shared" si="11"/>
        <v>731</v>
      </c>
      <c r="H191" s="73">
        <f t="shared" si="12"/>
        <v>117647.05882352941</v>
      </c>
      <c r="I191" s="21" t="str">
        <f>'Data Analysis'!BM189 &amp; " | " &amp; 'Data Analysis'!BN189</f>
        <v>Big Win | Bonus Game A</v>
      </c>
      <c r="J191" s="36">
        <f t="shared" si="13"/>
        <v>6</v>
      </c>
      <c r="K191" s="66">
        <f t="shared" si="14"/>
        <v>4.4036144578313264E-4</v>
      </c>
    </row>
    <row r="192" spans="2:11">
      <c r="B192" s="16">
        <f>Tiers!B191</f>
        <v>188</v>
      </c>
      <c r="C192" s="125" t="str">
        <f>Tiers!Y191</f>
        <v>main-0|bonusA-3|||||||| x 20</v>
      </c>
      <c r="D192" s="73">
        <f>Tiers!C191</f>
        <v>27</v>
      </c>
      <c r="E192" s="36">
        <v>200</v>
      </c>
      <c r="F192" s="36">
        <f t="shared" si="10"/>
        <v>2000000</v>
      </c>
      <c r="G192" s="73">
        <f t="shared" si="11"/>
        <v>5400</v>
      </c>
      <c r="H192" s="73">
        <f t="shared" si="12"/>
        <v>10000</v>
      </c>
      <c r="I192" s="21" t="str">
        <f>'Data Analysis'!BM190 &amp; " | " &amp; 'Data Analysis'!BN190</f>
        <v>Big Win | Bonus Game A</v>
      </c>
      <c r="J192" s="36">
        <f t="shared" si="13"/>
        <v>7</v>
      </c>
      <c r="K192" s="66">
        <f t="shared" si="14"/>
        <v>3.2530120481927718E-3</v>
      </c>
    </row>
    <row r="193" spans="2:11">
      <c r="B193" s="16">
        <f>Tiers!B192</f>
        <v>189</v>
      </c>
      <c r="C193" s="125" t="str">
        <f>Tiers!Y192</f>
        <v>main-1|bonusA-3|||||||| x 20</v>
      </c>
      <c r="D193" s="73">
        <f>Tiers!C192</f>
        <v>29</v>
      </c>
      <c r="E193" s="36">
        <v>200</v>
      </c>
      <c r="F193" s="36">
        <f t="shared" si="10"/>
        <v>2000000</v>
      </c>
      <c r="G193" s="73">
        <f t="shared" si="11"/>
        <v>5800</v>
      </c>
      <c r="H193" s="73">
        <f t="shared" si="12"/>
        <v>10000</v>
      </c>
      <c r="I193" s="21" t="str">
        <f>'Data Analysis'!BM191 &amp; " | " &amp; 'Data Analysis'!BN191</f>
        <v>Big Win | Bonus Game A</v>
      </c>
      <c r="J193" s="36">
        <f t="shared" si="13"/>
        <v>7</v>
      </c>
      <c r="K193" s="66">
        <f t="shared" si="14"/>
        <v>3.4939759036144587E-3</v>
      </c>
    </row>
    <row r="194" spans="2:11">
      <c r="B194" s="16">
        <f>Tiers!B193</f>
        <v>190</v>
      </c>
      <c r="C194" s="125" t="str">
        <f>Tiers!Y193</f>
        <v>main-2|bonusA-3|||||||| x 20</v>
      </c>
      <c r="D194" s="73">
        <f>Tiers!C193</f>
        <v>35</v>
      </c>
      <c r="E194" s="36">
        <v>94</v>
      </c>
      <c r="F194" s="36">
        <f t="shared" si="10"/>
        <v>2000000</v>
      </c>
      <c r="G194" s="73">
        <f t="shared" si="11"/>
        <v>3290</v>
      </c>
      <c r="H194" s="73">
        <f t="shared" si="12"/>
        <v>21276.59574468085</v>
      </c>
      <c r="I194" s="21" t="str">
        <f>'Data Analysis'!BM192 &amp; " | " &amp; 'Data Analysis'!BN192</f>
        <v>Big Win | Bonus Game A</v>
      </c>
      <c r="J194" s="36">
        <f t="shared" si="13"/>
        <v>6</v>
      </c>
      <c r="K194" s="66">
        <f t="shared" si="14"/>
        <v>1.9819277108433743E-3</v>
      </c>
    </row>
    <row r="195" spans="2:11">
      <c r="B195" s="16">
        <f>Tiers!B194</f>
        <v>191</v>
      </c>
      <c r="C195" s="125" t="str">
        <f>Tiers!Y194</f>
        <v>main-3|bonusA-1|||||||| x 20</v>
      </c>
      <c r="D195" s="73">
        <f>Tiers!C194</f>
        <v>35</v>
      </c>
      <c r="E195" s="36">
        <v>73</v>
      </c>
      <c r="F195" s="36">
        <f t="shared" si="10"/>
        <v>2000000</v>
      </c>
      <c r="G195" s="73">
        <f t="shared" si="11"/>
        <v>2555</v>
      </c>
      <c r="H195" s="73">
        <f t="shared" si="12"/>
        <v>27397.260273972603</v>
      </c>
      <c r="I195" s="21" t="str">
        <f>'Data Analysis'!BM193 &amp; " | " &amp; 'Data Analysis'!BN193</f>
        <v>Big Win | Bonus Game A</v>
      </c>
      <c r="J195" s="36">
        <f t="shared" si="13"/>
        <v>6</v>
      </c>
      <c r="K195" s="66">
        <f t="shared" si="14"/>
        <v>1.5391566265060244E-3</v>
      </c>
    </row>
    <row r="196" spans="2:11">
      <c r="B196" s="16">
        <f>Tiers!B195</f>
        <v>192</v>
      </c>
      <c r="C196" s="125" t="str">
        <f>Tiers!Y195</f>
        <v>main-4|bonusA-1|||||||| x 20</v>
      </c>
      <c r="D196" s="73">
        <f>Tiers!C195</f>
        <v>45</v>
      </c>
      <c r="E196" s="36">
        <v>100</v>
      </c>
      <c r="F196" s="36">
        <f t="shared" ref="F196:F259" si="15">$N$6</f>
        <v>2000000</v>
      </c>
      <c r="G196" s="73">
        <f t="shared" ref="G196:G259" si="16">E196*D196</f>
        <v>4500</v>
      </c>
      <c r="H196" s="73">
        <f t="shared" ref="H196:H259" si="17">F196/E196</f>
        <v>20000</v>
      </c>
      <c r="I196" s="21" t="str">
        <f>'Data Analysis'!BM194 &amp; " | " &amp; 'Data Analysis'!BN194</f>
        <v>Big Win | Bonus Game A</v>
      </c>
      <c r="J196" s="36">
        <f t="shared" ref="J196:J259" si="18">ROUND(IF(D196=0,($N$17*0.3),((((N$17*0.7)-(N$19*N$18)))*(E196/N$14)+$N$19)),0)</f>
        <v>6</v>
      </c>
      <c r="K196" s="66">
        <f t="shared" si="14"/>
        <v>2.7108433734939767E-3</v>
      </c>
    </row>
    <row r="197" spans="2:11">
      <c r="B197" s="16">
        <f>Tiers!B196</f>
        <v>193</v>
      </c>
      <c r="C197" s="125" t="str">
        <f>Tiers!Y196</f>
        <v>main-5|bonusA-3|||||||| x 20</v>
      </c>
      <c r="D197" s="73">
        <f>Tiers!C196</f>
        <v>65</v>
      </c>
      <c r="E197" s="36">
        <v>5</v>
      </c>
      <c r="F197" s="36">
        <f t="shared" si="15"/>
        <v>2000000</v>
      </c>
      <c r="G197" s="73">
        <f t="shared" si="16"/>
        <v>325</v>
      </c>
      <c r="H197" s="73">
        <f t="shared" si="17"/>
        <v>400000</v>
      </c>
      <c r="I197" s="21" t="str">
        <f>'Data Analysis'!BM195 &amp; " | " &amp; 'Data Analysis'!BN195</f>
        <v>Huge Win | Bonus Game A</v>
      </c>
      <c r="J197" s="36">
        <f t="shared" si="18"/>
        <v>6</v>
      </c>
      <c r="K197" s="66">
        <f t="shared" ref="K197:K260" si="19">G197/N$9</f>
        <v>1.9578313253012052E-4</v>
      </c>
    </row>
    <row r="198" spans="2:11">
      <c r="B198" s="16">
        <f>Tiers!B197</f>
        <v>194</v>
      </c>
      <c r="C198" s="125" t="str">
        <f>Tiers!Y197</f>
        <v>main-10|bonusA-0|||||||| x 20</v>
      </c>
      <c r="D198" s="73">
        <f>Tiers!C197</f>
        <v>30</v>
      </c>
      <c r="E198" s="36">
        <v>100</v>
      </c>
      <c r="F198" s="36">
        <f t="shared" si="15"/>
        <v>2000000</v>
      </c>
      <c r="G198" s="73">
        <f t="shared" si="16"/>
        <v>3000</v>
      </c>
      <c r="H198" s="73">
        <f t="shared" si="17"/>
        <v>20000</v>
      </c>
      <c r="I198" s="21" t="str">
        <f>'Data Analysis'!BM196 &amp; " | " &amp; 'Data Analysis'!BN196</f>
        <v>Big Win | Bonus Game A</v>
      </c>
      <c r="J198" s="36">
        <f t="shared" si="18"/>
        <v>6</v>
      </c>
      <c r="K198" s="66">
        <f t="shared" si="19"/>
        <v>1.8072289156626511E-3</v>
      </c>
    </row>
    <row r="199" spans="2:11">
      <c r="B199" s="16">
        <f>Tiers!B198</f>
        <v>195</v>
      </c>
      <c r="C199" s="125" t="str">
        <f>Tiers!Y198</f>
        <v>main-11|bonusA-4|||||||| x 20</v>
      </c>
      <c r="D199" s="73">
        <f>Tiers!C198</f>
        <v>60</v>
      </c>
      <c r="E199" s="36">
        <v>5</v>
      </c>
      <c r="F199" s="36">
        <f t="shared" si="15"/>
        <v>2000000</v>
      </c>
      <c r="G199" s="73">
        <f t="shared" si="16"/>
        <v>300</v>
      </c>
      <c r="H199" s="73">
        <f t="shared" si="17"/>
        <v>400000</v>
      </c>
      <c r="I199" s="21" t="str">
        <f>'Data Analysis'!BM197 &amp; " | " &amp; 'Data Analysis'!BN197</f>
        <v>Huge Win | Bonus Game A</v>
      </c>
      <c r="J199" s="36">
        <f t="shared" si="18"/>
        <v>6</v>
      </c>
      <c r="K199" s="66">
        <f t="shared" si="19"/>
        <v>1.8072289156626512E-4</v>
      </c>
    </row>
    <row r="200" spans="2:11">
      <c r="B200" s="16">
        <f>Tiers!B199</f>
        <v>196</v>
      </c>
      <c r="C200" s="125" t="str">
        <f>Tiers!Y199</f>
        <v>main-12|bonusA-1|||||||| x 20</v>
      </c>
      <c r="D200" s="73">
        <f>Tiers!C199</f>
        <v>55</v>
      </c>
      <c r="E200" s="36">
        <v>101</v>
      </c>
      <c r="F200" s="36">
        <f t="shared" si="15"/>
        <v>2000000</v>
      </c>
      <c r="G200" s="73">
        <f t="shared" si="16"/>
        <v>5555</v>
      </c>
      <c r="H200" s="73">
        <f t="shared" si="17"/>
        <v>19801.980198019803</v>
      </c>
      <c r="I200" s="21" t="str">
        <f>'Data Analysis'!BM198 &amp; " | " &amp; 'Data Analysis'!BN198</f>
        <v>Huge Win | Bonus Game A</v>
      </c>
      <c r="J200" s="36">
        <f t="shared" si="18"/>
        <v>6</v>
      </c>
      <c r="K200" s="66">
        <f t="shared" si="19"/>
        <v>3.3463855421686757E-3</v>
      </c>
    </row>
    <row r="201" spans="2:11">
      <c r="B201" s="16">
        <f>Tiers!B200</f>
        <v>197</v>
      </c>
      <c r="C201" s="125" t="str">
        <f>Tiers!Y200</f>
        <v>main-13|bonusA-3|||||||| x 20</v>
      </c>
      <c r="D201" s="73">
        <f>Tiers!C200</f>
        <v>125</v>
      </c>
      <c r="E201" s="36">
        <v>2</v>
      </c>
      <c r="F201" s="36">
        <f t="shared" si="15"/>
        <v>2000000</v>
      </c>
      <c r="G201" s="73">
        <f t="shared" si="16"/>
        <v>250</v>
      </c>
      <c r="H201" s="73">
        <f t="shared" si="17"/>
        <v>1000000</v>
      </c>
      <c r="I201" s="21" t="str">
        <f>'Data Analysis'!BM199 &amp; " | " &amp; 'Data Analysis'!BN199</f>
        <v>Huge Win | Bonus Game A</v>
      </c>
      <c r="J201" s="36">
        <f t="shared" si="18"/>
        <v>6</v>
      </c>
      <c r="K201" s="66">
        <f t="shared" si="19"/>
        <v>1.5060240963855426E-4</v>
      </c>
    </row>
    <row r="202" spans="2:11">
      <c r="B202" s="16">
        <f>Tiers!B201</f>
        <v>198</v>
      </c>
      <c r="C202" s="125" t="str">
        <f>Tiers!Y201</f>
        <v>main-20|bonusA-0|||||||| x 20</v>
      </c>
      <c r="D202" s="73">
        <f>Tiers!C201</f>
        <v>40</v>
      </c>
      <c r="E202" s="36">
        <v>103</v>
      </c>
      <c r="F202" s="36">
        <f t="shared" si="15"/>
        <v>2000000</v>
      </c>
      <c r="G202" s="73">
        <f t="shared" si="16"/>
        <v>4120</v>
      </c>
      <c r="H202" s="73">
        <f t="shared" si="17"/>
        <v>19417.475728155339</v>
      </c>
      <c r="I202" s="21" t="str">
        <f>'Data Analysis'!BM200 &amp; " | " &amp; 'Data Analysis'!BN200</f>
        <v>Big Win | Bonus Game A</v>
      </c>
      <c r="J202" s="36">
        <f t="shared" si="18"/>
        <v>6</v>
      </c>
      <c r="K202" s="66">
        <f t="shared" si="19"/>
        <v>2.4819277108433743E-3</v>
      </c>
    </row>
    <row r="203" spans="2:11">
      <c r="B203" s="16">
        <f>Tiers!B202</f>
        <v>199</v>
      </c>
      <c r="C203" s="125" t="str">
        <f>Tiers!Y202</f>
        <v>main-21|bonusA-4|||||||| x 20</v>
      </c>
      <c r="D203" s="73">
        <f>Tiers!C202</f>
        <v>70</v>
      </c>
      <c r="E203" s="36">
        <v>8</v>
      </c>
      <c r="F203" s="36">
        <f t="shared" si="15"/>
        <v>2000000</v>
      </c>
      <c r="G203" s="73">
        <f t="shared" si="16"/>
        <v>560</v>
      </c>
      <c r="H203" s="73">
        <f t="shared" si="17"/>
        <v>250000</v>
      </c>
      <c r="I203" s="21" t="str">
        <f>'Data Analysis'!BM201 &amp; " | " &amp; 'Data Analysis'!BN201</f>
        <v>Huge Win | Bonus Game A</v>
      </c>
      <c r="J203" s="36">
        <f t="shared" si="18"/>
        <v>6</v>
      </c>
      <c r="K203" s="66">
        <f t="shared" si="19"/>
        <v>3.3734939759036154E-4</v>
      </c>
    </row>
    <row r="204" spans="2:11">
      <c r="B204" s="16">
        <f>Tiers!B203</f>
        <v>200</v>
      </c>
      <c r="C204" s="125" t="str">
        <f>Tiers!Y203</f>
        <v>main-30|bonusA-2|||||||| x 20</v>
      </c>
      <c r="D204" s="73">
        <f>Tiers!C203</f>
        <v>60</v>
      </c>
      <c r="E204" s="36">
        <v>9</v>
      </c>
      <c r="F204" s="36">
        <f t="shared" si="15"/>
        <v>2000000</v>
      </c>
      <c r="G204" s="73">
        <f t="shared" si="16"/>
        <v>540</v>
      </c>
      <c r="H204" s="73">
        <f t="shared" si="17"/>
        <v>222222.22222222222</v>
      </c>
      <c r="I204" s="21" t="str">
        <f>'Data Analysis'!BM202 &amp; " | " &amp; 'Data Analysis'!BN202</f>
        <v>Huge Win | Bonus Game A</v>
      </c>
      <c r="J204" s="36">
        <f t="shared" si="18"/>
        <v>6</v>
      </c>
      <c r="K204" s="66">
        <f t="shared" si="19"/>
        <v>3.2530120481927722E-4</v>
      </c>
    </row>
    <row r="205" spans="2:11">
      <c r="B205" s="16">
        <f>Tiers!B204</f>
        <v>201</v>
      </c>
      <c r="C205" s="125" t="str">
        <f>Tiers!Y204</f>
        <v>main-0|main-0|bonusA-1||||||| x 20</v>
      </c>
      <c r="D205" s="73">
        <f>Tiers!C204</f>
        <v>19</v>
      </c>
      <c r="E205" s="36">
        <v>1200</v>
      </c>
      <c r="F205" s="36">
        <f t="shared" si="15"/>
        <v>2000000</v>
      </c>
      <c r="G205" s="73">
        <f t="shared" si="16"/>
        <v>22800</v>
      </c>
      <c r="H205" s="73">
        <f t="shared" si="17"/>
        <v>1666.6666666666667</v>
      </c>
      <c r="I205" s="21" t="str">
        <f>'Data Analysis'!BM203 &amp; " | " &amp; 'Data Analysis'!BN203</f>
        <v>Big Win | Bonus Game A</v>
      </c>
      <c r="J205" s="36">
        <f t="shared" si="18"/>
        <v>11</v>
      </c>
      <c r="K205" s="66">
        <f t="shared" si="19"/>
        <v>1.3734939759036148E-2</v>
      </c>
    </row>
    <row r="206" spans="2:11">
      <c r="B206" s="16">
        <f>Tiers!B205</f>
        <v>202</v>
      </c>
      <c r="C206" s="125" t="str">
        <f>Tiers!Y205</f>
        <v>main-0|main-1|bonusA-3||||||| x 20</v>
      </c>
      <c r="D206" s="73">
        <f>Tiers!C205</f>
        <v>31</v>
      </c>
      <c r="E206" s="36">
        <v>200</v>
      </c>
      <c r="F206" s="36">
        <f t="shared" si="15"/>
        <v>2000000</v>
      </c>
      <c r="G206" s="73">
        <f t="shared" si="16"/>
        <v>6200</v>
      </c>
      <c r="H206" s="73">
        <f t="shared" si="17"/>
        <v>10000</v>
      </c>
      <c r="I206" s="21" t="str">
        <f>'Data Analysis'!BM204 &amp; " | " &amp; 'Data Analysis'!BN204</f>
        <v>Big Win | Bonus Game A</v>
      </c>
      <c r="J206" s="36">
        <f t="shared" si="18"/>
        <v>7</v>
      </c>
      <c r="K206" s="66">
        <f t="shared" si="19"/>
        <v>3.7349397590361456E-3</v>
      </c>
    </row>
    <row r="207" spans="2:11">
      <c r="B207" s="16">
        <f>Tiers!B206</f>
        <v>203</v>
      </c>
      <c r="C207" s="125" t="str">
        <f>Tiers!Y206</f>
        <v>main-1|main-1|bonusA-0||||||| x 20</v>
      </c>
      <c r="D207" s="73">
        <f>Tiers!C206</f>
        <v>18</v>
      </c>
      <c r="E207" s="36">
        <v>1200</v>
      </c>
      <c r="F207" s="36">
        <f t="shared" si="15"/>
        <v>2000000</v>
      </c>
      <c r="G207" s="73">
        <f t="shared" si="16"/>
        <v>21600</v>
      </c>
      <c r="H207" s="73">
        <f t="shared" si="17"/>
        <v>1666.6666666666667</v>
      </c>
      <c r="I207" s="21" t="str">
        <f>'Data Analysis'!BM205 &amp; " | " &amp; 'Data Analysis'!BN205</f>
        <v>Big Win | Bonus Game A</v>
      </c>
      <c r="J207" s="36">
        <f t="shared" si="18"/>
        <v>11</v>
      </c>
      <c r="K207" s="66">
        <f t="shared" si="19"/>
        <v>1.3012048192771087E-2</v>
      </c>
    </row>
    <row r="208" spans="2:11">
      <c r="B208" s="16">
        <f>Tiers!B207</f>
        <v>204</v>
      </c>
      <c r="C208" s="125" t="str">
        <f>Tiers!Y207</f>
        <v>main-0|main-2|bonusA-4||||||| x 20</v>
      </c>
      <c r="D208" s="73">
        <f>Tiers!C207</f>
        <v>42</v>
      </c>
      <c r="E208" s="36">
        <v>100</v>
      </c>
      <c r="F208" s="36">
        <f t="shared" si="15"/>
        <v>2000000</v>
      </c>
      <c r="G208" s="73">
        <f t="shared" si="16"/>
        <v>4200</v>
      </c>
      <c r="H208" s="73">
        <f t="shared" si="17"/>
        <v>20000</v>
      </c>
      <c r="I208" s="21" t="str">
        <f>'Data Analysis'!BM206 &amp; " | " &amp; 'Data Analysis'!BN206</f>
        <v>Big Win | Bonus Game A</v>
      </c>
      <c r="J208" s="36">
        <f t="shared" si="18"/>
        <v>6</v>
      </c>
      <c r="K208" s="66">
        <f t="shared" si="19"/>
        <v>2.5301204819277116E-3</v>
      </c>
    </row>
    <row r="209" spans="2:11">
      <c r="B209" s="16">
        <f>Tiers!B208</f>
        <v>205</v>
      </c>
      <c r="C209" s="125" t="str">
        <f>Tiers!Y208</f>
        <v>main-0|main-3|bonusA-1||||||| x 20</v>
      </c>
      <c r="D209" s="73">
        <f>Tiers!C208</f>
        <v>37</v>
      </c>
      <c r="E209" s="36">
        <v>400</v>
      </c>
      <c r="F209" s="36">
        <f t="shared" si="15"/>
        <v>2000000</v>
      </c>
      <c r="G209" s="73">
        <f t="shared" si="16"/>
        <v>14800</v>
      </c>
      <c r="H209" s="73">
        <f t="shared" si="17"/>
        <v>5000</v>
      </c>
      <c r="I209" s="21" t="str">
        <f>'Data Analysis'!BM207 &amp; " | " &amp; 'Data Analysis'!BN207</f>
        <v>Big Win | Bonus Game A</v>
      </c>
      <c r="J209" s="36">
        <f t="shared" si="18"/>
        <v>8</v>
      </c>
      <c r="K209" s="66">
        <f t="shared" si="19"/>
        <v>8.9156626506024118E-3</v>
      </c>
    </row>
    <row r="210" spans="2:11">
      <c r="B210" s="16">
        <f>Tiers!B209</f>
        <v>206</v>
      </c>
      <c r="C210" s="125" t="str">
        <f>Tiers!Y209</f>
        <v>main-0|main-4|bonusA-3||||||| x 20</v>
      </c>
      <c r="D210" s="73">
        <f>Tiers!C209</f>
        <v>57</v>
      </c>
      <c r="E210" s="36">
        <v>100</v>
      </c>
      <c r="F210" s="36">
        <f t="shared" si="15"/>
        <v>2000000</v>
      </c>
      <c r="G210" s="73">
        <f t="shared" si="16"/>
        <v>5700</v>
      </c>
      <c r="H210" s="73">
        <f t="shared" si="17"/>
        <v>20000</v>
      </c>
      <c r="I210" s="21" t="str">
        <f>'Data Analysis'!BM208 &amp; " | " &amp; 'Data Analysis'!BN208</f>
        <v>Huge Win | Bonus Game A</v>
      </c>
      <c r="J210" s="36">
        <f t="shared" si="18"/>
        <v>6</v>
      </c>
      <c r="K210" s="66">
        <f t="shared" si="19"/>
        <v>3.433734939759037E-3</v>
      </c>
    </row>
    <row r="211" spans="2:11">
      <c r="B211" s="16">
        <f>Tiers!B210</f>
        <v>207</v>
      </c>
      <c r="C211" s="125" t="str">
        <f>Tiers!Y210</f>
        <v>main-2|main-20|bonusA-0||||||| x 20</v>
      </c>
      <c r="D211" s="73">
        <f>Tiers!C210</f>
        <v>50</v>
      </c>
      <c r="E211" s="36">
        <v>100</v>
      </c>
      <c r="F211" s="36">
        <f t="shared" si="15"/>
        <v>2000000</v>
      </c>
      <c r="G211" s="73">
        <f t="shared" si="16"/>
        <v>5000</v>
      </c>
      <c r="H211" s="73">
        <f t="shared" si="17"/>
        <v>20000</v>
      </c>
      <c r="I211" s="21" t="str">
        <f>'Data Analysis'!BM209 &amp; " | " &amp; 'Data Analysis'!BN209</f>
        <v>Huge Win | Bonus Game A</v>
      </c>
      <c r="J211" s="36">
        <f t="shared" si="18"/>
        <v>6</v>
      </c>
      <c r="K211" s="66">
        <f t="shared" si="19"/>
        <v>3.0120481927710854E-3</v>
      </c>
    </row>
    <row r="212" spans="2:11">
      <c r="B212" s="16">
        <f>Tiers!B211</f>
        <v>208</v>
      </c>
      <c r="C212" s="125" t="str">
        <f>Tiers!Y211</f>
        <v>main-4|main-4|bonusA-4||||||| x 20</v>
      </c>
      <c r="D212" s="73">
        <f>Tiers!C211</f>
        <v>90</v>
      </c>
      <c r="E212" s="36">
        <v>2</v>
      </c>
      <c r="F212" s="36">
        <f t="shared" si="15"/>
        <v>2000000</v>
      </c>
      <c r="G212" s="73">
        <f t="shared" si="16"/>
        <v>180</v>
      </c>
      <c r="H212" s="73">
        <f t="shared" si="17"/>
        <v>1000000</v>
      </c>
      <c r="I212" s="21" t="str">
        <f>'Data Analysis'!BM210 &amp; " | " &amp; 'Data Analysis'!BN210</f>
        <v>Huge Win | Bonus Game A</v>
      </c>
      <c r="J212" s="36">
        <f t="shared" si="18"/>
        <v>6</v>
      </c>
      <c r="K212" s="66">
        <f t="shared" si="19"/>
        <v>1.0843373493975907E-4</v>
      </c>
    </row>
    <row r="213" spans="2:11">
      <c r="B213" s="16">
        <f>Tiers!B212</f>
        <v>209</v>
      </c>
      <c r="C213" s="125" t="str">
        <f>Tiers!Y212</f>
        <v>main-4|main-11|bonusA-2||||||| x 20</v>
      </c>
      <c r="D213" s="73">
        <f>Tiers!C212</f>
        <v>80</v>
      </c>
      <c r="E213" s="36">
        <v>3</v>
      </c>
      <c r="F213" s="36">
        <f t="shared" si="15"/>
        <v>2000000</v>
      </c>
      <c r="G213" s="73">
        <f t="shared" si="16"/>
        <v>240</v>
      </c>
      <c r="H213" s="73">
        <f t="shared" si="17"/>
        <v>666666.66666666663</v>
      </c>
      <c r="I213" s="21" t="str">
        <f>'Data Analysis'!BM211 &amp; " | " &amp; 'Data Analysis'!BN211</f>
        <v>Huge Win | Bonus Game A</v>
      </c>
      <c r="J213" s="36">
        <f t="shared" si="18"/>
        <v>6</v>
      </c>
      <c r="K213" s="66">
        <f t="shared" si="19"/>
        <v>1.445783132530121E-4</v>
      </c>
    </row>
    <row r="214" spans="2:11">
      <c r="B214" s="16">
        <f>Tiers!B213</f>
        <v>210</v>
      </c>
      <c r="C214" s="125" t="str">
        <f>Tiers!Y213</f>
        <v>main-10|main-30|bonusA-3||||||| x 20</v>
      </c>
      <c r="D214" s="73">
        <f>Tiers!C213</f>
        <v>85</v>
      </c>
      <c r="E214" s="36">
        <v>2</v>
      </c>
      <c r="F214" s="36">
        <f t="shared" si="15"/>
        <v>2000000</v>
      </c>
      <c r="G214" s="73">
        <f t="shared" si="16"/>
        <v>170</v>
      </c>
      <c r="H214" s="73">
        <f t="shared" si="17"/>
        <v>1000000</v>
      </c>
      <c r="I214" s="21" t="str">
        <f>'Data Analysis'!BM212 &amp; " | " &amp; 'Data Analysis'!BN212</f>
        <v>Huge Win | Bonus Game A</v>
      </c>
      <c r="J214" s="36">
        <f t="shared" si="18"/>
        <v>6</v>
      </c>
      <c r="K214" s="66">
        <f t="shared" si="19"/>
        <v>1.024096385542169E-4</v>
      </c>
    </row>
    <row r="215" spans="2:11">
      <c r="B215" s="16">
        <f>Tiers!B214</f>
        <v>211</v>
      </c>
      <c r="C215" s="125" t="str">
        <f>Tiers!Y214</f>
        <v>main-0|main-0|main-2|bonusA-3|||||| x 20</v>
      </c>
      <c r="D215" s="73">
        <f>Tiers!C214</f>
        <v>39</v>
      </c>
      <c r="E215" s="36">
        <v>100</v>
      </c>
      <c r="F215" s="36">
        <f t="shared" si="15"/>
        <v>2000000</v>
      </c>
      <c r="G215" s="73">
        <f t="shared" si="16"/>
        <v>3900</v>
      </c>
      <c r="H215" s="73">
        <f t="shared" si="17"/>
        <v>20000</v>
      </c>
      <c r="I215" s="21" t="str">
        <f>'Data Analysis'!BM213 &amp; " | " &amp; 'Data Analysis'!BN213</f>
        <v>Big Win | Bonus Game A</v>
      </c>
      <c r="J215" s="36">
        <f t="shared" si="18"/>
        <v>6</v>
      </c>
      <c r="K215" s="66">
        <f t="shared" si="19"/>
        <v>2.3493975903614464E-3</v>
      </c>
    </row>
    <row r="216" spans="2:11">
      <c r="B216" s="16">
        <f>Tiers!B215</f>
        <v>212</v>
      </c>
      <c r="C216" s="125" t="str">
        <f>Tiers!Y215</f>
        <v>main-1|main-1|main-2|bonusA-0|||||| x 20</v>
      </c>
      <c r="D216" s="73">
        <f>Tiers!C215</f>
        <v>28</v>
      </c>
      <c r="E216" s="36">
        <v>100</v>
      </c>
      <c r="F216" s="36">
        <f t="shared" si="15"/>
        <v>2000000</v>
      </c>
      <c r="G216" s="73">
        <f t="shared" si="16"/>
        <v>2800</v>
      </c>
      <c r="H216" s="73">
        <f t="shared" si="17"/>
        <v>20000</v>
      </c>
      <c r="I216" s="21" t="str">
        <f>'Data Analysis'!BM214 &amp; " | " &amp; 'Data Analysis'!BN214</f>
        <v>Big Win | Bonus Game A</v>
      </c>
      <c r="J216" s="36">
        <f t="shared" si="18"/>
        <v>6</v>
      </c>
      <c r="K216" s="66">
        <f t="shared" si="19"/>
        <v>1.6867469879518076E-3</v>
      </c>
    </row>
    <row r="217" spans="2:11">
      <c r="B217" s="16">
        <f>Tiers!B216</f>
        <v>213</v>
      </c>
      <c r="C217" s="125" t="str">
        <f>Tiers!Y216</f>
        <v>main-2|main-3|main-10|bonusA-4|||||| x 20</v>
      </c>
      <c r="D217" s="73">
        <f>Tiers!C216</f>
        <v>80</v>
      </c>
      <c r="E217" s="36">
        <v>3</v>
      </c>
      <c r="F217" s="36">
        <f t="shared" si="15"/>
        <v>2000000</v>
      </c>
      <c r="G217" s="73">
        <f t="shared" si="16"/>
        <v>240</v>
      </c>
      <c r="H217" s="73">
        <f t="shared" si="17"/>
        <v>666666.66666666663</v>
      </c>
      <c r="I217" s="21" t="str">
        <f>'Data Analysis'!BM215 &amp; " | " &amp; 'Data Analysis'!BN215</f>
        <v>Huge Win | Bonus Game A</v>
      </c>
      <c r="J217" s="36">
        <f t="shared" si="18"/>
        <v>6</v>
      </c>
      <c r="K217" s="66">
        <f t="shared" si="19"/>
        <v>1.445783132530121E-4</v>
      </c>
    </row>
    <row r="218" spans="2:11">
      <c r="B218" s="16">
        <f>Tiers!B217</f>
        <v>214</v>
      </c>
      <c r="C218" s="125" t="str">
        <f>Tiers!Y217</f>
        <v>main-0|main-0|main-12|bonusA-2|||||| x 20</v>
      </c>
      <c r="D218" s="73">
        <f>Tiers!C217</f>
        <v>64</v>
      </c>
      <c r="E218" s="36">
        <v>2</v>
      </c>
      <c r="F218" s="36">
        <f t="shared" si="15"/>
        <v>2000000</v>
      </c>
      <c r="G218" s="73">
        <f t="shared" si="16"/>
        <v>128</v>
      </c>
      <c r="H218" s="73">
        <f t="shared" si="17"/>
        <v>1000000</v>
      </c>
      <c r="I218" s="21" t="str">
        <f>'Data Analysis'!BM216 &amp; " | " &amp; 'Data Analysis'!BN216</f>
        <v>Huge Win | Bonus Game A</v>
      </c>
      <c r="J218" s="36">
        <f t="shared" si="18"/>
        <v>6</v>
      </c>
      <c r="K218" s="66">
        <f t="shared" si="19"/>
        <v>7.7108433734939777E-5</v>
      </c>
    </row>
    <row r="219" spans="2:11">
      <c r="B219" s="16">
        <f>Tiers!B218</f>
        <v>215</v>
      </c>
      <c r="C219" s="125" t="str">
        <f>Tiers!Y218</f>
        <v>main-0|main-0|main-1|bonusA-5|||||| x 20</v>
      </c>
      <c r="D219" s="73">
        <f>Tiers!C218</f>
        <v>58</v>
      </c>
      <c r="E219" s="36">
        <v>100</v>
      </c>
      <c r="F219" s="36">
        <f t="shared" si="15"/>
        <v>2000000</v>
      </c>
      <c r="G219" s="73">
        <f t="shared" si="16"/>
        <v>5800</v>
      </c>
      <c r="H219" s="73">
        <f t="shared" si="17"/>
        <v>20000</v>
      </c>
      <c r="I219" s="21" t="str">
        <f>'Data Analysis'!BM217 &amp; " | " &amp; 'Data Analysis'!BN217</f>
        <v>Huge Win | Bonus Game A</v>
      </c>
      <c r="J219" s="36">
        <f t="shared" si="18"/>
        <v>6</v>
      </c>
      <c r="K219" s="66">
        <f t="shared" si="19"/>
        <v>3.4939759036144587E-3</v>
      </c>
    </row>
    <row r="220" spans="2:11">
      <c r="B220" s="16">
        <f>Tiers!B219</f>
        <v>216</v>
      </c>
      <c r="C220" s="125" t="str">
        <f>Tiers!Y219</f>
        <v>main-0|main-1|main-2|main-2|bonusA-4||||| x 20</v>
      </c>
      <c r="D220" s="73">
        <f>Tiers!C219</f>
        <v>56</v>
      </c>
      <c r="E220" s="36">
        <v>106</v>
      </c>
      <c r="F220" s="36">
        <f t="shared" si="15"/>
        <v>2000000</v>
      </c>
      <c r="G220" s="73">
        <f t="shared" si="16"/>
        <v>5936</v>
      </c>
      <c r="H220" s="73">
        <f t="shared" si="17"/>
        <v>18867.924528301886</v>
      </c>
      <c r="I220" s="21" t="str">
        <f>'Data Analysis'!BM218 &amp; " | " &amp; 'Data Analysis'!BN218</f>
        <v>Huge Win | Bonus Game A</v>
      </c>
      <c r="J220" s="36">
        <f t="shared" si="18"/>
        <v>6</v>
      </c>
      <c r="K220" s="66">
        <f t="shared" si="19"/>
        <v>3.5759036144578323E-3</v>
      </c>
    </row>
    <row r="221" spans="2:11">
      <c r="B221" s="16">
        <f>Tiers!B220</f>
        <v>217</v>
      </c>
      <c r="C221" s="125" t="str">
        <f>Tiers!Y220</f>
        <v>main-0|main-1|main-1|main-4|bonusA-1||||| x 20</v>
      </c>
      <c r="D221" s="73">
        <f>Tiers!C220</f>
        <v>55</v>
      </c>
      <c r="E221" s="36">
        <v>101</v>
      </c>
      <c r="F221" s="36">
        <f t="shared" si="15"/>
        <v>2000000</v>
      </c>
      <c r="G221" s="73">
        <f t="shared" si="16"/>
        <v>5555</v>
      </c>
      <c r="H221" s="73">
        <f t="shared" si="17"/>
        <v>19801.980198019803</v>
      </c>
      <c r="I221" s="21" t="str">
        <f>'Data Analysis'!BM219 &amp; " | " &amp; 'Data Analysis'!BN219</f>
        <v>Huge Win | Bonus Game A</v>
      </c>
      <c r="J221" s="36">
        <f t="shared" si="18"/>
        <v>6</v>
      </c>
      <c r="K221" s="66">
        <f t="shared" si="19"/>
        <v>3.3463855421686757E-3</v>
      </c>
    </row>
    <row r="222" spans="2:11">
      <c r="B222" s="16">
        <f>Tiers!B221</f>
        <v>218</v>
      </c>
      <c r="C222" s="125" t="str">
        <f>Tiers!Y221</f>
        <v>main-0|main-0|main-1|main-10|bonusA-3||||| x 20</v>
      </c>
      <c r="D222" s="73">
        <f>Tiers!C221</f>
        <v>53</v>
      </c>
      <c r="E222" s="36">
        <v>113</v>
      </c>
      <c r="F222" s="36">
        <f t="shared" si="15"/>
        <v>2000000</v>
      </c>
      <c r="G222" s="73">
        <f t="shared" si="16"/>
        <v>5989</v>
      </c>
      <c r="H222" s="73">
        <f t="shared" si="17"/>
        <v>17699.115044247788</v>
      </c>
      <c r="I222" s="21" t="str">
        <f>'Data Analysis'!BM220 &amp; " | " &amp; 'Data Analysis'!BN220</f>
        <v>Huge Win | Bonus Game A</v>
      </c>
      <c r="J222" s="36">
        <f t="shared" si="18"/>
        <v>6</v>
      </c>
      <c r="K222" s="66">
        <f t="shared" si="19"/>
        <v>3.6078313253012058E-3</v>
      </c>
    </row>
    <row r="223" spans="2:11">
      <c r="B223" s="16">
        <f>Tiers!B222</f>
        <v>219</v>
      </c>
      <c r="C223" s="125" t="str">
        <f>Tiers!Y222</f>
        <v>main-0|main-0|main-0|main-1|bonusA-0||||| x 20</v>
      </c>
      <c r="D223" s="73">
        <f>Tiers!C222</f>
        <v>20</v>
      </c>
      <c r="E223" s="36">
        <v>900</v>
      </c>
      <c r="F223" s="36">
        <f t="shared" si="15"/>
        <v>2000000</v>
      </c>
      <c r="G223" s="73">
        <f t="shared" si="16"/>
        <v>18000</v>
      </c>
      <c r="H223" s="73">
        <f t="shared" si="17"/>
        <v>2222.2222222222222</v>
      </c>
      <c r="I223" s="21" t="str">
        <f>'Data Analysis'!BM221 &amp; " | " &amp; 'Data Analysis'!BN221</f>
        <v>Big Win | Bonus Game A</v>
      </c>
      <c r="J223" s="36">
        <f t="shared" si="18"/>
        <v>10</v>
      </c>
      <c r="K223" s="66">
        <f t="shared" si="19"/>
        <v>1.0843373493975907E-2</v>
      </c>
    </row>
    <row r="224" spans="2:11">
      <c r="B224" s="16">
        <f>Tiers!B223</f>
        <v>220</v>
      </c>
      <c r="C224" s="125" t="str">
        <f>Tiers!Y223</f>
        <v>main-0|main-0|main-1|main-1|bonusA-4||||| x 20</v>
      </c>
      <c r="D224" s="73">
        <f>Tiers!C223</f>
        <v>42</v>
      </c>
      <c r="E224" s="36">
        <v>151</v>
      </c>
      <c r="F224" s="36">
        <f t="shared" si="15"/>
        <v>2000000</v>
      </c>
      <c r="G224" s="73">
        <f t="shared" si="16"/>
        <v>6342</v>
      </c>
      <c r="H224" s="73">
        <f t="shared" si="17"/>
        <v>13245.033112582782</v>
      </c>
      <c r="I224" s="21" t="str">
        <f>'Data Analysis'!BM222 &amp; " | " &amp; 'Data Analysis'!BN222</f>
        <v>Big Win | Bonus Game A</v>
      </c>
      <c r="J224" s="36">
        <f t="shared" si="18"/>
        <v>7</v>
      </c>
      <c r="K224" s="66">
        <f t="shared" si="19"/>
        <v>3.8204819277108445E-3</v>
      </c>
    </row>
    <row r="225" spans="2:19">
      <c r="B225" s="16">
        <f>Tiers!B224</f>
        <v>221</v>
      </c>
      <c r="C225" s="125" t="str">
        <f>Tiers!Y224</f>
        <v>main-0|main-0|main-1|main-30|bonusA-2||||| x 20</v>
      </c>
      <c r="D225" s="73">
        <f>Tiers!C224</f>
        <v>68</v>
      </c>
      <c r="E225" s="36">
        <v>84</v>
      </c>
      <c r="F225" s="36">
        <f t="shared" si="15"/>
        <v>2000000</v>
      </c>
      <c r="G225" s="73">
        <f t="shared" si="16"/>
        <v>5712</v>
      </c>
      <c r="H225" s="73">
        <f t="shared" si="17"/>
        <v>23809.523809523809</v>
      </c>
      <c r="I225" s="21" t="str">
        <f>'Data Analysis'!BM223 &amp; " | " &amp; 'Data Analysis'!BN223</f>
        <v>Huge Win | Bonus Game A</v>
      </c>
      <c r="J225" s="36">
        <f t="shared" si="18"/>
        <v>6</v>
      </c>
      <c r="K225" s="66">
        <f t="shared" si="19"/>
        <v>3.4409638554216879E-3</v>
      </c>
      <c r="S225" s="108"/>
    </row>
    <row r="226" spans="2:19">
      <c r="B226" s="16">
        <f>Tiers!B225</f>
        <v>222</v>
      </c>
      <c r="C226" s="125" t="str">
        <f>Tiers!Y225</f>
        <v>main-0|main-0|main-1|main-1|main-2|bonusA-4|||| x 20</v>
      </c>
      <c r="D226" s="73">
        <f>Tiers!C225</f>
        <v>52</v>
      </c>
      <c r="E226" s="36">
        <v>116</v>
      </c>
      <c r="F226" s="36">
        <f t="shared" si="15"/>
        <v>2000000</v>
      </c>
      <c r="G226" s="73">
        <f t="shared" si="16"/>
        <v>6032</v>
      </c>
      <c r="H226" s="73">
        <f t="shared" si="17"/>
        <v>17241.379310344826</v>
      </c>
      <c r="I226" s="21" t="str">
        <f>'Data Analysis'!BM224 &amp; " | " &amp; 'Data Analysis'!BN224</f>
        <v>Huge Win | Bonus Game A</v>
      </c>
      <c r="J226" s="36">
        <f t="shared" si="18"/>
        <v>6</v>
      </c>
      <c r="K226" s="66">
        <f t="shared" si="19"/>
        <v>3.6337349397590371E-3</v>
      </c>
      <c r="S226" s="107"/>
    </row>
    <row r="227" spans="2:19">
      <c r="B227" s="16">
        <f>Tiers!B226</f>
        <v>223</v>
      </c>
      <c r="C227" s="125" t="str">
        <f>Tiers!Y226</f>
        <v>main-0|main-0|main-1|main-10|main-20|bonusA-2|||| x 20</v>
      </c>
      <c r="D227" s="73">
        <f>Tiers!C226</f>
        <v>78</v>
      </c>
      <c r="E227" s="36">
        <v>72</v>
      </c>
      <c r="F227" s="36">
        <f t="shared" si="15"/>
        <v>2000000</v>
      </c>
      <c r="G227" s="73">
        <f t="shared" si="16"/>
        <v>5616</v>
      </c>
      <c r="H227" s="73">
        <f t="shared" si="17"/>
        <v>27777.777777777777</v>
      </c>
      <c r="I227" s="21" t="str">
        <f>'Data Analysis'!BM225 &amp; " | " &amp; 'Data Analysis'!BN225</f>
        <v>Huge Win | Bonus Game A</v>
      </c>
      <c r="J227" s="36">
        <f t="shared" si="18"/>
        <v>6</v>
      </c>
      <c r="K227" s="66">
        <f t="shared" si="19"/>
        <v>3.3831325301204827E-3</v>
      </c>
      <c r="S227" s="107"/>
    </row>
    <row r="228" spans="2:19">
      <c r="B228" s="16">
        <f>Tiers!B227</f>
        <v>224</v>
      </c>
      <c r="C228" s="111" t="str">
        <f>Tiers!Y227</f>
        <v>freeplayA-0||||||||| x 1</v>
      </c>
      <c r="D228" s="73">
        <f>Tiers!C227</f>
        <v>16.3</v>
      </c>
      <c r="E228" s="36">
        <v>400</v>
      </c>
      <c r="F228" s="36">
        <f t="shared" si="15"/>
        <v>2000000</v>
      </c>
      <c r="G228" s="73">
        <f t="shared" si="16"/>
        <v>6520</v>
      </c>
      <c r="H228" s="73">
        <f t="shared" si="17"/>
        <v>5000</v>
      </c>
      <c r="I228" s="21" t="str">
        <f>'Data Analysis'!BM226 &amp; " | " &amp; 'Data Analysis'!BN226</f>
        <v>Big Win | Free Plays A</v>
      </c>
      <c r="J228" s="36">
        <f t="shared" si="18"/>
        <v>8</v>
      </c>
      <c r="K228" s="66">
        <f t="shared" si="19"/>
        <v>3.9277108433734952E-3</v>
      </c>
      <c r="S228" s="107"/>
    </row>
    <row r="229" spans="2:19">
      <c r="B229" s="16">
        <f>Tiers!B228</f>
        <v>225</v>
      </c>
      <c r="C229" s="111" t="str">
        <f>Tiers!Y228</f>
        <v>freeplayA-1||||||||| x 1</v>
      </c>
      <c r="D229" s="73">
        <f>Tiers!C228</f>
        <v>24.7</v>
      </c>
      <c r="E229" s="36">
        <v>400</v>
      </c>
      <c r="F229" s="36">
        <f t="shared" si="15"/>
        <v>2000000</v>
      </c>
      <c r="G229" s="73">
        <f t="shared" si="16"/>
        <v>9880</v>
      </c>
      <c r="H229" s="73">
        <f t="shared" si="17"/>
        <v>5000</v>
      </c>
      <c r="I229" s="21" t="str">
        <f>'Data Analysis'!BM227 &amp; " | " &amp; 'Data Analysis'!BN227</f>
        <v>Big Win | Free Plays A</v>
      </c>
      <c r="J229" s="36">
        <f t="shared" si="18"/>
        <v>8</v>
      </c>
      <c r="K229" s="66">
        <f t="shared" si="19"/>
        <v>5.9518072289156641E-3</v>
      </c>
    </row>
    <row r="230" spans="2:19">
      <c r="B230" s="16">
        <f>Tiers!B229</f>
        <v>226</v>
      </c>
      <c r="C230" s="111" t="str">
        <f>Tiers!Y229</f>
        <v>freeplayA-2||||||||| x 1</v>
      </c>
      <c r="D230" s="73">
        <f>Tiers!C229</f>
        <v>11.399999999999999</v>
      </c>
      <c r="E230" s="36">
        <v>400</v>
      </c>
      <c r="F230" s="36">
        <f t="shared" si="15"/>
        <v>2000000</v>
      </c>
      <c r="G230" s="73">
        <f t="shared" si="16"/>
        <v>4559.9999999999991</v>
      </c>
      <c r="H230" s="73">
        <f t="shared" si="17"/>
        <v>5000</v>
      </c>
      <c r="I230" s="21" t="str">
        <f>'Data Analysis'!BM228 &amp; " | " &amp; 'Data Analysis'!BN228</f>
        <v>Big Win | Free Plays A</v>
      </c>
      <c r="J230" s="36">
        <f t="shared" si="18"/>
        <v>8</v>
      </c>
      <c r="K230" s="66">
        <f t="shared" si="19"/>
        <v>2.7469879518072292E-3</v>
      </c>
    </row>
    <row r="231" spans="2:19">
      <c r="B231" s="16">
        <f>Tiers!B230</f>
        <v>227</v>
      </c>
      <c r="C231" s="111" t="str">
        <f>Tiers!Y230</f>
        <v>freeplayA-3||||||||| x 1</v>
      </c>
      <c r="D231" s="73">
        <f>Tiers!C230</f>
        <v>35</v>
      </c>
      <c r="E231" s="36">
        <v>100</v>
      </c>
      <c r="F231" s="36">
        <f t="shared" si="15"/>
        <v>2000000</v>
      </c>
      <c r="G231" s="73">
        <f t="shared" si="16"/>
        <v>3500</v>
      </c>
      <c r="H231" s="73">
        <f t="shared" si="17"/>
        <v>20000</v>
      </c>
      <c r="I231" s="21" t="str">
        <f>'Data Analysis'!BM229 &amp; " | " &amp; 'Data Analysis'!BN229</f>
        <v>Big Win | Free Plays A</v>
      </c>
      <c r="J231" s="36">
        <f t="shared" si="18"/>
        <v>6</v>
      </c>
      <c r="K231" s="66">
        <f t="shared" si="19"/>
        <v>2.1084337349397595E-3</v>
      </c>
    </row>
    <row r="232" spans="2:19">
      <c r="B232" s="16">
        <f>Tiers!B231</f>
        <v>228</v>
      </c>
      <c r="C232" s="111" t="str">
        <f>Tiers!Y231</f>
        <v>freeplayA-4||||||||| x 1</v>
      </c>
      <c r="D232" s="73">
        <f>Tiers!C231</f>
        <v>18.600000000000001</v>
      </c>
      <c r="E232" s="36">
        <v>400</v>
      </c>
      <c r="F232" s="36">
        <f t="shared" si="15"/>
        <v>2000000</v>
      </c>
      <c r="G232" s="73">
        <f t="shared" si="16"/>
        <v>7440.0000000000009</v>
      </c>
      <c r="H232" s="73">
        <f t="shared" si="17"/>
        <v>5000</v>
      </c>
      <c r="I232" s="21" t="str">
        <f>'Data Analysis'!BM230 &amp; " | " &amp; 'Data Analysis'!BN230</f>
        <v>Big Win | Free Plays A</v>
      </c>
      <c r="J232" s="36">
        <f t="shared" si="18"/>
        <v>8</v>
      </c>
      <c r="K232" s="66">
        <f t="shared" si="19"/>
        <v>4.4819277108433756E-3</v>
      </c>
    </row>
    <row r="233" spans="2:19">
      <c r="B233" s="16">
        <f>Tiers!B232</f>
        <v>229</v>
      </c>
      <c r="C233" s="111" t="str">
        <f>Tiers!Y232</f>
        <v>freeplayA-5||||||||| x 1</v>
      </c>
      <c r="D233" s="73">
        <f>Tiers!C232</f>
        <v>25.299999999999997</v>
      </c>
      <c r="E233" s="36">
        <v>400</v>
      </c>
      <c r="F233" s="36">
        <f t="shared" si="15"/>
        <v>2000000</v>
      </c>
      <c r="G233" s="73">
        <f t="shared" si="16"/>
        <v>10119.999999999998</v>
      </c>
      <c r="H233" s="73">
        <f t="shared" si="17"/>
        <v>5000</v>
      </c>
      <c r="I233" s="21" t="str">
        <f>'Data Analysis'!BM231 &amp; " | " &amp; 'Data Analysis'!BN231</f>
        <v>Big Win | Free Plays A</v>
      </c>
      <c r="J233" s="36">
        <f t="shared" si="18"/>
        <v>8</v>
      </c>
      <c r="K233" s="66">
        <f t="shared" si="19"/>
        <v>6.0963855421686756E-3</v>
      </c>
    </row>
    <row r="234" spans="2:19">
      <c r="B234" s="16">
        <f>Tiers!B233</f>
        <v>230</v>
      </c>
      <c r="C234" s="111" t="str">
        <f>Tiers!Y233</f>
        <v>freeplayA-6||||||||| x 1</v>
      </c>
      <c r="D234" s="73">
        <f>Tiers!C233</f>
        <v>29</v>
      </c>
      <c r="E234" s="36">
        <v>100</v>
      </c>
      <c r="F234" s="36">
        <f t="shared" si="15"/>
        <v>2000000</v>
      </c>
      <c r="G234" s="73">
        <f t="shared" si="16"/>
        <v>2900</v>
      </c>
      <c r="H234" s="73">
        <f t="shared" si="17"/>
        <v>20000</v>
      </c>
      <c r="I234" s="21" t="str">
        <f>'Data Analysis'!BM232 &amp; " | " &amp; 'Data Analysis'!BN232</f>
        <v>Big Win | Free Plays A</v>
      </c>
      <c r="J234" s="36">
        <f t="shared" si="18"/>
        <v>6</v>
      </c>
      <c r="K234" s="66">
        <f t="shared" si="19"/>
        <v>1.7469879518072294E-3</v>
      </c>
    </row>
    <row r="235" spans="2:19">
      <c r="B235" s="16">
        <f>Tiers!B234</f>
        <v>231</v>
      </c>
      <c r="C235" s="111" t="str">
        <f>Tiers!Y234</f>
        <v>freeplayA-7||||||||| x 1</v>
      </c>
      <c r="D235" s="73">
        <f>Tiers!C234</f>
        <v>41.9</v>
      </c>
      <c r="E235" s="36">
        <v>100</v>
      </c>
      <c r="F235" s="36">
        <f t="shared" si="15"/>
        <v>2000000</v>
      </c>
      <c r="G235" s="73">
        <f t="shared" si="16"/>
        <v>4190</v>
      </c>
      <c r="H235" s="73">
        <f t="shared" si="17"/>
        <v>20000</v>
      </c>
      <c r="I235" s="21" t="str">
        <f>'Data Analysis'!BM233 &amp; " | " &amp; 'Data Analysis'!BN233</f>
        <v>Big Win | Free Plays A</v>
      </c>
      <c r="J235" s="36">
        <f t="shared" si="18"/>
        <v>6</v>
      </c>
      <c r="K235" s="66">
        <f t="shared" si="19"/>
        <v>2.5240963855421693E-3</v>
      </c>
    </row>
    <row r="236" spans="2:19">
      <c r="B236" s="16">
        <f>Tiers!B235</f>
        <v>232</v>
      </c>
      <c r="C236" s="111" t="str">
        <f>Tiers!Y235</f>
        <v>freeplayA-8||||||||| x 1</v>
      </c>
      <c r="D236" s="73">
        <f>Tiers!C235</f>
        <v>27</v>
      </c>
      <c r="E236" s="36">
        <v>400</v>
      </c>
      <c r="F236" s="36">
        <f t="shared" si="15"/>
        <v>2000000</v>
      </c>
      <c r="G236" s="73">
        <f t="shared" si="16"/>
        <v>10800</v>
      </c>
      <c r="H236" s="73">
        <f t="shared" si="17"/>
        <v>5000</v>
      </c>
      <c r="I236" s="21" t="str">
        <f>'Data Analysis'!BM234 &amp; " | " &amp; 'Data Analysis'!BN234</f>
        <v>Big Win | Free Plays A</v>
      </c>
      <c r="J236" s="36">
        <f t="shared" si="18"/>
        <v>8</v>
      </c>
      <c r="K236" s="66">
        <f t="shared" si="19"/>
        <v>6.5060240963855437E-3</v>
      </c>
    </row>
    <row r="237" spans="2:19">
      <c r="B237" s="16">
        <f>Tiers!B236</f>
        <v>233</v>
      </c>
      <c r="C237" s="111" t="str">
        <f>Tiers!Y236</f>
        <v>freeplayA-9||||||||| x 1</v>
      </c>
      <c r="D237" s="73">
        <f>Tiers!C236</f>
        <v>44.099999999999994</v>
      </c>
      <c r="E237" s="36">
        <v>100</v>
      </c>
      <c r="F237" s="36">
        <f t="shared" si="15"/>
        <v>2000000</v>
      </c>
      <c r="G237" s="73">
        <f t="shared" si="16"/>
        <v>4409.9999999999991</v>
      </c>
      <c r="H237" s="73">
        <f t="shared" si="17"/>
        <v>20000</v>
      </c>
      <c r="I237" s="21" t="str">
        <f>'Data Analysis'!BM235 &amp; " | " &amp; 'Data Analysis'!BN235</f>
        <v>Big Win | Free Plays A</v>
      </c>
      <c r="J237" s="36">
        <f t="shared" si="18"/>
        <v>6</v>
      </c>
      <c r="K237" s="66">
        <f t="shared" si="19"/>
        <v>2.6566265060240968E-3</v>
      </c>
    </row>
    <row r="238" spans="2:19">
      <c r="B238" s="16">
        <f>Tiers!B237</f>
        <v>234</v>
      </c>
      <c r="C238" s="111" t="str">
        <f>Tiers!Y237</f>
        <v>freeplayA-10||||||||| x 1</v>
      </c>
      <c r="D238" s="73">
        <f>Tiers!C237</f>
        <v>16</v>
      </c>
      <c r="E238" s="36">
        <v>400</v>
      </c>
      <c r="F238" s="36">
        <f t="shared" si="15"/>
        <v>2000000</v>
      </c>
      <c r="G238" s="73">
        <f t="shared" si="16"/>
        <v>6400</v>
      </c>
      <c r="H238" s="73">
        <f t="shared" si="17"/>
        <v>5000</v>
      </c>
      <c r="I238" s="21" t="str">
        <f>'Data Analysis'!BM236 &amp; " | " &amp; 'Data Analysis'!BN236</f>
        <v>Big Win | Free Plays A</v>
      </c>
      <c r="J238" s="36">
        <f t="shared" si="18"/>
        <v>8</v>
      </c>
      <c r="K238" s="66">
        <f t="shared" si="19"/>
        <v>3.8554216867469891E-3</v>
      </c>
    </row>
    <row r="239" spans="2:19">
      <c r="B239" s="16">
        <f>Tiers!B238</f>
        <v>235</v>
      </c>
      <c r="C239" s="111" t="str">
        <f>Tiers!Y238</f>
        <v>freeplayA-11||||||||| x 1</v>
      </c>
      <c r="D239" s="73">
        <f>Tiers!C238</f>
        <v>25.400000000000002</v>
      </c>
      <c r="E239" s="36">
        <v>400</v>
      </c>
      <c r="F239" s="36">
        <f t="shared" si="15"/>
        <v>2000000</v>
      </c>
      <c r="G239" s="73">
        <f t="shared" si="16"/>
        <v>10160</v>
      </c>
      <c r="H239" s="73">
        <f t="shared" si="17"/>
        <v>5000</v>
      </c>
      <c r="I239" s="21" t="str">
        <f>'Data Analysis'!BM237 &amp; " | " &amp; 'Data Analysis'!BN237</f>
        <v>Big Win | Free Plays A</v>
      </c>
      <c r="J239" s="36">
        <f t="shared" si="18"/>
        <v>8</v>
      </c>
      <c r="K239" s="66">
        <f t="shared" si="19"/>
        <v>6.1204819277108453E-3</v>
      </c>
    </row>
    <row r="240" spans="2:19">
      <c r="B240" s="16">
        <f>Tiers!B239</f>
        <v>236</v>
      </c>
      <c r="C240" s="111" t="str">
        <f>Tiers!Y239</f>
        <v>freeplayA-12||||||||| x 1</v>
      </c>
      <c r="D240" s="73">
        <f>Tiers!C239</f>
        <v>34.900000000000006</v>
      </c>
      <c r="E240" s="36">
        <v>100</v>
      </c>
      <c r="F240" s="36">
        <f t="shared" si="15"/>
        <v>2000000</v>
      </c>
      <c r="G240" s="73">
        <f t="shared" si="16"/>
        <v>3490.0000000000005</v>
      </c>
      <c r="H240" s="73">
        <f t="shared" si="17"/>
        <v>20000</v>
      </c>
      <c r="I240" s="21" t="str">
        <f>'Data Analysis'!BM238 &amp; " | " &amp; 'Data Analysis'!BN238</f>
        <v>Big Win | Free Plays A</v>
      </c>
      <c r="J240" s="36">
        <f t="shared" si="18"/>
        <v>6</v>
      </c>
      <c r="K240" s="66">
        <f t="shared" si="19"/>
        <v>2.1024096385542177E-3</v>
      </c>
    </row>
    <row r="241" spans="2:11">
      <c r="B241" s="16">
        <f>Tiers!B240</f>
        <v>237</v>
      </c>
      <c r="C241" s="111" t="str">
        <f>Tiers!Y240</f>
        <v>freeplayA-13||||||||| x 1</v>
      </c>
      <c r="D241" s="73">
        <f>Tiers!C240</f>
        <v>23.3</v>
      </c>
      <c r="E241" s="36">
        <v>400</v>
      </c>
      <c r="F241" s="36">
        <f t="shared" si="15"/>
        <v>2000000</v>
      </c>
      <c r="G241" s="73">
        <f t="shared" si="16"/>
        <v>9320</v>
      </c>
      <c r="H241" s="73">
        <f t="shared" si="17"/>
        <v>5000</v>
      </c>
      <c r="I241" s="21" t="str">
        <f>'Data Analysis'!BM239 &amp; " | " &amp; 'Data Analysis'!BN239</f>
        <v>Big Win | Free Plays A</v>
      </c>
      <c r="J241" s="36">
        <f t="shared" si="18"/>
        <v>8</v>
      </c>
      <c r="K241" s="66">
        <f t="shared" si="19"/>
        <v>5.6144578313253026E-3</v>
      </c>
    </row>
    <row r="242" spans="2:11">
      <c r="B242" s="16">
        <f>Tiers!B241</f>
        <v>238</v>
      </c>
      <c r="C242" s="111" t="str">
        <f>Tiers!Y241</f>
        <v>freeplayA-14||||||||| x 1</v>
      </c>
      <c r="D242" s="73">
        <f>Tiers!C241</f>
        <v>17.999999999999996</v>
      </c>
      <c r="E242" s="36">
        <v>400</v>
      </c>
      <c r="F242" s="36">
        <f t="shared" si="15"/>
        <v>2000000</v>
      </c>
      <c r="G242" s="73">
        <f t="shared" si="16"/>
        <v>7199.9999999999982</v>
      </c>
      <c r="H242" s="73">
        <f t="shared" si="17"/>
        <v>5000</v>
      </c>
      <c r="I242" s="21" t="str">
        <f>'Data Analysis'!BM240 &amp; " | " &amp; 'Data Analysis'!BN240</f>
        <v>Big Win | Free Plays A</v>
      </c>
      <c r="J242" s="36">
        <f t="shared" si="18"/>
        <v>8</v>
      </c>
      <c r="K242" s="66">
        <f t="shared" si="19"/>
        <v>4.3373493975903616E-3</v>
      </c>
    </row>
    <row r="243" spans="2:11">
      <c r="B243" s="16">
        <f>Tiers!B242</f>
        <v>239</v>
      </c>
      <c r="C243" s="111" t="str">
        <f>Tiers!Y242</f>
        <v>freeplayA-15||||||||| x 1</v>
      </c>
      <c r="D243" s="73">
        <f>Tiers!C242</f>
        <v>21.3</v>
      </c>
      <c r="E243" s="36">
        <v>400</v>
      </c>
      <c r="F243" s="36">
        <f t="shared" si="15"/>
        <v>2000000</v>
      </c>
      <c r="G243" s="73">
        <f t="shared" si="16"/>
        <v>8520</v>
      </c>
      <c r="H243" s="73">
        <f t="shared" si="17"/>
        <v>5000</v>
      </c>
      <c r="I243" s="21" t="str">
        <f>'Data Analysis'!BM241 &amp; " | " &amp; 'Data Analysis'!BN241</f>
        <v>Big Win | Free Plays A</v>
      </c>
      <c r="J243" s="36">
        <f t="shared" si="18"/>
        <v>8</v>
      </c>
      <c r="K243" s="66">
        <f t="shared" si="19"/>
        <v>5.1325301204819289E-3</v>
      </c>
    </row>
    <row r="244" spans="2:11">
      <c r="B244" s="16">
        <f>Tiers!B243</f>
        <v>240</v>
      </c>
      <c r="C244" s="111" t="str">
        <f>Tiers!Y243</f>
        <v>freeplayA-16||||||||| x 1</v>
      </c>
      <c r="D244" s="73">
        <f>Tiers!C243</f>
        <v>37.299999999999997</v>
      </c>
      <c r="E244" s="36">
        <v>130</v>
      </c>
      <c r="F244" s="36">
        <f t="shared" si="15"/>
        <v>2000000</v>
      </c>
      <c r="G244" s="73">
        <f t="shared" si="16"/>
        <v>4849</v>
      </c>
      <c r="H244" s="73">
        <f t="shared" si="17"/>
        <v>15384.615384615385</v>
      </c>
      <c r="I244" s="21" t="str">
        <f>'Data Analysis'!BM242 &amp; " | " &amp; 'Data Analysis'!BN242</f>
        <v>Big Win | Free Plays A</v>
      </c>
      <c r="J244" s="36">
        <f t="shared" si="18"/>
        <v>7</v>
      </c>
      <c r="K244" s="66">
        <f t="shared" si="19"/>
        <v>2.9210843373493984E-3</v>
      </c>
    </row>
    <row r="245" spans="2:11">
      <c r="B245" s="16">
        <f>Tiers!B244</f>
        <v>241</v>
      </c>
      <c r="C245" s="111" t="str">
        <f>Tiers!Y244</f>
        <v>freeplayA-17||||||||| x 1</v>
      </c>
      <c r="D245" s="73">
        <f>Tiers!C244</f>
        <v>26.7</v>
      </c>
      <c r="E245" s="36">
        <v>400</v>
      </c>
      <c r="F245" s="36">
        <f t="shared" si="15"/>
        <v>2000000</v>
      </c>
      <c r="G245" s="73">
        <f t="shared" si="16"/>
        <v>10680</v>
      </c>
      <c r="H245" s="73">
        <f t="shared" si="17"/>
        <v>5000</v>
      </c>
      <c r="I245" s="21" t="str">
        <f>'Data Analysis'!BM243 &amp; " | " &amp; 'Data Analysis'!BN243</f>
        <v>Big Win | Free Plays A</v>
      </c>
      <c r="J245" s="36">
        <f t="shared" si="18"/>
        <v>8</v>
      </c>
      <c r="K245" s="66">
        <f t="shared" si="19"/>
        <v>6.4337349397590379E-3</v>
      </c>
    </row>
    <row r="246" spans="2:11">
      <c r="B246" s="16">
        <f>Tiers!B245</f>
        <v>242</v>
      </c>
      <c r="C246" s="111" t="str">
        <f>Tiers!Y245</f>
        <v>freeplayA-18||||||||| x 1</v>
      </c>
      <c r="D246" s="73">
        <f>Tiers!C245</f>
        <v>40.9</v>
      </c>
      <c r="E246" s="36">
        <v>100</v>
      </c>
      <c r="F246" s="36">
        <f t="shared" si="15"/>
        <v>2000000</v>
      </c>
      <c r="G246" s="73">
        <f t="shared" si="16"/>
        <v>4090</v>
      </c>
      <c r="H246" s="73">
        <f t="shared" si="17"/>
        <v>20000</v>
      </c>
      <c r="I246" s="21" t="str">
        <f>'Data Analysis'!BM244 &amp; " | " &amp; 'Data Analysis'!BN244</f>
        <v>Big Win | Free Plays A</v>
      </c>
      <c r="J246" s="36">
        <f t="shared" si="18"/>
        <v>6</v>
      </c>
      <c r="K246" s="66">
        <f t="shared" si="19"/>
        <v>2.4638554216867476E-3</v>
      </c>
    </row>
    <row r="247" spans="2:11">
      <c r="B247" s="16">
        <f>Tiers!B246</f>
        <v>243</v>
      </c>
      <c r="C247" s="111" t="str">
        <f>Tiers!Y246</f>
        <v>freeplayA-19||||||||| x 1</v>
      </c>
      <c r="D247" s="73">
        <f>Tiers!C246</f>
        <v>48.900000000000006</v>
      </c>
      <c r="E247" s="36">
        <v>100</v>
      </c>
      <c r="F247" s="36">
        <f t="shared" si="15"/>
        <v>2000000</v>
      </c>
      <c r="G247" s="73">
        <f t="shared" si="16"/>
        <v>4890.0000000000009</v>
      </c>
      <c r="H247" s="73">
        <f t="shared" si="17"/>
        <v>20000</v>
      </c>
      <c r="I247" s="21" t="str">
        <f>'Data Analysis'!BM245 &amp; " | " &amp; 'Data Analysis'!BN245</f>
        <v>Big Win | Free Plays A</v>
      </c>
      <c r="J247" s="36">
        <f t="shared" si="18"/>
        <v>6</v>
      </c>
      <c r="K247" s="66">
        <f t="shared" si="19"/>
        <v>2.9457831325301219E-3</v>
      </c>
    </row>
    <row r="248" spans="2:11">
      <c r="B248" s="16">
        <f>Tiers!B247</f>
        <v>244</v>
      </c>
      <c r="C248" s="111" t="str">
        <f>Tiers!Y247</f>
        <v>freeplayA-20||||||||| x 1</v>
      </c>
      <c r="D248" s="73">
        <f>Tiers!C247</f>
        <v>66.900000000000006</v>
      </c>
      <c r="E248" s="36">
        <v>5</v>
      </c>
      <c r="F248" s="36">
        <f t="shared" si="15"/>
        <v>2000000</v>
      </c>
      <c r="G248" s="73">
        <f t="shared" si="16"/>
        <v>334.5</v>
      </c>
      <c r="H248" s="73">
        <f t="shared" si="17"/>
        <v>400000</v>
      </c>
      <c r="I248" s="21" t="str">
        <f>'Data Analysis'!BM246 &amp; " | " &amp; 'Data Analysis'!BN246</f>
        <v>Huge Win | Free Plays A</v>
      </c>
      <c r="J248" s="36">
        <f t="shared" si="18"/>
        <v>6</v>
      </c>
      <c r="K248" s="66">
        <f t="shared" si="19"/>
        <v>2.0150602409638559E-4</v>
      </c>
    </row>
    <row r="249" spans="2:11">
      <c r="B249" s="16">
        <f>Tiers!B248</f>
        <v>245</v>
      </c>
      <c r="C249" s="111" t="str">
        <f>Tiers!Y248</f>
        <v>freeplayA-21||||||||| x 1</v>
      </c>
      <c r="D249" s="73">
        <f>Tiers!C248</f>
        <v>59.9</v>
      </c>
      <c r="E249" s="36">
        <v>5</v>
      </c>
      <c r="F249" s="36">
        <f t="shared" si="15"/>
        <v>2000000</v>
      </c>
      <c r="G249" s="73">
        <f t="shared" si="16"/>
        <v>299.5</v>
      </c>
      <c r="H249" s="73">
        <f t="shared" si="17"/>
        <v>400000</v>
      </c>
      <c r="I249" s="21" t="str">
        <f>'Data Analysis'!BM247 &amp; " | " &amp; 'Data Analysis'!BN247</f>
        <v>Huge Win | Free Plays A</v>
      </c>
      <c r="J249" s="36">
        <f t="shared" si="18"/>
        <v>6</v>
      </c>
      <c r="K249" s="66">
        <f t="shared" si="19"/>
        <v>1.80421686746988E-4</v>
      </c>
    </row>
    <row r="250" spans="2:11">
      <c r="B250" s="16">
        <f>Tiers!B249</f>
        <v>246</v>
      </c>
      <c r="C250" s="111" t="str">
        <f>Tiers!Y249</f>
        <v>freeplayA-22||||||||| x 1</v>
      </c>
      <c r="D250" s="73">
        <f>Tiers!C249</f>
        <v>65.599999999999994</v>
      </c>
      <c r="E250" s="36">
        <v>5</v>
      </c>
      <c r="F250" s="36">
        <f t="shared" si="15"/>
        <v>2000000</v>
      </c>
      <c r="G250" s="73">
        <f t="shared" si="16"/>
        <v>328</v>
      </c>
      <c r="H250" s="73">
        <f t="shared" si="17"/>
        <v>400000</v>
      </c>
      <c r="I250" s="21" t="str">
        <f>'Data Analysis'!BM248 &amp; " | " &amp; 'Data Analysis'!BN248</f>
        <v>Huge Win | Free Plays A</v>
      </c>
      <c r="J250" s="36">
        <f t="shared" si="18"/>
        <v>6</v>
      </c>
      <c r="K250" s="66">
        <f t="shared" si="19"/>
        <v>1.975903614457832E-4</v>
      </c>
    </row>
    <row r="251" spans="2:11">
      <c r="B251" s="16">
        <f>Tiers!B250</f>
        <v>247</v>
      </c>
      <c r="C251" s="111" t="str">
        <f>Tiers!Y250</f>
        <v>freeplayA-23||||||||| x 1</v>
      </c>
      <c r="D251" s="73">
        <f>Tiers!C250</f>
        <v>66.5</v>
      </c>
      <c r="E251" s="36">
        <v>5</v>
      </c>
      <c r="F251" s="36">
        <f t="shared" si="15"/>
        <v>2000000</v>
      </c>
      <c r="G251" s="73">
        <f t="shared" si="16"/>
        <v>332.5</v>
      </c>
      <c r="H251" s="73">
        <f t="shared" si="17"/>
        <v>400000</v>
      </c>
      <c r="I251" s="21" t="str">
        <f>'Data Analysis'!BM249 &amp; " | " &amp; 'Data Analysis'!BN249</f>
        <v>Huge Win | Free Plays A</v>
      </c>
      <c r="J251" s="36">
        <f t="shared" si="18"/>
        <v>6</v>
      </c>
      <c r="K251" s="66">
        <f t="shared" si="19"/>
        <v>2.0030120481927716E-4</v>
      </c>
    </row>
    <row r="252" spans="2:11">
      <c r="B252" s="16">
        <f>Tiers!B251</f>
        <v>248</v>
      </c>
      <c r="C252" s="111" t="str">
        <f>Tiers!Y251</f>
        <v>freeplayA-24||||||||| x 1</v>
      </c>
      <c r="D252" s="73">
        <f>Tiers!C251</f>
        <v>87.9</v>
      </c>
      <c r="E252" s="36">
        <v>5</v>
      </c>
      <c r="F252" s="36">
        <f t="shared" si="15"/>
        <v>2000000</v>
      </c>
      <c r="G252" s="73">
        <f t="shared" si="16"/>
        <v>439.5</v>
      </c>
      <c r="H252" s="73">
        <f t="shared" si="17"/>
        <v>400000</v>
      </c>
      <c r="I252" s="21" t="str">
        <f>'Data Analysis'!BM250 &amp; " | " &amp; 'Data Analysis'!BN250</f>
        <v>Huge Win | Free Plays A</v>
      </c>
      <c r="J252" s="36">
        <f t="shared" si="18"/>
        <v>6</v>
      </c>
      <c r="K252" s="66">
        <f t="shared" si="19"/>
        <v>2.6475903614457837E-4</v>
      </c>
    </row>
    <row r="253" spans="2:11">
      <c r="B253" s="16">
        <f>Tiers!B252</f>
        <v>249</v>
      </c>
      <c r="C253" s="111" t="str">
        <f>Tiers!Y252</f>
        <v>freeplayA-25||||||||| x 1</v>
      </c>
      <c r="D253" s="73">
        <f>Tiers!C252</f>
        <v>58.6</v>
      </c>
      <c r="E253" s="36">
        <v>10</v>
      </c>
      <c r="F253" s="36">
        <f t="shared" si="15"/>
        <v>2000000</v>
      </c>
      <c r="G253" s="73">
        <f t="shared" si="16"/>
        <v>586</v>
      </c>
      <c r="H253" s="73">
        <f t="shared" si="17"/>
        <v>200000</v>
      </c>
      <c r="I253" s="21" t="str">
        <f>'Data Analysis'!BM251 &amp; " | " &amp; 'Data Analysis'!BN251</f>
        <v>Huge Win | Free Plays A</v>
      </c>
      <c r="J253" s="36">
        <f t="shared" si="18"/>
        <v>6</v>
      </c>
      <c r="K253" s="66">
        <f t="shared" si="19"/>
        <v>3.5301204819277116E-4</v>
      </c>
    </row>
    <row r="254" spans="2:11">
      <c r="B254" s="16">
        <f>Tiers!B253</f>
        <v>250</v>
      </c>
      <c r="C254" s="111" t="str">
        <f>Tiers!Y253</f>
        <v>freeplayA-26||||||||| x 1</v>
      </c>
      <c r="D254" s="73">
        <f>Tiers!C253</f>
        <v>72.800000000000011</v>
      </c>
      <c r="E254" s="36">
        <v>7</v>
      </c>
      <c r="F254" s="36">
        <f t="shared" si="15"/>
        <v>2000000</v>
      </c>
      <c r="G254" s="73">
        <f t="shared" si="16"/>
        <v>509.60000000000008</v>
      </c>
      <c r="H254" s="73">
        <f t="shared" si="17"/>
        <v>285714.28571428574</v>
      </c>
      <c r="I254" s="21" t="str">
        <f>'Data Analysis'!BM252 &amp; " | " &amp; 'Data Analysis'!BN252</f>
        <v>Huge Win | Free Plays A</v>
      </c>
      <c r="J254" s="36">
        <f t="shared" si="18"/>
        <v>6</v>
      </c>
      <c r="K254" s="66">
        <f t="shared" si="19"/>
        <v>3.0698795180722905E-4</v>
      </c>
    </row>
    <row r="255" spans="2:11">
      <c r="B255" s="16">
        <f>Tiers!B254</f>
        <v>251</v>
      </c>
      <c r="C255" s="111" t="str">
        <f>Tiers!Y254</f>
        <v>freeplayA-27||||||||| x 1</v>
      </c>
      <c r="D255" s="73">
        <f>Tiers!C254</f>
        <v>56</v>
      </c>
      <c r="E255" s="36">
        <v>10</v>
      </c>
      <c r="F255" s="36">
        <f t="shared" si="15"/>
        <v>2000000</v>
      </c>
      <c r="G255" s="73">
        <f t="shared" si="16"/>
        <v>560</v>
      </c>
      <c r="H255" s="73">
        <f t="shared" si="17"/>
        <v>200000</v>
      </c>
      <c r="I255" s="21" t="str">
        <f>'Data Analysis'!BM253 &amp; " | " &amp; 'Data Analysis'!BN253</f>
        <v>Huge Win | Free Plays A</v>
      </c>
      <c r="J255" s="36">
        <f t="shared" si="18"/>
        <v>6</v>
      </c>
      <c r="K255" s="66">
        <f t="shared" si="19"/>
        <v>3.3734939759036154E-4</v>
      </c>
    </row>
    <row r="256" spans="2:11">
      <c r="B256" s="16">
        <f>Tiers!B255</f>
        <v>252</v>
      </c>
      <c r="C256" s="111" t="str">
        <f>Tiers!Y255</f>
        <v>freeplayA-28||||||||| x 1</v>
      </c>
      <c r="D256" s="73">
        <f>Tiers!C255</f>
        <v>44.1</v>
      </c>
      <c r="E256" s="36">
        <v>14</v>
      </c>
      <c r="F256" s="36">
        <f t="shared" si="15"/>
        <v>2000000</v>
      </c>
      <c r="G256" s="73">
        <f t="shared" si="16"/>
        <v>617.4</v>
      </c>
      <c r="H256" s="73">
        <f t="shared" si="17"/>
        <v>142857.14285714287</v>
      </c>
      <c r="I256" s="21" t="str">
        <f>'Data Analysis'!BM254 &amp; " | " &amp; 'Data Analysis'!BN254</f>
        <v>Big Win | Free Plays A</v>
      </c>
      <c r="J256" s="36">
        <f t="shared" si="18"/>
        <v>6</v>
      </c>
      <c r="K256" s="66">
        <f t="shared" si="19"/>
        <v>3.7192771084337356E-4</v>
      </c>
    </row>
    <row r="257" spans="2:11">
      <c r="B257" s="16">
        <f>Tiers!B256</f>
        <v>253</v>
      </c>
      <c r="C257" s="111" t="str">
        <f>Tiers!Y256</f>
        <v>freeplayA-29||||||||| x 1</v>
      </c>
      <c r="D257" s="73">
        <f>Tiers!C256</f>
        <v>81.5</v>
      </c>
      <c r="E257" s="36">
        <v>6</v>
      </c>
      <c r="F257" s="36">
        <f t="shared" si="15"/>
        <v>2000000</v>
      </c>
      <c r="G257" s="73">
        <f t="shared" si="16"/>
        <v>489</v>
      </c>
      <c r="H257" s="73">
        <f t="shared" si="17"/>
        <v>333333.33333333331</v>
      </c>
      <c r="I257" s="21" t="str">
        <f>'Data Analysis'!BM255 &amp; " | " &amp; 'Data Analysis'!BN255</f>
        <v>Huge Win | Free Plays A</v>
      </c>
      <c r="J257" s="36">
        <f t="shared" si="18"/>
        <v>6</v>
      </c>
      <c r="K257" s="66">
        <f t="shared" si="19"/>
        <v>2.9457831325301211E-4</v>
      </c>
    </row>
    <row r="258" spans="2:11">
      <c r="B258" s="16">
        <f>Tiers!B257</f>
        <v>254</v>
      </c>
      <c r="C258" s="111" t="str">
        <f>Tiers!Y257</f>
        <v>freeplayA-30||||||||| x 1</v>
      </c>
      <c r="D258" s="73">
        <f>Tiers!C257</f>
        <v>46.9</v>
      </c>
      <c r="E258" s="36">
        <v>100</v>
      </c>
      <c r="F258" s="36">
        <f t="shared" si="15"/>
        <v>2000000</v>
      </c>
      <c r="G258" s="73">
        <f t="shared" si="16"/>
        <v>4690</v>
      </c>
      <c r="H258" s="73">
        <f t="shared" si="17"/>
        <v>20000</v>
      </c>
      <c r="I258" s="21" t="str">
        <f>'Data Analysis'!BM256 &amp; " | " &amp; 'Data Analysis'!BN256</f>
        <v>Big Win | Free Plays A</v>
      </c>
      <c r="J258" s="36">
        <f t="shared" si="18"/>
        <v>6</v>
      </c>
      <c r="K258" s="66">
        <f t="shared" si="19"/>
        <v>2.825301204819278E-3</v>
      </c>
    </row>
    <row r="259" spans="2:11">
      <c r="B259" s="16">
        <f>Tiers!B258</f>
        <v>255</v>
      </c>
      <c r="C259" s="17" t="str">
        <f>Tiers!Y258</f>
        <v>main-10|freeplayA-2|||||||| x 1</v>
      </c>
      <c r="D259" s="73">
        <f>Tiers!C258</f>
        <v>12.399999999999999</v>
      </c>
      <c r="E259" s="36">
        <v>100</v>
      </c>
      <c r="F259" s="36">
        <f t="shared" si="15"/>
        <v>2000000</v>
      </c>
      <c r="G259" s="73">
        <f t="shared" si="16"/>
        <v>1239.9999999999998</v>
      </c>
      <c r="H259" s="73">
        <f t="shared" si="17"/>
        <v>20000</v>
      </c>
      <c r="I259" s="21" t="str">
        <f>'Data Analysis'!BM257 &amp; " | " &amp; 'Data Analysis'!BN257</f>
        <v>Big Win | Free Plays A</v>
      </c>
      <c r="J259" s="36">
        <f t="shared" si="18"/>
        <v>6</v>
      </c>
      <c r="K259" s="66">
        <f t="shared" si="19"/>
        <v>7.4698795180722902E-4</v>
      </c>
    </row>
    <row r="260" spans="2:11">
      <c r="B260" s="16">
        <f>Tiers!B259</f>
        <v>256</v>
      </c>
      <c r="C260" s="17" t="str">
        <f>Tiers!Y259</f>
        <v>main-0|freeplayA-3|||||||| x 1</v>
      </c>
      <c r="D260" s="73">
        <f>Tiers!C259</f>
        <v>35.1</v>
      </c>
      <c r="E260" s="36">
        <v>100</v>
      </c>
      <c r="F260" s="36">
        <f t="shared" ref="F260:F323" si="20">$N$6</f>
        <v>2000000</v>
      </c>
      <c r="G260" s="73">
        <f t="shared" ref="G260:G323" si="21">E260*D260</f>
        <v>3510</v>
      </c>
      <c r="H260" s="73">
        <f t="shared" ref="H260:H323" si="22">F260/E260</f>
        <v>20000</v>
      </c>
      <c r="I260" s="21" t="str">
        <f>'Data Analysis'!BM258 &amp; " | " &amp; 'Data Analysis'!BN258</f>
        <v>Big Win | Free Plays A</v>
      </c>
      <c r="J260" s="36">
        <f t="shared" ref="J260:J323" si="23">ROUND(IF(D260=0,($N$17*0.3),((((N$17*0.7)-(N$19*N$18)))*(E260/N$14)+$N$19)),0)</f>
        <v>6</v>
      </c>
      <c r="K260" s="66">
        <f t="shared" si="19"/>
        <v>2.1144578313253017E-3</v>
      </c>
    </row>
    <row r="261" spans="2:11">
      <c r="B261" s="16">
        <f>Tiers!B260</f>
        <v>257</v>
      </c>
      <c r="C261" s="17" t="str">
        <f>Tiers!Y260</f>
        <v>main-11|freeplayA-4|||||||| x 1</v>
      </c>
      <c r="D261" s="73">
        <f>Tiers!C260</f>
        <v>20.100000000000001</v>
      </c>
      <c r="E261" s="36">
        <v>100</v>
      </c>
      <c r="F261" s="36">
        <f t="shared" si="20"/>
        <v>2000000</v>
      </c>
      <c r="G261" s="73">
        <f t="shared" si="21"/>
        <v>2010.0000000000002</v>
      </c>
      <c r="H261" s="73">
        <f t="shared" si="22"/>
        <v>20000</v>
      </c>
      <c r="I261" s="21" t="str">
        <f>'Data Analysis'!BM259 &amp; " | " &amp; 'Data Analysis'!BN259</f>
        <v>Big Win | Free Plays A</v>
      </c>
      <c r="J261" s="36">
        <f t="shared" si="23"/>
        <v>6</v>
      </c>
      <c r="K261" s="66">
        <f t="shared" ref="K261:K324" si="24">G261/N$9</f>
        <v>1.2108433734939763E-3</v>
      </c>
    </row>
    <row r="262" spans="2:11">
      <c r="B262" s="16">
        <f>Tiers!B261</f>
        <v>258</v>
      </c>
      <c r="C262" s="17" t="str">
        <f>Tiers!Y261</f>
        <v>main-30|freeplayA-5|||||||| x 1</v>
      </c>
      <c r="D262" s="73">
        <f>Tiers!C261</f>
        <v>27.299999999999997</v>
      </c>
      <c r="E262" s="36">
        <v>100</v>
      </c>
      <c r="F262" s="36">
        <f t="shared" si="20"/>
        <v>2000000</v>
      </c>
      <c r="G262" s="73">
        <f t="shared" si="21"/>
        <v>2729.9999999999995</v>
      </c>
      <c r="H262" s="73">
        <f t="shared" si="22"/>
        <v>20000</v>
      </c>
      <c r="I262" s="21" t="str">
        <f>'Data Analysis'!BM260 &amp; " | " &amp; 'Data Analysis'!BN260</f>
        <v>Big Win | Free Plays A</v>
      </c>
      <c r="J262" s="36">
        <f t="shared" si="23"/>
        <v>6</v>
      </c>
      <c r="K262" s="66">
        <f t="shared" si="24"/>
        <v>1.6445783132530123E-3</v>
      </c>
    </row>
    <row r="263" spans="2:11">
      <c r="B263" s="16">
        <f>Tiers!B262</f>
        <v>259</v>
      </c>
      <c r="C263" s="17" t="str">
        <f>Tiers!Y262</f>
        <v>main-1|freeplayA-6|||||||| x 1</v>
      </c>
      <c r="D263" s="73">
        <f>Tiers!C262</f>
        <v>29.2</v>
      </c>
      <c r="E263" s="36">
        <v>100</v>
      </c>
      <c r="F263" s="36">
        <f t="shared" si="20"/>
        <v>2000000</v>
      </c>
      <c r="G263" s="73">
        <f t="shared" si="21"/>
        <v>2920</v>
      </c>
      <c r="H263" s="73">
        <f t="shared" si="22"/>
        <v>20000</v>
      </c>
      <c r="I263" s="21" t="str">
        <f>'Data Analysis'!BM261 &amp; " | " &amp; 'Data Analysis'!BN261</f>
        <v>Big Win | Free Plays A</v>
      </c>
      <c r="J263" s="36">
        <f t="shared" si="23"/>
        <v>6</v>
      </c>
      <c r="K263" s="66">
        <f t="shared" si="24"/>
        <v>1.7590361445783138E-3</v>
      </c>
    </row>
    <row r="264" spans="2:11">
      <c r="B264" s="16">
        <f>Tiers!B263</f>
        <v>260</v>
      </c>
      <c r="C264" s="17" t="str">
        <f>Tiers!Y263</f>
        <v>main-4|freeplayA-7|||||||| x 1</v>
      </c>
      <c r="D264" s="73">
        <f>Tiers!C263</f>
        <v>43.4</v>
      </c>
      <c r="E264" s="36">
        <v>11</v>
      </c>
      <c r="F264" s="36">
        <f t="shared" si="20"/>
        <v>2000000</v>
      </c>
      <c r="G264" s="73">
        <f t="shared" si="21"/>
        <v>477.4</v>
      </c>
      <c r="H264" s="73">
        <f t="shared" si="22"/>
        <v>181818.18181818182</v>
      </c>
      <c r="I264" s="21" t="str">
        <f>'Data Analysis'!BM262 &amp; " | " &amp; 'Data Analysis'!BN262</f>
        <v>Big Win | Free Plays A</v>
      </c>
      <c r="J264" s="36">
        <f t="shared" si="23"/>
        <v>6</v>
      </c>
      <c r="K264" s="66">
        <f t="shared" si="24"/>
        <v>2.8759036144578319E-4</v>
      </c>
    </row>
    <row r="265" spans="2:11">
      <c r="B265" s="16">
        <f>Tiers!B264</f>
        <v>261</v>
      </c>
      <c r="C265" s="17" t="str">
        <f>Tiers!Y264</f>
        <v>main-12|freeplayA-8|||||||| x 1</v>
      </c>
      <c r="D265" s="73">
        <f>Tiers!C264</f>
        <v>29</v>
      </c>
      <c r="E265" s="36">
        <v>167</v>
      </c>
      <c r="F265" s="36">
        <f t="shared" si="20"/>
        <v>2000000</v>
      </c>
      <c r="G265" s="73">
        <f t="shared" si="21"/>
        <v>4843</v>
      </c>
      <c r="H265" s="73">
        <f t="shared" si="22"/>
        <v>11976.047904191617</v>
      </c>
      <c r="I265" s="21" t="str">
        <f>'Data Analysis'!BM263 &amp; " | " &amp; 'Data Analysis'!BN263</f>
        <v>Big Win | Free Plays A</v>
      </c>
      <c r="J265" s="36">
        <f t="shared" si="23"/>
        <v>7</v>
      </c>
      <c r="K265" s="66">
        <f t="shared" si="24"/>
        <v>2.9174698795180732E-3</v>
      </c>
    </row>
    <row r="266" spans="2:11">
      <c r="B266" s="16">
        <f>Tiers!B265</f>
        <v>262</v>
      </c>
      <c r="C266" s="17" t="str">
        <f>Tiers!Y265</f>
        <v>main-8|freeplayA-9|||||||| x 1</v>
      </c>
      <c r="D266" s="73">
        <f>Tiers!C265</f>
        <v>49.099999999999994</v>
      </c>
      <c r="E266" s="36">
        <v>9</v>
      </c>
      <c r="F266" s="36">
        <f t="shared" si="20"/>
        <v>2000000</v>
      </c>
      <c r="G266" s="73">
        <f t="shared" si="21"/>
        <v>441.9</v>
      </c>
      <c r="H266" s="73">
        <f t="shared" si="22"/>
        <v>222222.22222222222</v>
      </c>
      <c r="I266" s="21" t="str">
        <f>'Data Analysis'!BM264 &amp; " | " &amp; 'Data Analysis'!BN264</f>
        <v>Big Win | Free Plays A</v>
      </c>
      <c r="J266" s="36">
        <f t="shared" si="23"/>
        <v>6</v>
      </c>
      <c r="K266" s="66">
        <f t="shared" si="24"/>
        <v>2.6620481927710848E-4</v>
      </c>
    </row>
    <row r="267" spans="2:11">
      <c r="B267" s="16">
        <f>Tiers!B266</f>
        <v>263</v>
      </c>
      <c r="C267" s="17" t="str">
        <f>Tiers!Y266</f>
        <v>main-22|freeplayA-10|||||||| x 1</v>
      </c>
      <c r="D267" s="73">
        <f>Tiers!C266</f>
        <v>21</v>
      </c>
      <c r="E267" s="36">
        <v>300</v>
      </c>
      <c r="F267" s="36">
        <f t="shared" si="20"/>
        <v>2000000</v>
      </c>
      <c r="G267" s="73">
        <f t="shared" si="21"/>
        <v>6300</v>
      </c>
      <c r="H267" s="73">
        <f t="shared" si="22"/>
        <v>6666.666666666667</v>
      </c>
      <c r="I267" s="21" t="str">
        <f>'Data Analysis'!BM265 &amp; " | " &amp; 'Data Analysis'!BN265</f>
        <v>Big Win | Free Plays A</v>
      </c>
      <c r="J267" s="36">
        <f t="shared" si="23"/>
        <v>7</v>
      </c>
      <c r="K267" s="66">
        <f t="shared" si="24"/>
        <v>3.7951807228915673E-3</v>
      </c>
    </row>
    <row r="268" spans="2:11">
      <c r="B268" s="16">
        <f>Tiers!B267</f>
        <v>264</v>
      </c>
      <c r="C268" s="17" t="str">
        <f>Tiers!Y267</f>
        <v>main-31|freeplayA-11|||||||| x 1</v>
      </c>
      <c r="D268" s="73">
        <f>Tiers!C267</f>
        <v>30.400000000000002</v>
      </c>
      <c r="E268" s="36">
        <v>50</v>
      </c>
      <c r="F268" s="36">
        <f t="shared" si="20"/>
        <v>2000000</v>
      </c>
      <c r="G268" s="73">
        <f t="shared" si="21"/>
        <v>1520</v>
      </c>
      <c r="H268" s="73">
        <f t="shared" si="22"/>
        <v>40000</v>
      </c>
      <c r="I268" s="21" t="str">
        <f>'Data Analysis'!BM266 &amp; " | " &amp; 'Data Analysis'!BN266</f>
        <v>Big Win | Free Plays A</v>
      </c>
      <c r="J268" s="36">
        <f t="shared" si="23"/>
        <v>6</v>
      </c>
      <c r="K268" s="66">
        <f t="shared" si="24"/>
        <v>9.1566265060240987E-4</v>
      </c>
    </row>
    <row r="269" spans="2:11">
      <c r="B269" s="16">
        <f>Tiers!B268</f>
        <v>265</v>
      </c>
      <c r="C269" s="17" t="str">
        <f>Tiers!Y268</f>
        <v>main-2|freeplayA-12|||||||| x 1</v>
      </c>
      <c r="D269" s="73">
        <f>Tiers!C268</f>
        <v>35.400000000000006</v>
      </c>
      <c r="E269" s="36">
        <v>100</v>
      </c>
      <c r="F269" s="36">
        <f t="shared" si="20"/>
        <v>2000000</v>
      </c>
      <c r="G269" s="73">
        <f t="shared" si="21"/>
        <v>3540.0000000000005</v>
      </c>
      <c r="H269" s="73">
        <f t="shared" si="22"/>
        <v>20000</v>
      </c>
      <c r="I269" s="21" t="str">
        <f>'Data Analysis'!BM267 &amp; " | " &amp; 'Data Analysis'!BN267</f>
        <v>Big Win | Free Plays A</v>
      </c>
      <c r="J269" s="36">
        <f t="shared" si="23"/>
        <v>6</v>
      </c>
      <c r="K269" s="66">
        <f t="shared" si="24"/>
        <v>2.1325301204819288E-3</v>
      </c>
    </row>
    <row r="270" spans="2:11">
      <c r="B270" s="16">
        <f>Tiers!B269</f>
        <v>266</v>
      </c>
      <c r="C270" s="17" t="str">
        <f>Tiers!Y269</f>
        <v>main-21|freeplayA-13|||||||| x 1</v>
      </c>
      <c r="D270" s="73">
        <f>Tiers!C269</f>
        <v>25.3</v>
      </c>
      <c r="E270" s="36">
        <v>100</v>
      </c>
      <c r="F270" s="36">
        <f t="shared" si="20"/>
        <v>2000000</v>
      </c>
      <c r="G270" s="73">
        <f t="shared" si="21"/>
        <v>2530</v>
      </c>
      <c r="H270" s="73">
        <f t="shared" si="22"/>
        <v>20000</v>
      </c>
      <c r="I270" s="21" t="str">
        <f>'Data Analysis'!BM268 &amp; " | " &amp; 'Data Analysis'!BN268</f>
        <v>Big Win | Free Plays A</v>
      </c>
      <c r="J270" s="36">
        <f t="shared" si="23"/>
        <v>6</v>
      </c>
      <c r="K270" s="66">
        <f t="shared" si="24"/>
        <v>1.5240963855421691E-3</v>
      </c>
    </row>
    <row r="271" spans="2:11">
      <c r="B271" s="16">
        <f>Tiers!B270</f>
        <v>267</v>
      </c>
      <c r="C271" s="17" t="str">
        <f>Tiers!Y270</f>
        <v>main-7|freeplayA-0|||||||| x 1</v>
      </c>
      <c r="D271" s="73">
        <f>Tiers!C270</f>
        <v>19.3</v>
      </c>
      <c r="E271" s="36">
        <v>25</v>
      </c>
      <c r="F271" s="36">
        <f t="shared" si="20"/>
        <v>2000000</v>
      </c>
      <c r="G271" s="73">
        <f t="shared" si="21"/>
        <v>482.5</v>
      </c>
      <c r="H271" s="73">
        <f t="shared" si="22"/>
        <v>80000</v>
      </c>
      <c r="I271" s="21" t="str">
        <f>'Data Analysis'!BM269 &amp; " | " &amp; 'Data Analysis'!BN269</f>
        <v>Big Win | Free Plays A</v>
      </c>
      <c r="J271" s="36">
        <f t="shared" si="23"/>
        <v>6</v>
      </c>
      <c r="K271" s="66">
        <f t="shared" si="24"/>
        <v>2.9066265060240975E-4</v>
      </c>
    </row>
    <row r="272" spans="2:11">
      <c r="B272" s="16">
        <f>Tiers!B271</f>
        <v>268</v>
      </c>
      <c r="C272" s="17" t="str">
        <f>Tiers!Y271</f>
        <v>main-9|freeplayA-1|||||||| x 1</v>
      </c>
      <c r="D272" s="73">
        <f>Tiers!C271</f>
        <v>34.700000000000003</v>
      </c>
      <c r="E272" s="36">
        <v>50</v>
      </c>
      <c r="F272" s="36">
        <f t="shared" si="20"/>
        <v>2000000</v>
      </c>
      <c r="G272" s="73">
        <f t="shared" si="21"/>
        <v>1735.0000000000002</v>
      </c>
      <c r="H272" s="73">
        <f t="shared" si="22"/>
        <v>40000</v>
      </c>
      <c r="I272" s="21" t="str">
        <f>'Data Analysis'!BM270 &amp; " | " &amp; 'Data Analysis'!BN270</f>
        <v>Big Win | Free Plays A</v>
      </c>
      <c r="J272" s="36">
        <f t="shared" si="23"/>
        <v>6</v>
      </c>
      <c r="K272" s="66">
        <f t="shared" si="24"/>
        <v>1.0451807228915666E-3</v>
      </c>
    </row>
    <row r="273" spans="2:11">
      <c r="B273" s="16">
        <f>Tiers!B272</f>
        <v>269</v>
      </c>
      <c r="C273" s="17" t="str">
        <f>Tiers!Y272</f>
        <v>main-23|freeplayA-2|||||||| x 1</v>
      </c>
      <c r="D273" s="73">
        <f>Tiers!C272</f>
        <v>21.4</v>
      </c>
      <c r="E273" s="36">
        <v>100</v>
      </c>
      <c r="F273" s="36">
        <f t="shared" si="20"/>
        <v>2000000</v>
      </c>
      <c r="G273" s="73">
        <f t="shared" si="21"/>
        <v>2140</v>
      </c>
      <c r="H273" s="73">
        <f t="shared" si="22"/>
        <v>20000</v>
      </c>
      <c r="I273" s="21" t="str">
        <f>'Data Analysis'!BM271 &amp; " | " &amp; 'Data Analysis'!BN271</f>
        <v>Big Win | Free Plays A</v>
      </c>
      <c r="J273" s="36">
        <f t="shared" si="23"/>
        <v>6</v>
      </c>
      <c r="K273" s="66">
        <f t="shared" si="24"/>
        <v>1.2891566265060244E-3</v>
      </c>
    </row>
    <row r="274" spans="2:11">
      <c r="B274" s="16">
        <f>Tiers!B273</f>
        <v>270</v>
      </c>
      <c r="C274" s="17" t="str">
        <f>Tiers!Y273</f>
        <v>main-13|freeplayA-3|||||||| x 1</v>
      </c>
      <c r="D274" s="73">
        <f>Tiers!C273</f>
        <v>40</v>
      </c>
      <c r="E274" s="36">
        <v>50</v>
      </c>
      <c r="F274" s="36">
        <f t="shared" si="20"/>
        <v>2000000</v>
      </c>
      <c r="G274" s="73">
        <f t="shared" si="21"/>
        <v>2000</v>
      </c>
      <c r="H274" s="73">
        <f t="shared" si="22"/>
        <v>40000</v>
      </c>
      <c r="I274" s="21" t="str">
        <f>'Data Analysis'!BM272 &amp; " | " &amp; 'Data Analysis'!BN272</f>
        <v>Big Win | Free Plays A</v>
      </c>
      <c r="J274" s="36">
        <f t="shared" si="23"/>
        <v>6</v>
      </c>
      <c r="K274" s="66">
        <f t="shared" si="24"/>
        <v>1.2048192771084341E-3</v>
      </c>
    </row>
    <row r="275" spans="2:11">
      <c r="B275" s="16">
        <f>Tiers!B274</f>
        <v>271</v>
      </c>
      <c r="C275" s="17" t="str">
        <f>Tiers!Y274</f>
        <v>main-24|freeplayA-4|||||||| x 1</v>
      </c>
      <c r="D275" s="73">
        <f>Tiers!C274</f>
        <v>33.6</v>
      </c>
      <c r="E275" s="36">
        <v>50</v>
      </c>
      <c r="F275" s="36">
        <f t="shared" si="20"/>
        <v>2000000</v>
      </c>
      <c r="G275" s="73">
        <f t="shared" si="21"/>
        <v>1680</v>
      </c>
      <c r="H275" s="73">
        <f t="shared" si="22"/>
        <v>40000</v>
      </c>
      <c r="I275" s="21" t="str">
        <f>'Data Analysis'!BM273 &amp; " | " &amp; 'Data Analysis'!BN273</f>
        <v>Big Win | Free Plays A</v>
      </c>
      <c r="J275" s="36">
        <f t="shared" si="23"/>
        <v>6</v>
      </c>
      <c r="K275" s="66">
        <f t="shared" si="24"/>
        <v>1.0120481927710847E-3</v>
      </c>
    </row>
    <row r="276" spans="2:11">
      <c r="B276" s="16">
        <f>Tiers!B275</f>
        <v>272</v>
      </c>
      <c r="C276" s="17" t="str">
        <f>Tiers!Y275</f>
        <v>main-20|freeplayA-5|||||||| x 1</v>
      </c>
      <c r="D276" s="73">
        <f>Tiers!C275</f>
        <v>26.799999999999997</v>
      </c>
      <c r="E276" s="36">
        <v>50</v>
      </c>
      <c r="F276" s="36">
        <f t="shared" si="20"/>
        <v>2000000</v>
      </c>
      <c r="G276" s="73">
        <f t="shared" si="21"/>
        <v>1339.9999999999998</v>
      </c>
      <c r="H276" s="73">
        <f t="shared" si="22"/>
        <v>40000</v>
      </c>
      <c r="I276" s="21" t="str">
        <f>'Data Analysis'!BM274 &amp; " | " &amp; 'Data Analysis'!BN274</f>
        <v>Big Win | Free Plays A</v>
      </c>
      <c r="J276" s="36">
        <f t="shared" si="23"/>
        <v>6</v>
      </c>
      <c r="K276" s="66">
        <f t="shared" si="24"/>
        <v>8.0722891566265074E-4</v>
      </c>
    </row>
    <row r="277" spans="2:11">
      <c r="B277" s="16">
        <f>Tiers!B276</f>
        <v>273</v>
      </c>
      <c r="C277" s="17" t="str">
        <f>Tiers!Y276</f>
        <v>main-6|freeplayA-6|||||||| x 1</v>
      </c>
      <c r="D277" s="73">
        <f>Tiers!C276</f>
        <v>31.5</v>
      </c>
      <c r="E277" s="36">
        <v>50</v>
      </c>
      <c r="F277" s="36">
        <f t="shared" si="20"/>
        <v>2000000</v>
      </c>
      <c r="G277" s="73">
        <f t="shared" si="21"/>
        <v>1575</v>
      </c>
      <c r="H277" s="73">
        <f t="shared" si="22"/>
        <v>40000</v>
      </c>
      <c r="I277" s="21" t="str">
        <f>'Data Analysis'!BM275 &amp; " | " &amp; 'Data Analysis'!BN275</f>
        <v>Big Win | Free Plays A</v>
      </c>
      <c r="J277" s="36">
        <f t="shared" si="23"/>
        <v>6</v>
      </c>
      <c r="K277" s="66">
        <f t="shared" si="24"/>
        <v>9.4879518072289184E-4</v>
      </c>
    </row>
    <row r="278" spans="2:11">
      <c r="B278" s="16">
        <f>Tiers!B277</f>
        <v>274</v>
      </c>
      <c r="C278" s="17" t="str">
        <f>Tiers!Y277</f>
        <v>main-32|freeplayA-7|||||||| x 1</v>
      </c>
      <c r="D278" s="73">
        <f>Tiers!C277</f>
        <v>51.9</v>
      </c>
      <c r="E278" s="36">
        <v>9</v>
      </c>
      <c r="F278" s="36">
        <f t="shared" si="20"/>
        <v>2000000</v>
      </c>
      <c r="G278" s="73">
        <f t="shared" si="21"/>
        <v>467.09999999999997</v>
      </c>
      <c r="H278" s="73">
        <f t="shared" si="22"/>
        <v>222222.22222222222</v>
      </c>
      <c r="I278" s="21" t="str">
        <f>'Data Analysis'!BM276 &amp; " | " &amp; 'Data Analysis'!BN276</f>
        <v>Huge Win | Free Plays A</v>
      </c>
      <c r="J278" s="36">
        <f t="shared" si="23"/>
        <v>6</v>
      </c>
      <c r="K278" s="66">
        <f t="shared" si="24"/>
        <v>2.8138554216867475E-4</v>
      </c>
    </row>
    <row r="279" spans="2:11">
      <c r="B279" s="16">
        <f>Tiers!B278</f>
        <v>275</v>
      </c>
      <c r="C279" s="17" t="str">
        <f>Tiers!Y278</f>
        <v>main-14|freeplayA-8|||||||| x 1</v>
      </c>
      <c r="D279" s="73">
        <f>Tiers!C278</f>
        <v>37</v>
      </c>
      <c r="E279" s="36">
        <v>100</v>
      </c>
      <c r="F279" s="36">
        <f t="shared" si="20"/>
        <v>2000000</v>
      </c>
      <c r="G279" s="73">
        <f t="shared" si="21"/>
        <v>3700</v>
      </c>
      <c r="H279" s="73">
        <f t="shared" si="22"/>
        <v>20000</v>
      </c>
      <c r="I279" s="21" t="str">
        <f>'Data Analysis'!BM277 &amp; " | " &amp; 'Data Analysis'!BN277</f>
        <v>Big Win | Free Plays A</v>
      </c>
      <c r="J279" s="36">
        <f t="shared" si="23"/>
        <v>6</v>
      </c>
      <c r="K279" s="66">
        <f t="shared" si="24"/>
        <v>2.2289156626506029E-3</v>
      </c>
    </row>
    <row r="280" spans="2:11">
      <c r="B280" s="16">
        <f>Tiers!B279</f>
        <v>276</v>
      </c>
      <c r="C280" s="17" t="str">
        <f>Tiers!Y279</f>
        <v>main-3|freeplayA-1|||||||| x 1</v>
      </c>
      <c r="D280" s="73">
        <f>Tiers!C279</f>
        <v>25.7</v>
      </c>
      <c r="E280" s="36">
        <v>100</v>
      </c>
      <c r="F280" s="36">
        <f t="shared" si="20"/>
        <v>2000000</v>
      </c>
      <c r="G280" s="73">
        <f t="shared" si="21"/>
        <v>2570</v>
      </c>
      <c r="H280" s="73">
        <f t="shared" si="22"/>
        <v>20000</v>
      </c>
      <c r="I280" s="21" t="str">
        <f>'Data Analysis'!BM278 &amp; " | " &amp; 'Data Analysis'!BN278</f>
        <v>Big Win | Free Plays A</v>
      </c>
      <c r="J280" s="36">
        <f t="shared" si="23"/>
        <v>6</v>
      </c>
      <c r="K280" s="66">
        <f t="shared" si="24"/>
        <v>1.5481927710843378E-3</v>
      </c>
    </row>
    <row r="281" spans="2:11">
      <c r="B281" s="16">
        <f>Tiers!B280</f>
        <v>277</v>
      </c>
      <c r="C281" s="17" t="str">
        <f>Tiers!Y280</f>
        <v>main-5|freeplayA-2|||||||| x 1</v>
      </c>
      <c r="D281" s="73">
        <f>Tiers!C280</f>
        <v>13.399999999999999</v>
      </c>
      <c r="E281" s="36">
        <v>136</v>
      </c>
      <c r="F281" s="36">
        <f t="shared" si="20"/>
        <v>2000000</v>
      </c>
      <c r="G281" s="73">
        <f t="shared" si="21"/>
        <v>1822.3999999999999</v>
      </c>
      <c r="H281" s="73">
        <f t="shared" si="22"/>
        <v>14705.882352941177</v>
      </c>
      <c r="I281" s="21" t="str">
        <f>'Data Analysis'!BM279 &amp; " | " &amp; 'Data Analysis'!BN279</f>
        <v>Big Win | Free Plays A</v>
      </c>
      <c r="J281" s="36">
        <f t="shared" si="23"/>
        <v>7</v>
      </c>
      <c r="K281" s="66">
        <f t="shared" si="24"/>
        <v>1.0978313253012051E-3</v>
      </c>
    </row>
    <row r="282" spans="2:11">
      <c r="B282" s="16">
        <f>Tiers!B281</f>
        <v>278</v>
      </c>
      <c r="C282" s="17" t="str">
        <f>Tiers!Y281</f>
        <v>main-16|freeplayA-3|||||||| x 1</v>
      </c>
      <c r="D282" s="73">
        <f>Tiers!C281</f>
        <v>55</v>
      </c>
      <c r="E282" s="36">
        <v>8</v>
      </c>
      <c r="F282" s="36">
        <f t="shared" si="20"/>
        <v>2000000</v>
      </c>
      <c r="G282" s="73">
        <f t="shared" si="21"/>
        <v>440</v>
      </c>
      <c r="H282" s="73">
        <f t="shared" si="22"/>
        <v>250000</v>
      </c>
      <c r="I282" s="21" t="str">
        <f>'Data Analysis'!BM280 &amp; " | " &amp; 'Data Analysis'!BN280</f>
        <v>Huge Win | Free Plays A</v>
      </c>
      <c r="J282" s="36">
        <f t="shared" si="23"/>
        <v>6</v>
      </c>
      <c r="K282" s="66">
        <f t="shared" si="24"/>
        <v>2.6506024096385549E-4</v>
      </c>
    </row>
    <row r="283" spans="2:11">
      <c r="B283" s="16">
        <f>Tiers!B282</f>
        <v>279</v>
      </c>
      <c r="C283" s="17" t="str">
        <f>Tiers!Y282</f>
        <v>main-25|freeplayA-4|||||||| x 1</v>
      </c>
      <c r="D283" s="73">
        <f>Tiers!C282</f>
        <v>38.6</v>
      </c>
      <c r="E283" s="36">
        <v>50</v>
      </c>
      <c r="F283" s="36">
        <f t="shared" si="20"/>
        <v>2000000</v>
      </c>
      <c r="G283" s="73">
        <f t="shared" si="21"/>
        <v>1930</v>
      </c>
      <c r="H283" s="73">
        <f t="shared" si="22"/>
        <v>40000</v>
      </c>
      <c r="I283" s="21" t="str">
        <f>'Data Analysis'!BM281 &amp; " | " &amp; 'Data Analysis'!BN281</f>
        <v>Big Win | Free Plays A</v>
      </c>
      <c r="J283" s="36">
        <f t="shared" si="23"/>
        <v>6</v>
      </c>
      <c r="K283" s="66">
        <f t="shared" si="24"/>
        <v>1.162650602409639E-3</v>
      </c>
    </row>
    <row r="284" spans="2:11">
      <c r="B284" s="16">
        <f>Tiers!B283</f>
        <v>280</v>
      </c>
      <c r="C284" s="17" t="str">
        <f>Tiers!Y283</f>
        <v>main-15|freeplayA-0|||||||| x 1</v>
      </c>
      <c r="D284" s="73">
        <f>Tiers!C283</f>
        <v>31.3</v>
      </c>
      <c r="E284" s="36">
        <v>50</v>
      </c>
      <c r="F284" s="36">
        <f t="shared" si="20"/>
        <v>2000000</v>
      </c>
      <c r="G284" s="73">
        <f t="shared" si="21"/>
        <v>1565</v>
      </c>
      <c r="H284" s="73">
        <f t="shared" si="22"/>
        <v>40000</v>
      </c>
      <c r="I284" s="21" t="str">
        <f>'Data Analysis'!BM282 &amp; " | " &amp; 'Data Analysis'!BN282</f>
        <v>Big Win | Free Plays A</v>
      </c>
      <c r="J284" s="36">
        <f t="shared" si="23"/>
        <v>6</v>
      </c>
      <c r="K284" s="66">
        <f t="shared" si="24"/>
        <v>9.4277108433734962E-4</v>
      </c>
    </row>
    <row r="285" spans="2:11">
      <c r="B285" s="16">
        <f>Tiers!B284</f>
        <v>281</v>
      </c>
      <c r="C285" s="17" t="str">
        <f>Tiers!Y284</f>
        <v>main-0|main-2|freeplayA-4||||||| x 1</v>
      </c>
      <c r="D285" s="73">
        <f>Tiers!C284</f>
        <v>19.200000000000003</v>
      </c>
      <c r="E285" s="36">
        <v>50</v>
      </c>
      <c r="F285" s="36">
        <f t="shared" si="20"/>
        <v>2000000</v>
      </c>
      <c r="G285" s="73">
        <f t="shared" si="21"/>
        <v>960.00000000000011</v>
      </c>
      <c r="H285" s="73">
        <f t="shared" si="22"/>
        <v>40000</v>
      </c>
      <c r="I285" s="21" t="str">
        <f>'Data Analysis'!BM283 &amp; " | " &amp; 'Data Analysis'!BN283</f>
        <v>Big Win | Free Plays A</v>
      </c>
      <c r="J285" s="36">
        <f t="shared" si="23"/>
        <v>6</v>
      </c>
      <c r="K285" s="66">
        <f t="shared" si="24"/>
        <v>5.7831325301204838E-4</v>
      </c>
    </row>
    <row r="286" spans="2:11">
      <c r="B286" s="16">
        <f>Tiers!B285</f>
        <v>282</v>
      </c>
      <c r="C286" s="17" t="str">
        <f>Tiers!Y285</f>
        <v>main-11|main-2|freeplayA-5||||||| x 1</v>
      </c>
      <c r="D286" s="73">
        <f>Tiers!C285</f>
        <v>27.299999999999997</v>
      </c>
      <c r="E286" s="36">
        <v>50</v>
      </c>
      <c r="F286" s="36">
        <f t="shared" si="20"/>
        <v>2000000</v>
      </c>
      <c r="G286" s="73">
        <f t="shared" si="21"/>
        <v>1364.9999999999998</v>
      </c>
      <c r="H286" s="73">
        <f t="shared" si="22"/>
        <v>40000</v>
      </c>
      <c r="I286" s="21" t="str">
        <f>'Data Analysis'!BM284 &amp; " | " &amp; 'Data Analysis'!BN284</f>
        <v>Big Win | Free Plays A</v>
      </c>
      <c r="J286" s="36">
        <f t="shared" si="23"/>
        <v>6</v>
      </c>
      <c r="K286" s="66">
        <f t="shared" si="24"/>
        <v>8.2228915662650617E-4</v>
      </c>
    </row>
    <row r="287" spans="2:11">
      <c r="B287" s="16">
        <f>Tiers!B286</f>
        <v>283</v>
      </c>
      <c r="C287" s="17" t="str">
        <f>Tiers!Y286</f>
        <v>main-3|main-2|freeplayA-6||||||| x 1</v>
      </c>
      <c r="D287" s="73">
        <f>Tiers!C286</f>
        <v>30.5</v>
      </c>
      <c r="E287" s="36">
        <v>50</v>
      </c>
      <c r="F287" s="36">
        <f t="shared" si="20"/>
        <v>2000000</v>
      </c>
      <c r="G287" s="73">
        <f t="shared" si="21"/>
        <v>1525</v>
      </c>
      <c r="H287" s="73">
        <f t="shared" si="22"/>
        <v>40000</v>
      </c>
      <c r="I287" s="21" t="str">
        <f>'Data Analysis'!BM285 &amp; " | " &amp; 'Data Analysis'!BN285</f>
        <v>Big Win | Free Plays A</v>
      </c>
      <c r="J287" s="36">
        <f t="shared" si="23"/>
        <v>6</v>
      </c>
      <c r="K287" s="66">
        <f t="shared" si="24"/>
        <v>9.1867469879518097E-4</v>
      </c>
    </row>
    <row r="288" spans="2:11">
      <c r="B288" s="16">
        <f>Tiers!B287</f>
        <v>284</v>
      </c>
      <c r="C288" s="17" t="str">
        <f>Tiers!Y287</f>
        <v>main-3|main-21|freeplayA-7||||||| x 1</v>
      </c>
      <c r="D288" s="73">
        <f>Tiers!C287</f>
        <v>44.9</v>
      </c>
      <c r="E288" s="36">
        <v>10</v>
      </c>
      <c r="F288" s="36">
        <f t="shared" si="20"/>
        <v>2000000</v>
      </c>
      <c r="G288" s="73">
        <f t="shared" si="21"/>
        <v>449</v>
      </c>
      <c r="H288" s="73">
        <f t="shared" si="22"/>
        <v>200000</v>
      </c>
      <c r="I288" s="21" t="str">
        <f>'Data Analysis'!BM286 &amp; " | " &amp; 'Data Analysis'!BN286</f>
        <v>Big Win | Free Plays A</v>
      </c>
      <c r="J288" s="36">
        <f t="shared" si="23"/>
        <v>6</v>
      </c>
      <c r="K288" s="66">
        <f t="shared" si="24"/>
        <v>2.7048192771084346E-4</v>
      </c>
    </row>
    <row r="289" spans="2:11">
      <c r="B289" s="16">
        <f>Tiers!B288</f>
        <v>285</v>
      </c>
      <c r="C289" s="17" t="str">
        <f>Tiers!Y288</f>
        <v>main-2|main-5|freeplayA-8||||||| x 1</v>
      </c>
      <c r="D289" s="73">
        <f>Tiers!C288</f>
        <v>29.5</v>
      </c>
      <c r="E289" s="36">
        <v>50</v>
      </c>
      <c r="F289" s="36">
        <f t="shared" si="20"/>
        <v>2000000</v>
      </c>
      <c r="G289" s="73">
        <f t="shared" si="21"/>
        <v>1475</v>
      </c>
      <c r="H289" s="73">
        <f t="shared" si="22"/>
        <v>40000</v>
      </c>
      <c r="I289" s="21" t="str">
        <f>'Data Analysis'!BM287 &amp; " | " &amp; 'Data Analysis'!BN287</f>
        <v>Big Win | Free Plays A</v>
      </c>
      <c r="J289" s="36">
        <f t="shared" si="23"/>
        <v>6</v>
      </c>
      <c r="K289" s="66">
        <f t="shared" si="24"/>
        <v>8.8855421686747011E-4</v>
      </c>
    </row>
    <row r="290" spans="2:11">
      <c r="B290" s="16">
        <f>Tiers!B289</f>
        <v>286</v>
      </c>
      <c r="C290" s="17" t="str">
        <f>Tiers!Y289</f>
        <v>main-4|main-22|freeplayA-9||||||| x 1</v>
      </c>
      <c r="D290" s="73">
        <f>Tiers!C289</f>
        <v>50.599999999999994</v>
      </c>
      <c r="E290" s="36">
        <v>3</v>
      </c>
      <c r="F290" s="36">
        <f t="shared" si="20"/>
        <v>2000000</v>
      </c>
      <c r="G290" s="73">
        <f t="shared" si="21"/>
        <v>151.79999999999998</v>
      </c>
      <c r="H290" s="73">
        <f t="shared" si="22"/>
        <v>666666.66666666663</v>
      </c>
      <c r="I290" s="21" t="str">
        <f>'Data Analysis'!BM288 &amp; " | " &amp; 'Data Analysis'!BN288</f>
        <v>Huge Win | Free Plays A</v>
      </c>
      <c r="J290" s="36">
        <f t="shared" si="23"/>
        <v>6</v>
      </c>
      <c r="K290" s="66">
        <f t="shared" si="24"/>
        <v>9.1445783132530141E-5</v>
      </c>
    </row>
    <row r="291" spans="2:11">
      <c r="B291" s="16">
        <f>Tiers!B290</f>
        <v>287</v>
      </c>
      <c r="C291" s="17" t="str">
        <f>Tiers!Y290</f>
        <v>main-4|main-4|freeplayA-10||||||| x 1</v>
      </c>
      <c r="D291" s="73">
        <f>Tiers!C290</f>
        <v>19</v>
      </c>
      <c r="E291" s="36">
        <v>50</v>
      </c>
      <c r="F291" s="36">
        <f t="shared" si="20"/>
        <v>2000000</v>
      </c>
      <c r="G291" s="73">
        <f t="shared" si="21"/>
        <v>950</v>
      </c>
      <c r="H291" s="73">
        <f t="shared" si="22"/>
        <v>40000</v>
      </c>
      <c r="I291" s="21" t="str">
        <f>'Data Analysis'!BM289 &amp; " | " &amp; 'Data Analysis'!BN289</f>
        <v>Big Win | Free Plays A</v>
      </c>
      <c r="J291" s="36">
        <f t="shared" si="23"/>
        <v>6</v>
      </c>
      <c r="K291" s="66">
        <f t="shared" si="24"/>
        <v>5.7228915662650617E-4</v>
      </c>
    </row>
    <row r="292" spans="2:11">
      <c r="B292" s="16">
        <f>Tiers!B291</f>
        <v>288</v>
      </c>
      <c r="C292" s="17" t="str">
        <f>Tiers!Y291</f>
        <v>main-4|main-5|main-13|freeplayA-1|||||| x 1</v>
      </c>
      <c r="D292" s="73">
        <f>Tiers!C291</f>
        <v>33.200000000000003</v>
      </c>
      <c r="E292" s="36">
        <v>50</v>
      </c>
      <c r="F292" s="36">
        <f t="shared" si="20"/>
        <v>2000000</v>
      </c>
      <c r="G292" s="73">
        <f t="shared" si="21"/>
        <v>1660.0000000000002</v>
      </c>
      <c r="H292" s="73">
        <f t="shared" si="22"/>
        <v>40000</v>
      </c>
      <c r="I292" s="21" t="str">
        <f>'Data Analysis'!BM290 &amp; " | " &amp; 'Data Analysis'!BN290</f>
        <v>Big Win | Free Plays A</v>
      </c>
      <c r="J292" s="36">
        <f t="shared" si="23"/>
        <v>6</v>
      </c>
      <c r="K292" s="66">
        <f t="shared" si="24"/>
        <v>1.0000000000000005E-3</v>
      </c>
    </row>
    <row r="293" spans="2:11">
      <c r="B293" s="16">
        <f>Tiers!B292</f>
        <v>289</v>
      </c>
      <c r="C293" s="17" t="str">
        <f>Tiers!Y292</f>
        <v>main-4|main-2|main-24|freeplayA-2|||||| x 1</v>
      </c>
      <c r="D293" s="73">
        <f>Tiers!C292</f>
        <v>28.4</v>
      </c>
      <c r="E293" s="36">
        <v>50</v>
      </c>
      <c r="F293" s="36">
        <f t="shared" si="20"/>
        <v>2000000</v>
      </c>
      <c r="G293" s="73">
        <f t="shared" si="21"/>
        <v>1420</v>
      </c>
      <c r="H293" s="73">
        <f t="shared" si="22"/>
        <v>40000</v>
      </c>
      <c r="I293" s="21" t="str">
        <f>'Data Analysis'!BM291 &amp; " | " &amp; 'Data Analysis'!BN291</f>
        <v>Big Win | Free Plays A</v>
      </c>
      <c r="J293" s="36">
        <f t="shared" si="23"/>
        <v>6</v>
      </c>
      <c r="K293" s="66">
        <f t="shared" si="24"/>
        <v>8.5542168674698814E-4</v>
      </c>
    </row>
    <row r="294" spans="2:11">
      <c r="B294" s="16">
        <f>Tiers!B293</f>
        <v>290</v>
      </c>
      <c r="C294" s="17" t="str">
        <f>Tiers!Y293</f>
        <v>main-15|main-13|main-13|freeplayA-3|||||| x 1</v>
      </c>
      <c r="D294" s="73">
        <f>Tiers!C293</f>
        <v>60</v>
      </c>
      <c r="E294" s="36">
        <v>3</v>
      </c>
      <c r="F294" s="36">
        <f t="shared" si="20"/>
        <v>2000000</v>
      </c>
      <c r="G294" s="73">
        <f t="shared" si="21"/>
        <v>180</v>
      </c>
      <c r="H294" s="73">
        <f t="shared" si="22"/>
        <v>666666.66666666663</v>
      </c>
      <c r="I294" s="21" t="str">
        <f>'Data Analysis'!BM292 &amp; " | " &amp; 'Data Analysis'!BN292</f>
        <v>Huge Win | Free Plays A</v>
      </c>
      <c r="J294" s="36">
        <f t="shared" si="23"/>
        <v>6</v>
      </c>
      <c r="K294" s="66">
        <f t="shared" si="24"/>
        <v>1.0843373493975907E-4</v>
      </c>
    </row>
    <row r="295" spans="2:11">
      <c r="B295" s="16">
        <f>Tiers!B294</f>
        <v>291</v>
      </c>
      <c r="C295" s="17" t="str">
        <f>Tiers!Y294</f>
        <v>main-30|main-14|main-15|freeplayA-4|||||| x 1</v>
      </c>
      <c r="D295" s="73">
        <f>Tiers!C294</f>
        <v>45.6</v>
      </c>
      <c r="E295" s="36">
        <v>50</v>
      </c>
      <c r="F295" s="36">
        <f t="shared" si="20"/>
        <v>2000000</v>
      </c>
      <c r="G295" s="73">
        <f t="shared" si="21"/>
        <v>2280</v>
      </c>
      <c r="H295" s="73">
        <f t="shared" si="22"/>
        <v>40000</v>
      </c>
      <c r="I295" s="21" t="str">
        <f>'Data Analysis'!BM293 &amp; " | " &amp; 'Data Analysis'!BN293</f>
        <v>Big Win | Free Plays A</v>
      </c>
      <c r="J295" s="36">
        <f t="shared" si="23"/>
        <v>6</v>
      </c>
      <c r="K295" s="66">
        <f t="shared" si="24"/>
        <v>1.3734939759036148E-3</v>
      </c>
    </row>
    <row r="296" spans="2:11">
      <c r="B296" s="16">
        <f>Tiers!B295</f>
        <v>292</v>
      </c>
      <c r="C296" s="17" t="str">
        <f>Tiers!Y295</f>
        <v>main-2|main-7|main-4|freeplayA-5|||||| x 1</v>
      </c>
      <c r="D296" s="73">
        <f>Tiers!C295</f>
        <v>30.299999999999997</v>
      </c>
      <c r="E296" s="36">
        <v>50</v>
      </c>
      <c r="F296" s="36">
        <f t="shared" si="20"/>
        <v>2000000</v>
      </c>
      <c r="G296" s="73">
        <f t="shared" si="21"/>
        <v>1514.9999999999998</v>
      </c>
      <c r="H296" s="73">
        <f t="shared" si="22"/>
        <v>40000</v>
      </c>
      <c r="I296" s="21" t="str">
        <f>'Data Analysis'!BM294 &amp; " | " &amp; 'Data Analysis'!BN294</f>
        <v>Big Win | Free Plays A</v>
      </c>
      <c r="J296" s="36">
        <f t="shared" si="23"/>
        <v>6</v>
      </c>
      <c r="K296" s="66">
        <f t="shared" si="24"/>
        <v>9.1265060240963865E-4</v>
      </c>
    </row>
    <row r="297" spans="2:11">
      <c r="B297" s="16">
        <f>Tiers!B296</f>
        <v>293</v>
      </c>
      <c r="C297" s="17" t="str">
        <f>Tiers!Y296</f>
        <v>main-11|main-25|main-31|freeplayA-6|||||| x 1</v>
      </c>
      <c r="D297" s="73">
        <f>Tiers!C296</f>
        <v>55.5</v>
      </c>
      <c r="E297" s="36">
        <v>3</v>
      </c>
      <c r="F297" s="36">
        <f t="shared" si="20"/>
        <v>2000000</v>
      </c>
      <c r="G297" s="73">
        <f t="shared" si="21"/>
        <v>166.5</v>
      </c>
      <c r="H297" s="73">
        <f t="shared" si="22"/>
        <v>666666.66666666663</v>
      </c>
      <c r="I297" s="21" t="str">
        <f>'Data Analysis'!BM295 &amp; " | " &amp; 'Data Analysis'!BN295</f>
        <v>Huge Win | Free Plays A</v>
      </c>
      <c r="J297" s="36">
        <f t="shared" si="23"/>
        <v>6</v>
      </c>
      <c r="K297" s="66">
        <f t="shared" si="24"/>
        <v>1.0030120481927714E-4</v>
      </c>
    </row>
    <row r="298" spans="2:11">
      <c r="B298" s="16">
        <f>Tiers!B297</f>
        <v>294</v>
      </c>
      <c r="C298" s="17" t="str">
        <f>Tiers!Y297</f>
        <v>main-5|main-25|main-12|freeplayA-7|||||| x 1</v>
      </c>
      <c r="D298" s="73">
        <f>Tiers!C297</f>
        <v>65.900000000000006</v>
      </c>
      <c r="E298" s="36">
        <v>3</v>
      </c>
      <c r="F298" s="36">
        <f t="shared" si="20"/>
        <v>2000000</v>
      </c>
      <c r="G298" s="73">
        <f t="shared" si="21"/>
        <v>197.70000000000002</v>
      </c>
      <c r="H298" s="73">
        <f t="shared" si="22"/>
        <v>666666.66666666663</v>
      </c>
      <c r="I298" s="21" t="str">
        <f>'Data Analysis'!BM296 &amp; " | " &amp; 'Data Analysis'!BN296</f>
        <v>Huge Win | Free Plays A</v>
      </c>
      <c r="J298" s="36">
        <f t="shared" si="23"/>
        <v>6</v>
      </c>
      <c r="K298" s="66">
        <f t="shared" si="24"/>
        <v>1.1909638554216872E-4</v>
      </c>
    </row>
    <row r="299" spans="2:11">
      <c r="B299" s="16">
        <f>Tiers!B298</f>
        <v>295</v>
      </c>
      <c r="C299" s="17" t="str">
        <f>Tiers!Y298</f>
        <v>main-3|main-33|main-16|freeplayA-8|||||| x 1</v>
      </c>
      <c r="D299" s="73">
        <f>Tiers!C298</f>
        <v>63</v>
      </c>
      <c r="E299" s="36">
        <v>3</v>
      </c>
      <c r="F299" s="36">
        <f t="shared" si="20"/>
        <v>2000000</v>
      </c>
      <c r="G299" s="73">
        <f t="shared" si="21"/>
        <v>189</v>
      </c>
      <c r="H299" s="73">
        <f t="shared" si="22"/>
        <v>666666.66666666663</v>
      </c>
      <c r="I299" s="21" t="str">
        <f>'Data Analysis'!BM297 &amp; " | " &amp; 'Data Analysis'!BN297</f>
        <v>Huge Win | Free Plays A</v>
      </c>
      <c r="J299" s="36">
        <f t="shared" si="23"/>
        <v>6</v>
      </c>
      <c r="K299" s="66">
        <f t="shared" si="24"/>
        <v>1.1385542168674702E-4</v>
      </c>
    </row>
    <row r="300" spans="2:11">
      <c r="B300" s="16">
        <f>Tiers!B299</f>
        <v>296</v>
      </c>
      <c r="C300" s="17" t="str">
        <f>Tiers!Y299</f>
        <v>main-30|main-6|main-7|freeplayA-9|||||| x 1</v>
      </c>
      <c r="D300" s="73">
        <f>Tiers!C299</f>
        <v>51.599999999999994</v>
      </c>
      <c r="E300" s="36">
        <v>3</v>
      </c>
      <c r="F300" s="36">
        <f t="shared" si="20"/>
        <v>2000000</v>
      </c>
      <c r="G300" s="73">
        <f t="shared" si="21"/>
        <v>154.79999999999998</v>
      </c>
      <c r="H300" s="73">
        <f t="shared" si="22"/>
        <v>666666.66666666663</v>
      </c>
      <c r="I300" s="21" t="str">
        <f>'Data Analysis'!BM298 &amp; " | " &amp; 'Data Analysis'!BN298</f>
        <v>Huge Win | Free Plays A</v>
      </c>
      <c r="J300" s="36">
        <f t="shared" si="23"/>
        <v>6</v>
      </c>
      <c r="K300" s="66">
        <f t="shared" si="24"/>
        <v>9.3253012048192789E-5</v>
      </c>
    </row>
    <row r="301" spans="2:11">
      <c r="B301" s="16">
        <f>Tiers!B300</f>
        <v>297</v>
      </c>
      <c r="C301" s="17" t="str">
        <f>Tiers!Y300</f>
        <v>main-21|main-25|main-7|freeplayA-10|||||| x 1</v>
      </c>
      <c r="D301" s="73">
        <f>Tiers!C300</f>
        <v>41</v>
      </c>
      <c r="E301" s="36">
        <v>11</v>
      </c>
      <c r="F301" s="36">
        <f t="shared" si="20"/>
        <v>2000000</v>
      </c>
      <c r="G301" s="73">
        <f t="shared" si="21"/>
        <v>451</v>
      </c>
      <c r="H301" s="73">
        <f t="shared" si="22"/>
        <v>181818.18181818182</v>
      </c>
      <c r="I301" s="21" t="str">
        <f>'Data Analysis'!BM299 &amp; " | " &amp; 'Data Analysis'!BN299</f>
        <v>Big Win | Free Plays A</v>
      </c>
      <c r="J301" s="36">
        <f t="shared" si="23"/>
        <v>6</v>
      </c>
      <c r="K301" s="66">
        <f t="shared" si="24"/>
        <v>2.716867469879519E-4</v>
      </c>
    </row>
    <row r="302" spans="2:11">
      <c r="B302" s="16">
        <f>Tiers!B301</f>
        <v>298</v>
      </c>
      <c r="C302" s="17" t="str">
        <f>Tiers!Y301</f>
        <v>main-5|main-25|main-25|freeplayA-4|||||| x 1</v>
      </c>
      <c r="D302" s="73">
        <f>Tiers!C301</f>
        <v>60.6</v>
      </c>
      <c r="E302" s="36">
        <v>8</v>
      </c>
      <c r="F302" s="36">
        <f t="shared" si="20"/>
        <v>2000000</v>
      </c>
      <c r="G302" s="73">
        <f t="shared" si="21"/>
        <v>484.8</v>
      </c>
      <c r="H302" s="73">
        <f t="shared" si="22"/>
        <v>250000</v>
      </c>
      <c r="I302" s="21" t="str">
        <f>'Data Analysis'!BM300 &amp; " | " &amp; 'Data Analysis'!BN300</f>
        <v>Huge Win | Free Plays A</v>
      </c>
      <c r="J302" s="36">
        <f t="shared" si="23"/>
        <v>6</v>
      </c>
      <c r="K302" s="66">
        <f t="shared" si="24"/>
        <v>2.9204819277108441E-4</v>
      </c>
    </row>
    <row r="303" spans="2:11">
      <c r="B303" s="16">
        <f>Tiers!B302</f>
        <v>299</v>
      </c>
      <c r="C303" s="17" t="str">
        <f>Tiers!Y302</f>
        <v>main-5|main-3|main-5|main-15|freeplayA-4||||| x 1</v>
      </c>
      <c r="D303" s="73">
        <f>Tiers!C302</f>
        <v>38.6</v>
      </c>
      <c r="E303" s="36">
        <v>50</v>
      </c>
      <c r="F303" s="36">
        <f t="shared" si="20"/>
        <v>2000000</v>
      </c>
      <c r="G303" s="73">
        <f t="shared" si="21"/>
        <v>1930</v>
      </c>
      <c r="H303" s="73">
        <f t="shared" si="22"/>
        <v>40000</v>
      </c>
      <c r="I303" s="21" t="str">
        <f>'Data Analysis'!BM301 &amp; " | " &amp; 'Data Analysis'!BN301</f>
        <v>Big Win | Free Plays A</v>
      </c>
      <c r="J303" s="36">
        <f t="shared" si="23"/>
        <v>6</v>
      </c>
      <c r="K303" s="66">
        <f t="shared" si="24"/>
        <v>1.162650602409639E-3</v>
      </c>
    </row>
    <row r="304" spans="2:11">
      <c r="B304" s="16">
        <f>Tiers!B303</f>
        <v>300</v>
      </c>
      <c r="C304" s="17" t="str">
        <f>Tiers!Y303</f>
        <v>main-5|main-13|main-25|main-22|freeplayA-5||||| x 1</v>
      </c>
      <c r="D304" s="73">
        <f>Tiers!C303</f>
        <v>57.3</v>
      </c>
      <c r="E304" s="36">
        <v>3</v>
      </c>
      <c r="F304" s="36">
        <f t="shared" si="20"/>
        <v>2000000</v>
      </c>
      <c r="G304" s="73">
        <f t="shared" si="21"/>
        <v>171.89999999999998</v>
      </c>
      <c r="H304" s="73">
        <f t="shared" si="22"/>
        <v>666666.66666666663</v>
      </c>
      <c r="I304" s="21" t="str">
        <f>'Data Analysis'!BM302 &amp; " | " &amp; 'Data Analysis'!BN302</f>
        <v>Huge Win | Free Plays A</v>
      </c>
      <c r="J304" s="36">
        <f t="shared" si="23"/>
        <v>6</v>
      </c>
      <c r="K304" s="66">
        <f t="shared" si="24"/>
        <v>1.035542168674699E-4</v>
      </c>
    </row>
    <row r="305" spans="2:11">
      <c r="B305" s="16">
        <f>Tiers!B304</f>
        <v>301</v>
      </c>
      <c r="C305" s="17" t="str">
        <f>Tiers!Y304</f>
        <v>main-22|main-13|main-34|main-25|freeplayA-6||||| x 1</v>
      </c>
      <c r="D305" s="73">
        <f>Tiers!C304</f>
        <v>79</v>
      </c>
      <c r="E305" s="36">
        <v>3</v>
      </c>
      <c r="F305" s="36">
        <f t="shared" si="20"/>
        <v>2000000</v>
      </c>
      <c r="G305" s="73">
        <f t="shared" si="21"/>
        <v>237</v>
      </c>
      <c r="H305" s="73">
        <f t="shared" si="22"/>
        <v>666666.66666666663</v>
      </c>
      <c r="I305" s="21" t="str">
        <f>'Data Analysis'!BM303 &amp; " | " &amp; 'Data Analysis'!BN303</f>
        <v>Huge Win | Free Plays A</v>
      </c>
      <c r="J305" s="36">
        <f t="shared" si="23"/>
        <v>6</v>
      </c>
      <c r="K305" s="66">
        <f t="shared" si="24"/>
        <v>1.4277108433734945E-4</v>
      </c>
    </row>
    <row r="306" spans="2:11">
      <c r="B306" s="16">
        <f>Tiers!B305</f>
        <v>302</v>
      </c>
      <c r="C306" s="17" t="str">
        <f>Tiers!Y305</f>
        <v>main-3|main-12|main-3|main-2|freeplayA-7||||| x 1</v>
      </c>
      <c r="D306" s="73">
        <f>Tiers!C305</f>
        <v>46.4</v>
      </c>
      <c r="E306" s="36">
        <v>10</v>
      </c>
      <c r="F306" s="36">
        <f t="shared" si="20"/>
        <v>2000000</v>
      </c>
      <c r="G306" s="73">
        <f t="shared" si="21"/>
        <v>464</v>
      </c>
      <c r="H306" s="73">
        <f t="shared" si="22"/>
        <v>200000</v>
      </c>
      <c r="I306" s="21" t="str">
        <f>'Data Analysis'!BM304 &amp; " | " &amp; 'Data Analysis'!BN304</f>
        <v>Big Win | Free Plays A</v>
      </c>
      <c r="J306" s="36">
        <f t="shared" si="23"/>
        <v>6</v>
      </c>
      <c r="K306" s="66">
        <f t="shared" si="24"/>
        <v>2.7951807228915668E-4</v>
      </c>
    </row>
    <row r="307" spans="2:11">
      <c r="B307" s="16">
        <f>Tiers!B306</f>
        <v>303</v>
      </c>
      <c r="C307" s="17" t="str">
        <f>Tiers!Y306</f>
        <v>main-8|main-5|main-12|main-3|freeplayA-8||||| x 1</v>
      </c>
      <c r="D307" s="73">
        <f>Tiers!C306</f>
        <v>37</v>
      </c>
      <c r="E307" s="36">
        <v>131</v>
      </c>
      <c r="F307" s="36">
        <f t="shared" si="20"/>
        <v>2000000</v>
      </c>
      <c r="G307" s="73">
        <f t="shared" si="21"/>
        <v>4847</v>
      </c>
      <c r="H307" s="73">
        <f t="shared" si="22"/>
        <v>15267.175572519083</v>
      </c>
      <c r="I307" s="21" t="str">
        <f>'Data Analysis'!BM305 &amp; " | " &amp; 'Data Analysis'!BN305</f>
        <v>Big Win | Free Plays A</v>
      </c>
      <c r="J307" s="36">
        <f t="shared" si="23"/>
        <v>7</v>
      </c>
      <c r="K307" s="66">
        <f t="shared" si="24"/>
        <v>2.9198795180722902E-3</v>
      </c>
    </row>
    <row r="308" spans="2:11">
      <c r="B308" s="16">
        <f>Tiers!B307</f>
        <v>304</v>
      </c>
      <c r="C308" s="17" t="str">
        <f>Tiers!Y307</f>
        <v>main-9|main-4|main-11|main-15|freeplayA-9||||| x 1</v>
      </c>
      <c r="D308" s="73">
        <f>Tiers!C307</f>
        <v>72.099999999999994</v>
      </c>
      <c r="E308" s="36">
        <v>68</v>
      </c>
      <c r="F308" s="36">
        <f t="shared" si="20"/>
        <v>2000000</v>
      </c>
      <c r="G308" s="73">
        <f t="shared" si="21"/>
        <v>4902.7999999999993</v>
      </c>
      <c r="H308" s="73">
        <f t="shared" si="22"/>
        <v>29411.764705882353</v>
      </c>
      <c r="I308" s="21" t="str">
        <f>'Data Analysis'!BM306 &amp; " | " &amp; 'Data Analysis'!BN306</f>
        <v>Huge Win | Free Plays A</v>
      </c>
      <c r="J308" s="36">
        <f t="shared" si="23"/>
        <v>6</v>
      </c>
      <c r="K308" s="66">
        <f t="shared" si="24"/>
        <v>2.953493975903615E-3</v>
      </c>
    </row>
    <row r="309" spans="2:11">
      <c r="B309" s="16">
        <f>Tiers!B308</f>
        <v>305</v>
      </c>
      <c r="C309" s="17" t="str">
        <f>Tiers!Y308</f>
        <v>main-4|main-25|main-8|main-2|freeplayA-10||||| x 1</v>
      </c>
      <c r="D309" s="73">
        <f>Tiers!C308</f>
        <v>43</v>
      </c>
      <c r="E309" s="36">
        <v>11</v>
      </c>
      <c r="F309" s="36">
        <f t="shared" si="20"/>
        <v>2000000</v>
      </c>
      <c r="G309" s="73">
        <f t="shared" si="21"/>
        <v>473</v>
      </c>
      <c r="H309" s="73">
        <f t="shared" si="22"/>
        <v>181818.18181818182</v>
      </c>
      <c r="I309" s="21" t="str">
        <f>'Data Analysis'!BM307 &amp; " | " &amp; 'Data Analysis'!BN307</f>
        <v>Big Win | Free Plays A</v>
      </c>
      <c r="J309" s="36">
        <f t="shared" si="23"/>
        <v>6</v>
      </c>
      <c r="K309" s="66">
        <f t="shared" si="24"/>
        <v>2.8493975903614465E-4</v>
      </c>
    </row>
    <row r="310" spans="2:11">
      <c r="B310" s="16">
        <f>Tiers!B309</f>
        <v>306</v>
      </c>
      <c r="C310" s="17" t="str">
        <f>Tiers!Y309</f>
        <v>main-3|main-31|main-4|main-16|main-3|freeplayA-3|||| x 1</v>
      </c>
      <c r="D310" s="73">
        <f>Tiers!C309</f>
        <v>63.5</v>
      </c>
      <c r="E310" s="36">
        <v>7</v>
      </c>
      <c r="F310" s="36">
        <f t="shared" si="20"/>
        <v>2000000</v>
      </c>
      <c r="G310" s="73">
        <f t="shared" si="21"/>
        <v>444.5</v>
      </c>
      <c r="H310" s="73">
        <f t="shared" si="22"/>
        <v>285714.28571428574</v>
      </c>
      <c r="I310" s="21" t="str">
        <f>'Data Analysis'!BM308 &amp; " | " &amp; 'Data Analysis'!BN308</f>
        <v>Huge Win | Free Plays A</v>
      </c>
      <c r="J310" s="36">
        <f t="shared" si="23"/>
        <v>6</v>
      </c>
      <c r="K310" s="66">
        <f t="shared" si="24"/>
        <v>2.6777108433734948E-4</v>
      </c>
    </row>
    <row r="311" spans="2:11">
      <c r="B311" s="16">
        <f>Tiers!B310</f>
        <v>307</v>
      </c>
      <c r="C311" s="17" t="str">
        <f>Tiers!Y310</f>
        <v>main-3|main-4|main-2|main-8|main-5|freeplayA-4|||| x 1</v>
      </c>
      <c r="D311" s="73">
        <f>Tiers!C310</f>
        <v>28.6</v>
      </c>
      <c r="E311" s="36">
        <v>100</v>
      </c>
      <c r="F311" s="36">
        <f t="shared" si="20"/>
        <v>2000000</v>
      </c>
      <c r="G311" s="73">
        <f t="shared" si="21"/>
        <v>2860</v>
      </c>
      <c r="H311" s="73">
        <f t="shared" si="22"/>
        <v>20000</v>
      </c>
      <c r="I311" s="21" t="str">
        <f>'Data Analysis'!BM309 &amp; " | " &amp; 'Data Analysis'!BN309</f>
        <v>Big Win | Free Plays A</v>
      </c>
      <c r="J311" s="36">
        <f t="shared" si="23"/>
        <v>6</v>
      </c>
      <c r="K311" s="66">
        <f t="shared" si="24"/>
        <v>1.7228915662650607E-3</v>
      </c>
    </row>
    <row r="312" spans="2:11">
      <c r="B312" s="16">
        <f>Tiers!B311</f>
        <v>308</v>
      </c>
      <c r="C312" s="17" t="str">
        <f>Tiers!Y311</f>
        <v>main-6|main-32|main-31|main-8|main-4|freeplayA-5|||| x 1</v>
      </c>
      <c r="D312" s="73">
        <f>Tiers!C311</f>
        <v>49.3</v>
      </c>
      <c r="E312" s="36">
        <v>9</v>
      </c>
      <c r="F312" s="36">
        <f t="shared" si="20"/>
        <v>2000000</v>
      </c>
      <c r="G312" s="73">
        <f t="shared" si="21"/>
        <v>443.7</v>
      </c>
      <c r="H312" s="73">
        <f t="shared" si="22"/>
        <v>222222.22222222222</v>
      </c>
      <c r="I312" s="21" t="str">
        <f>'Data Analysis'!BM310 &amp; " | " &amp; 'Data Analysis'!BN310</f>
        <v>Big Win | Free Plays A</v>
      </c>
      <c r="J312" s="36">
        <f t="shared" si="23"/>
        <v>6</v>
      </c>
      <c r="K312" s="66">
        <f t="shared" si="24"/>
        <v>2.6728915662650607E-4</v>
      </c>
    </row>
    <row r="313" spans="2:11">
      <c r="B313" s="16">
        <f>Tiers!B312</f>
        <v>309</v>
      </c>
      <c r="C313" s="17" t="str">
        <f>Tiers!Y312</f>
        <v>main-4|main-4|main-4|main-3|main-34|freeplayA-6|||| x 1</v>
      </c>
      <c r="D313" s="73">
        <f>Tiers!C312</f>
        <v>54.5</v>
      </c>
      <c r="E313" s="36">
        <v>9</v>
      </c>
      <c r="F313" s="36">
        <f t="shared" si="20"/>
        <v>2000000</v>
      </c>
      <c r="G313" s="73">
        <f t="shared" si="21"/>
        <v>490.5</v>
      </c>
      <c r="H313" s="73">
        <f t="shared" si="22"/>
        <v>222222.22222222222</v>
      </c>
      <c r="I313" s="21" t="str">
        <f>'Data Analysis'!BM311 &amp; " | " &amp; 'Data Analysis'!BN311</f>
        <v>Huge Win | Free Plays A</v>
      </c>
      <c r="J313" s="36">
        <f t="shared" si="23"/>
        <v>6</v>
      </c>
      <c r="K313" s="66">
        <f t="shared" si="24"/>
        <v>2.9548192771084347E-4</v>
      </c>
    </row>
    <row r="314" spans="2:11">
      <c r="B314" s="16">
        <f>Tiers!B313</f>
        <v>310</v>
      </c>
      <c r="C314" s="17" t="str">
        <f>Tiers!Y313</f>
        <v>main-5|main-21|main-4|main-4|main-1|freeplayA-7|||| x 1</v>
      </c>
      <c r="D314" s="73">
        <f>Tiers!C313</f>
        <v>49.1</v>
      </c>
      <c r="E314" s="36">
        <v>9</v>
      </c>
      <c r="F314" s="36">
        <f t="shared" si="20"/>
        <v>2000000</v>
      </c>
      <c r="G314" s="73">
        <f t="shared" si="21"/>
        <v>441.90000000000003</v>
      </c>
      <c r="H314" s="73">
        <f t="shared" si="22"/>
        <v>222222.22222222222</v>
      </c>
      <c r="I314" s="21" t="str">
        <f>'Data Analysis'!BM312 &amp; " | " &amp; 'Data Analysis'!BN312</f>
        <v>Big Win | Free Plays A</v>
      </c>
      <c r="J314" s="36">
        <f t="shared" si="23"/>
        <v>6</v>
      </c>
      <c r="K314" s="66">
        <f t="shared" si="24"/>
        <v>2.6620481927710853E-4</v>
      </c>
    </row>
    <row r="315" spans="2:11">
      <c r="B315" s="16">
        <f>Tiers!B314</f>
        <v>311</v>
      </c>
      <c r="C315" s="17" t="str">
        <f>Tiers!Y314</f>
        <v>main-7|main-5|main-5|main-14|main-3|freeplayA-8|||| x 1</v>
      </c>
      <c r="D315" s="73">
        <f>Tiers!C314</f>
        <v>45</v>
      </c>
      <c r="E315" s="36">
        <v>10</v>
      </c>
      <c r="F315" s="36">
        <f t="shared" si="20"/>
        <v>2000000</v>
      </c>
      <c r="G315" s="73">
        <f t="shared" si="21"/>
        <v>450</v>
      </c>
      <c r="H315" s="73">
        <f t="shared" si="22"/>
        <v>200000</v>
      </c>
      <c r="I315" s="21" t="str">
        <f>'Data Analysis'!BM313 &amp; " | " &amp; 'Data Analysis'!BN313</f>
        <v>Big Win | Free Plays A</v>
      </c>
      <c r="J315" s="36">
        <f t="shared" si="23"/>
        <v>6</v>
      </c>
      <c r="K315" s="66">
        <f t="shared" si="24"/>
        <v>2.7108433734939765E-4</v>
      </c>
    </row>
    <row r="316" spans="2:11">
      <c r="B316" s="16">
        <f>Tiers!B315</f>
        <v>312</v>
      </c>
      <c r="C316" s="125" t="str">
        <f>Tiers!Y315</f>
        <v>main-0|freeplayA-3|||||||| x 20</v>
      </c>
      <c r="D316" s="73">
        <f>Tiers!C315</f>
        <v>37</v>
      </c>
      <c r="E316" s="36">
        <v>100</v>
      </c>
      <c r="F316" s="36">
        <f t="shared" si="20"/>
        <v>2000000</v>
      </c>
      <c r="G316" s="73">
        <f t="shared" si="21"/>
        <v>3700</v>
      </c>
      <c r="H316" s="73">
        <f t="shared" si="22"/>
        <v>20000</v>
      </c>
      <c r="I316" s="21" t="str">
        <f>'Data Analysis'!BM314 &amp; " | " &amp; 'Data Analysis'!BN314</f>
        <v>Big Win | Free Plays A</v>
      </c>
      <c r="J316" s="36">
        <f t="shared" si="23"/>
        <v>6</v>
      </c>
      <c r="K316" s="66">
        <f t="shared" si="24"/>
        <v>2.2289156626506029E-3</v>
      </c>
    </row>
    <row r="317" spans="2:11">
      <c r="B317" s="16">
        <f>Tiers!B316</f>
        <v>313</v>
      </c>
      <c r="C317" s="125" t="str">
        <f>Tiers!Y316</f>
        <v>main-1|freeplayA-4|||||||| x 20</v>
      </c>
      <c r="D317" s="73">
        <f>Tiers!C316</f>
        <v>22.6</v>
      </c>
      <c r="E317" s="36">
        <v>100</v>
      </c>
      <c r="F317" s="36">
        <f t="shared" si="20"/>
        <v>2000000</v>
      </c>
      <c r="G317" s="73">
        <f t="shared" si="21"/>
        <v>2260</v>
      </c>
      <c r="H317" s="73">
        <f t="shared" si="22"/>
        <v>20000</v>
      </c>
      <c r="I317" s="21" t="str">
        <f>'Data Analysis'!BM315 &amp; " | " &amp; 'Data Analysis'!BN315</f>
        <v>Big Win | Free Plays A</v>
      </c>
      <c r="J317" s="36">
        <f t="shared" si="23"/>
        <v>6</v>
      </c>
      <c r="K317" s="66">
        <f t="shared" si="24"/>
        <v>1.3614457831325306E-3</v>
      </c>
    </row>
    <row r="318" spans="2:11">
      <c r="B318" s="16">
        <f>Tiers!B317</f>
        <v>314</v>
      </c>
      <c r="C318" s="125" t="str">
        <f>Tiers!Y317</f>
        <v>main-2|freeplayA-5|||||||| x 20</v>
      </c>
      <c r="D318" s="73">
        <f>Tiers!C317</f>
        <v>35.299999999999997</v>
      </c>
      <c r="E318" s="36">
        <v>100</v>
      </c>
      <c r="F318" s="36">
        <f t="shared" si="20"/>
        <v>2000000</v>
      </c>
      <c r="G318" s="73">
        <f t="shared" si="21"/>
        <v>3529.9999999999995</v>
      </c>
      <c r="H318" s="73">
        <f t="shared" si="22"/>
        <v>20000</v>
      </c>
      <c r="I318" s="21" t="str">
        <f>'Data Analysis'!BM316 &amp; " | " &amp; 'Data Analysis'!BN316</f>
        <v>Big Win | Free Plays A</v>
      </c>
      <c r="J318" s="36">
        <f t="shared" si="23"/>
        <v>6</v>
      </c>
      <c r="K318" s="66">
        <f t="shared" si="24"/>
        <v>2.1265060240963857E-3</v>
      </c>
    </row>
    <row r="319" spans="2:11">
      <c r="B319" s="16">
        <f>Tiers!B318</f>
        <v>315</v>
      </c>
      <c r="C319" s="125" t="str">
        <f>Tiers!Y318</f>
        <v>main-3|freeplayA-6|||||||| x 20</v>
      </c>
      <c r="D319" s="73">
        <f>Tiers!C318</f>
        <v>49</v>
      </c>
      <c r="E319" s="36">
        <v>9</v>
      </c>
      <c r="F319" s="36">
        <f t="shared" si="20"/>
        <v>2000000</v>
      </c>
      <c r="G319" s="73">
        <f t="shared" si="21"/>
        <v>441</v>
      </c>
      <c r="H319" s="73">
        <f t="shared" si="22"/>
        <v>222222.22222222222</v>
      </c>
      <c r="I319" s="21" t="str">
        <f>'Data Analysis'!BM317 &amp; " | " &amp; 'Data Analysis'!BN317</f>
        <v>Big Win | Free Plays A</v>
      </c>
      <c r="J319" s="36">
        <f t="shared" si="23"/>
        <v>6</v>
      </c>
      <c r="K319" s="66">
        <f t="shared" si="24"/>
        <v>2.6566265060240973E-4</v>
      </c>
    </row>
    <row r="320" spans="2:11">
      <c r="B320" s="16">
        <f>Tiers!B319</f>
        <v>316</v>
      </c>
      <c r="C320" s="125" t="str">
        <f>Tiers!Y319</f>
        <v>main-4|freeplayA-7|||||||| x 20</v>
      </c>
      <c r="D320" s="73">
        <f>Tiers!C319</f>
        <v>71.900000000000006</v>
      </c>
      <c r="E320" s="36">
        <v>6</v>
      </c>
      <c r="F320" s="36">
        <f t="shared" si="20"/>
        <v>2000000</v>
      </c>
      <c r="G320" s="73">
        <f t="shared" si="21"/>
        <v>431.40000000000003</v>
      </c>
      <c r="H320" s="73">
        <f t="shared" si="22"/>
        <v>333333.33333333331</v>
      </c>
      <c r="I320" s="21" t="str">
        <f>'Data Analysis'!BM318 &amp; " | " &amp; 'Data Analysis'!BN318</f>
        <v>Huge Win | Free Plays A</v>
      </c>
      <c r="J320" s="36">
        <f t="shared" si="23"/>
        <v>6</v>
      </c>
      <c r="K320" s="66">
        <f t="shared" si="24"/>
        <v>2.5987951807228925E-4</v>
      </c>
    </row>
    <row r="321" spans="2:11">
      <c r="B321" s="16">
        <f>Tiers!B320</f>
        <v>317</v>
      </c>
      <c r="C321" s="125" t="str">
        <f>Tiers!Y320</f>
        <v>main-5|freeplayA-8|||||||| x 20</v>
      </c>
      <c r="D321" s="73">
        <f>Tiers!C320</f>
        <v>67</v>
      </c>
      <c r="E321" s="36">
        <v>73</v>
      </c>
      <c r="F321" s="36">
        <f t="shared" si="20"/>
        <v>2000000</v>
      </c>
      <c r="G321" s="73">
        <f t="shared" si="21"/>
        <v>4891</v>
      </c>
      <c r="H321" s="73">
        <f t="shared" si="22"/>
        <v>27397.260273972603</v>
      </c>
      <c r="I321" s="21" t="str">
        <f>'Data Analysis'!BM319 &amp; " | " &amp; 'Data Analysis'!BN319</f>
        <v>Huge Win | Free Plays A</v>
      </c>
      <c r="J321" s="36">
        <f t="shared" si="23"/>
        <v>6</v>
      </c>
      <c r="K321" s="66">
        <f t="shared" si="24"/>
        <v>2.9463855421686756E-3</v>
      </c>
    </row>
    <row r="322" spans="2:11">
      <c r="B322" s="16">
        <f>Tiers!B321</f>
        <v>318</v>
      </c>
      <c r="C322" s="125" t="str">
        <f>Tiers!Y321</f>
        <v>main-10|freeplayA-4|||||||| x 20</v>
      </c>
      <c r="D322" s="73">
        <f>Tiers!C321</f>
        <v>38.6</v>
      </c>
      <c r="E322" s="36">
        <v>100</v>
      </c>
      <c r="F322" s="36">
        <f t="shared" si="20"/>
        <v>2000000</v>
      </c>
      <c r="G322" s="73">
        <f t="shared" si="21"/>
        <v>3860</v>
      </c>
      <c r="H322" s="73">
        <f t="shared" si="22"/>
        <v>20000</v>
      </c>
      <c r="I322" s="21" t="str">
        <f>'Data Analysis'!BM320 &amp; " | " &amp; 'Data Analysis'!BN320</f>
        <v>Big Win | Free Plays A</v>
      </c>
      <c r="J322" s="36">
        <f t="shared" si="23"/>
        <v>6</v>
      </c>
      <c r="K322" s="66">
        <f t="shared" si="24"/>
        <v>2.325301204819278E-3</v>
      </c>
    </row>
    <row r="323" spans="2:11">
      <c r="B323" s="16">
        <f>Tiers!B322</f>
        <v>319</v>
      </c>
      <c r="C323" s="125" t="str">
        <f>Tiers!Y322</f>
        <v>main-11|freeplayA-5|||||||| x 20</v>
      </c>
      <c r="D323" s="73">
        <f>Tiers!C322</f>
        <v>55.3</v>
      </c>
      <c r="E323" s="36">
        <v>8</v>
      </c>
      <c r="F323" s="36">
        <f t="shared" si="20"/>
        <v>2000000</v>
      </c>
      <c r="G323" s="73">
        <f t="shared" si="21"/>
        <v>442.4</v>
      </c>
      <c r="H323" s="73">
        <f t="shared" si="22"/>
        <v>250000</v>
      </c>
      <c r="I323" s="21" t="str">
        <f>'Data Analysis'!BM321 &amp; " | " &amp; 'Data Analysis'!BN321</f>
        <v>Huge Win | Free Plays A</v>
      </c>
      <c r="J323" s="36">
        <f t="shared" si="23"/>
        <v>6</v>
      </c>
      <c r="K323" s="66">
        <f t="shared" si="24"/>
        <v>2.665060240963856E-4</v>
      </c>
    </row>
    <row r="324" spans="2:11">
      <c r="B324" s="16">
        <f>Tiers!B323</f>
        <v>320</v>
      </c>
      <c r="C324" s="125" t="str">
        <f>Tiers!Y323</f>
        <v>main-12|freeplayA-6|||||||| x 20</v>
      </c>
      <c r="D324" s="73">
        <f>Tiers!C323</f>
        <v>69</v>
      </c>
      <c r="E324" s="36">
        <v>7</v>
      </c>
      <c r="F324" s="36">
        <f t="shared" ref="F324:F358" si="25">$N$6</f>
        <v>2000000</v>
      </c>
      <c r="G324" s="73">
        <f t="shared" ref="G324:G358" si="26">E324*D324</f>
        <v>483</v>
      </c>
      <c r="H324" s="73">
        <f t="shared" ref="H324:H358" si="27">F324/E324</f>
        <v>285714.28571428574</v>
      </c>
      <c r="I324" s="21" t="str">
        <f>'Data Analysis'!BM322 &amp; " | " &amp; 'Data Analysis'!BN322</f>
        <v>Huge Win | Free Plays A</v>
      </c>
      <c r="J324" s="36">
        <f t="shared" ref="J324:J358" si="28">ROUND(IF(D324=0,($N$17*0.3),((((N$17*0.7)-(N$19*N$18)))*(E324/N$14)+$N$19)),0)</f>
        <v>6</v>
      </c>
      <c r="K324" s="66">
        <f t="shared" si="24"/>
        <v>2.9096385542168681E-4</v>
      </c>
    </row>
    <row r="325" spans="2:11">
      <c r="B325" s="16">
        <f>Tiers!B324</f>
        <v>321</v>
      </c>
      <c r="C325" s="125" t="str">
        <f>Tiers!Y324</f>
        <v>main-13|freeplayA-7|||||||| x 20</v>
      </c>
      <c r="D325" s="73">
        <f>Tiers!C324</f>
        <v>141.9</v>
      </c>
      <c r="E325" s="36">
        <v>2</v>
      </c>
      <c r="F325" s="36">
        <f t="shared" si="25"/>
        <v>2000000</v>
      </c>
      <c r="G325" s="73">
        <f t="shared" si="26"/>
        <v>283.8</v>
      </c>
      <c r="H325" s="73">
        <f t="shared" si="27"/>
        <v>1000000</v>
      </c>
      <c r="I325" s="21" t="str">
        <f>'Data Analysis'!BM323 &amp; " | " &amp; 'Data Analysis'!BN323</f>
        <v>Huge Win | Free Plays A</v>
      </c>
      <c r="J325" s="36">
        <f t="shared" si="28"/>
        <v>6</v>
      </c>
      <c r="K325" s="66">
        <f t="shared" ref="K325:K358" si="29">G325/N$9</f>
        <v>1.709638554216868E-4</v>
      </c>
    </row>
    <row r="326" spans="2:11">
      <c r="B326" s="16">
        <f>Tiers!B325</f>
        <v>322</v>
      </c>
      <c r="C326" s="125" t="str">
        <f>Tiers!Y325</f>
        <v>main-20|freeplayA-8|||||||| x 20</v>
      </c>
      <c r="D326" s="73">
        <f>Tiers!C325</f>
        <v>57</v>
      </c>
      <c r="E326" s="36">
        <v>8</v>
      </c>
      <c r="F326" s="36">
        <f t="shared" si="25"/>
        <v>2000000</v>
      </c>
      <c r="G326" s="73">
        <f t="shared" si="26"/>
        <v>456</v>
      </c>
      <c r="H326" s="73">
        <f t="shared" si="27"/>
        <v>250000</v>
      </c>
      <c r="I326" s="21" t="str">
        <f>'Data Analysis'!BM324 &amp; " | " &amp; 'Data Analysis'!BN324</f>
        <v>Huge Win | Free Plays A</v>
      </c>
      <c r="J326" s="36">
        <f t="shared" si="28"/>
        <v>6</v>
      </c>
      <c r="K326" s="66">
        <f t="shared" si="29"/>
        <v>2.7469879518072295E-4</v>
      </c>
    </row>
    <row r="327" spans="2:11">
      <c r="B327" s="16">
        <f>Tiers!B326</f>
        <v>323</v>
      </c>
      <c r="C327" s="125" t="str">
        <f>Tiers!Y326</f>
        <v>main-21|freeplayA-9|||||||| x 20</v>
      </c>
      <c r="D327" s="73">
        <f>Tiers!C326</f>
        <v>84.1</v>
      </c>
      <c r="E327" s="36">
        <v>5</v>
      </c>
      <c r="F327" s="36">
        <f t="shared" si="25"/>
        <v>2000000</v>
      </c>
      <c r="G327" s="73">
        <f t="shared" si="26"/>
        <v>420.5</v>
      </c>
      <c r="H327" s="73">
        <f t="shared" si="27"/>
        <v>400000</v>
      </c>
      <c r="I327" s="21" t="str">
        <f>'Data Analysis'!BM325 &amp; " | " &amp; 'Data Analysis'!BN325</f>
        <v>Huge Win | Free Plays A</v>
      </c>
      <c r="J327" s="36">
        <f t="shared" si="28"/>
        <v>6</v>
      </c>
      <c r="K327" s="66">
        <f t="shared" si="29"/>
        <v>2.5331325301204829E-4</v>
      </c>
    </row>
    <row r="328" spans="2:11">
      <c r="B328" s="16">
        <f>Tiers!B327</f>
        <v>324</v>
      </c>
      <c r="C328" s="125" t="str">
        <f>Tiers!Y327</f>
        <v>main-30|freeplayA-10|||||||| x 20</v>
      </c>
      <c r="D328" s="73">
        <f>Tiers!C327</f>
        <v>56</v>
      </c>
      <c r="E328" s="36">
        <v>8</v>
      </c>
      <c r="F328" s="36">
        <f t="shared" si="25"/>
        <v>2000000</v>
      </c>
      <c r="G328" s="73">
        <f t="shared" si="26"/>
        <v>448</v>
      </c>
      <c r="H328" s="73">
        <f t="shared" si="27"/>
        <v>250000</v>
      </c>
      <c r="I328" s="21" t="str">
        <f>'Data Analysis'!BM326 &amp; " | " &amp; 'Data Analysis'!BN326</f>
        <v>Huge Win | Free Plays A</v>
      </c>
      <c r="J328" s="36">
        <f t="shared" si="28"/>
        <v>6</v>
      </c>
      <c r="K328" s="66">
        <f t="shared" si="29"/>
        <v>2.6987951807228922E-4</v>
      </c>
    </row>
    <row r="329" spans="2:11">
      <c r="B329" s="16">
        <f>Tiers!B328</f>
        <v>325</v>
      </c>
      <c r="C329" s="125" t="str">
        <f>Tiers!Y328</f>
        <v>main-0|main-0|freeplayA-3||||||| x 20</v>
      </c>
      <c r="D329" s="73">
        <f>Tiers!C328</f>
        <v>39</v>
      </c>
      <c r="E329" s="36">
        <v>100</v>
      </c>
      <c r="F329" s="36">
        <f t="shared" si="25"/>
        <v>2000000</v>
      </c>
      <c r="G329" s="73">
        <f t="shared" si="26"/>
        <v>3900</v>
      </c>
      <c r="H329" s="73">
        <f t="shared" si="27"/>
        <v>20000</v>
      </c>
      <c r="I329" s="21" t="str">
        <f>'Data Analysis'!BM327 &amp; " | " &amp; 'Data Analysis'!BN327</f>
        <v>Big Win | Free Plays A</v>
      </c>
      <c r="J329" s="36">
        <f t="shared" si="28"/>
        <v>6</v>
      </c>
      <c r="K329" s="66">
        <f t="shared" si="29"/>
        <v>2.3493975903614464E-3</v>
      </c>
    </row>
    <row r="330" spans="2:11">
      <c r="B330" s="16">
        <f>Tiers!B329</f>
        <v>326</v>
      </c>
      <c r="C330" s="125" t="str">
        <f>Tiers!Y329</f>
        <v>main-0|main-1|freeplayA-4||||||| x 20</v>
      </c>
      <c r="D330" s="73">
        <f>Tiers!C329</f>
        <v>24.6</v>
      </c>
      <c r="E330" s="36">
        <v>300</v>
      </c>
      <c r="F330" s="36">
        <f t="shared" si="25"/>
        <v>2000000</v>
      </c>
      <c r="G330" s="73">
        <f t="shared" si="26"/>
        <v>7380</v>
      </c>
      <c r="H330" s="73">
        <f t="shared" si="27"/>
        <v>6666.666666666667</v>
      </c>
      <c r="I330" s="21" t="str">
        <f>'Data Analysis'!BM328 &amp; " | " &amp; 'Data Analysis'!BN328</f>
        <v>Big Win | Free Plays A</v>
      </c>
      <c r="J330" s="36">
        <f t="shared" si="28"/>
        <v>7</v>
      </c>
      <c r="K330" s="66">
        <f t="shared" si="29"/>
        <v>4.4457831325301215E-3</v>
      </c>
    </row>
    <row r="331" spans="2:11">
      <c r="B331" s="16">
        <f>Tiers!B330</f>
        <v>327</v>
      </c>
      <c r="C331" s="125" t="str">
        <f>Tiers!Y330</f>
        <v>main-1|main-1|freeplayA-5||||||| x 20</v>
      </c>
      <c r="D331" s="73">
        <f>Tiers!C330</f>
        <v>33.299999999999997</v>
      </c>
      <c r="E331" s="36">
        <v>100</v>
      </c>
      <c r="F331" s="36">
        <f t="shared" si="25"/>
        <v>2000000</v>
      </c>
      <c r="G331" s="73">
        <f t="shared" si="26"/>
        <v>3329.9999999999995</v>
      </c>
      <c r="H331" s="73">
        <f t="shared" si="27"/>
        <v>20000</v>
      </c>
      <c r="I331" s="21" t="str">
        <f>'Data Analysis'!BM329 &amp; " | " &amp; 'Data Analysis'!BN329</f>
        <v>Big Win | Free Plays A</v>
      </c>
      <c r="J331" s="36">
        <f t="shared" si="28"/>
        <v>6</v>
      </c>
      <c r="K331" s="66">
        <f t="shared" si="29"/>
        <v>2.0060240963855423E-3</v>
      </c>
    </row>
    <row r="332" spans="2:11">
      <c r="B332" s="16">
        <f>Tiers!B331</f>
        <v>328</v>
      </c>
      <c r="C332" s="125" t="str">
        <f>Tiers!Y331</f>
        <v>main-0|main-2|freeplayA-6||||||| x 20</v>
      </c>
      <c r="D332" s="73">
        <f>Tiers!C331</f>
        <v>41</v>
      </c>
      <c r="E332" s="36">
        <v>10</v>
      </c>
      <c r="F332" s="36">
        <f t="shared" si="25"/>
        <v>2000000</v>
      </c>
      <c r="G332" s="73">
        <f t="shared" si="26"/>
        <v>410</v>
      </c>
      <c r="H332" s="73">
        <f t="shared" si="27"/>
        <v>200000</v>
      </c>
      <c r="I332" s="21" t="str">
        <f>'Data Analysis'!BM330 &amp; " | " &amp; 'Data Analysis'!BN330</f>
        <v>Big Win | Free Plays A</v>
      </c>
      <c r="J332" s="36">
        <f t="shared" si="28"/>
        <v>6</v>
      </c>
      <c r="K332" s="66">
        <f t="shared" si="29"/>
        <v>2.4698795180722901E-4</v>
      </c>
    </row>
    <row r="333" spans="2:11">
      <c r="B333" s="16">
        <f>Tiers!B332</f>
        <v>329</v>
      </c>
      <c r="C333" s="125" t="str">
        <f>Tiers!Y332</f>
        <v>main-0|main-3|freeplayA-7||||||| x 20</v>
      </c>
      <c r="D333" s="73">
        <f>Tiers!C332</f>
        <v>63.9</v>
      </c>
      <c r="E333" s="36">
        <v>7</v>
      </c>
      <c r="F333" s="36">
        <f t="shared" si="25"/>
        <v>2000000</v>
      </c>
      <c r="G333" s="73">
        <f t="shared" si="26"/>
        <v>447.3</v>
      </c>
      <c r="H333" s="73">
        <f t="shared" si="27"/>
        <v>285714.28571428574</v>
      </c>
      <c r="I333" s="21" t="str">
        <f>'Data Analysis'!BM331 &amp; " | " &amp; 'Data Analysis'!BN331</f>
        <v>Huge Win | Free Plays A</v>
      </c>
      <c r="J333" s="36">
        <f t="shared" si="28"/>
        <v>6</v>
      </c>
      <c r="K333" s="66">
        <f t="shared" si="29"/>
        <v>2.6945783132530126E-4</v>
      </c>
    </row>
    <row r="334" spans="2:11">
      <c r="B334" s="16">
        <f>Tiers!B333</f>
        <v>330</v>
      </c>
      <c r="C334" s="125" t="str">
        <f>Tiers!Y333</f>
        <v>main-0|main-4|freeplayA-8||||||| x 20</v>
      </c>
      <c r="D334" s="73">
        <f>Tiers!C333</f>
        <v>59</v>
      </c>
      <c r="E334" s="36">
        <v>8</v>
      </c>
      <c r="F334" s="36">
        <f t="shared" si="25"/>
        <v>2000000</v>
      </c>
      <c r="G334" s="73">
        <f t="shared" si="26"/>
        <v>472</v>
      </c>
      <c r="H334" s="73">
        <f t="shared" si="27"/>
        <v>250000</v>
      </c>
      <c r="I334" s="21" t="str">
        <f>'Data Analysis'!BM332 &amp; " | " &amp; 'Data Analysis'!BN332</f>
        <v>Huge Win | Free Plays A</v>
      </c>
      <c r="J334" s="36">
        <f t="shared" si="28"/>
        <v>6</v>
      </c>
      <c r="K334" s="66">
        <f t="shared" si="29"/>
        <v>2.8433734939759046E-4</v>
      </c>
    </row>
    <row r="335" spans="2:11">
      <c r="B335" s="16">
        <f>Tiers!B334</f>
        <v>331</v>
      </c>
      <c r="C335" s="125" t="str">
        <f>Tiers!Y334</f>
        <v>main-2|main-20|freeplayA-9||||||| x 20</v>
      </c>
      <c r="D335" s="73">
        <f>Tiers!C334</f>
        <v>84.1</v>
      </c>
      <c r="E335" s="36">
        <v>5</v>
      </c>
      <c r="F335" s="36">
        <f t="shared" si="25"/>
        <v>2000000</v>
      </c>
      <c r="G335" s="73">
        <f t="shared" si="26"/>
        <v>420.5</v>
      </c>
      <c r="H335" s="73">
        <f t="shared" si="27"/>
        <v>400000</v>
      </c>
      <c r="I335" s="21" t="str">
        <f>'Data Analysis'!BM333 &amp; " | " &amp; 'Data Analysis'!BN333</f>
        <v>Huge Win | Free Plays A</v>
      </c>
      <c r="J335" s="36">
        <f t="shared" si="28"/>
        <v>6</v>
      </c>
      <c r="K335" s="66">
        <f t="shared" si="29"/>
        <v>2.5331325301204829E-4</v>
      </c>
    </row>
    <row r="336" spans="2:11">
      <c r="B336" s="16">
        <f>Tiers!B335</f>
        <v>332</v>
      </c>
      <c r="C336" s="125" t="str">
        <f>Tiers!Y335</f>
        <v>main-4|main-4|freeplayA-10||||||| x 20</v>
      </c>
      <c r="D336" s="73">
        <f>Tiers!C335</f>
        <v>76</v>
      </c>
      <c r="E336" s="36">
        <v>6</v>
      </c>
      <c r="F336" s="36">
        <f t="shared" si="25"/>
        <v>2000000</v>
      </c>
      <c r="G336" s="73">
        <f t="shared" si="26"/>
        <v>456</v>
      </c>
      <c r="H336" s="73">
        <f t="shared" si="27"/>
        <v>333333.33333333331</v>
      </c>
      <c r="I336" s="21" t="str">
        <f>'Data Analysis'!BM334 &amp; " | " &amp; 'Data Analysis'!BN334</f>
        <v>Huge Win | Free Plays A</v>
      </c>
      <c r="J336" s="36">
        <f t="shared" si="28"/>
        <v>6</v>
      </c>
      <c r="K336" s="66">
        <f t="shared" si="29"/>
        <v>2.7469879518072295E-4</v>
      </c>
    </row>
    <row r="337" spans="2:11">
      <c r="B337" s="16">
        <f>Tiers!B336</f>
        <v>333</v>
      </c>
      <c r="C337" s="125" t="str">
        <f>Tiers!Y336</f>
        <v>main-4|main-11|freeplayA-4||||||| x 20</v>
      </c>
      <c r="D337" s="73">
        <f>Tiers!C336</f>
        <v>78.599999999999994</v>
      </c>
      <c r="E337" s="36">
        <v>7</v>
      </c>
      <c r="F337" s="36">
        <f t="shared" si="25"/>
        <v>2000000</v>
      </c>
      <c r="G337" s="73">
        <f t="shared" si="26"/>
        <v>550.19999999999993</v>
      </c>
      <c r="H337" s="73">
        <f t="shared" si="27"/>
        <v>285714.28571428574</v>
      </c>
      <c r="I337" s="21" t="str">
        <f>'Data Analysis'!BM335 &amp; " | " &amp; 'Data Analysis'!BN335</f>
        <v>Huge Win | Free Plays A</v>
      </c>
      <c r="J337" s="36">
        <f t="shared" si="28"/>
        <v>6</v>
      </c>
      <c r="K337" s="66">
        <f t="shared" si="29"/>
        <v>3.3144578313253016E-4</v>
      </c>
    </row>
    <row r="338" spans="2:11">
      <c r="B338" s="16">
        <f>Tiers!B337</f>
        <v>334</v>
      </c>
      <c r="C338" s="125" t="str">
        <f>Tiers!Y337</f>
        <v>main-10|main-30|freeplayA-5||||||| x 20</v>
      </c>
      <c r="D338" s="73">
        <f>Tiers!C337</f>
        <v>85.3</v>
      </c>
      <c r="E338" s="36">
        <v>6</v>
      </c>
      <c r="F338" s="36">
        <f t="shared" si="25"/>
        <v>2000000</v>
      </c>
      <c r="G338" s="73">
        <f t="shared" si="26"/>
        <v>511.79999999999995</v>
      </c>
      <c r="H338" s="73">
        <f t="shared" si="27"/>
        <v>333333.33333333331</v>
      </c>
      <c r="I338" s="21" t="str">
        <f>'Data Analysis'!BM336 &amp; " | " &amp; 'Data Analysis'!BN336</f>
        <v>Huge Win | Free Plays A</v>
      </c>
      <c r="J338" s="36">
        <f t="shared" si="28"/>
        <v>6</v>
      </c>
      <c r="K338" s="66">
        <f t="shared" si="29"/>
        <v>3.0831325301204827E-4</v>
      </c>
    </row>
    <row r="339" spans="2:11">
      <c r="B339" s="16">
        <f>Tiers!B338</f>
        <v>335</v>
      </c>
      <c r="C339" s="125" t="str">
        <f>Tiers!Y338</f>
        <v>main-0|main-0|main-2|freeplayA-5|||||| x 20</v>
      </c>
      <c r="D339" s="73">
        <f>Tiers!C338</f>
        <v>39.299999999999997</v>
      </c>
      <c r="E339" s="36">
        <v>100</v>
      </c>
      <c r="F339" s="36">
        <f t="shared" si="25"/>
        <v>2000000</v>
      </c>
      <c r="G339" s="73">
        <f t="shared" si="26"/>
        <v>3929.9999999999995</v>
      </c>
      <c r="H339" s="73">
        <f t="shared" si="27"/>
        <v>20000</v>
      </c>
      <c r="I339" s="21" t="str">
        <f>'Data Analysis'!BM337 &amp; " | " &amp; 'Data Analysis'!BN337</f>
        <v>Big Win | Free Plays A</v>
      </c>
      <c r="J339" s="36">
        <f t="shared" si="28"/>
        <v>6</v>
      </c>
      <c r="K339" s="66">
        <f t="shared" si="29"/>
        <v>2.3674698795180726E-3</v>
      </c>
    </row>
    <row r="340" spans="2:11">
      <c r="B340" s="16">
        <f>Tiers!B339</f>
        <v>336</v>
      </c>
      <c r="C340" s="125" t="str">
        <f>Tiers!Y339</f>
        <v>main-1|main-1|main-2|freeplayA-6|||||| x 20</v>
      </c>
      <c r="D340" s="73">
        <f>Tiers!C339</f>
        <v>47</v>
      </c>
      <c r="E340" s="36">
        <v>100</v>
      </c>
      <c r="F340" s="36">
        <f t="shared" si="25"/>
        <v>2000000</v>
      </c>
      <c r="G340" s="73">
        <f t="shared" si="26"/>
        <v>4700</v>
      </c>
      <c r="H340" s="73">
        <f t="shared" si="27"/>
        <v>20000</v>
      </c>
      <c r="I340" s="21" t="str">
        <f>'Data Analysis'!BM338 &amp; " | " &amp; 'Data Analysis'!BN338</f>
        <v>Big Win | Free Plays A</v>
      </c>
      <c r="J340" s="36">
        <f t="shared" si="28"/>
        <v>6</v>
      </c>
      <c r="K340" s="66">
        <f t="shared" si="29"/>
        <v>2.8313253012048202E-3</v>
      </c>
    </row>
    <row r="341" spans="2:11">
      <c r="B341" s="16">
        <f>Tiers!B340</f>
        <v>337</v>
      </c>
      <c r="C341" s="125" t="str">
        <f>Tiers!Y340</f>
        <v>main-2|main-3|main-10|freeplayA-7|||||| x 20</v>
      </c>
      <c r="D341" s="73">
        <f>Tiers!C340</f>
        <v>91.9</v>
      </c>
      <c r="E341" s="36">
        <v>5</v>
      </c>
      <c r="F341" s="36">
        <f t="shared" si="25"/>
        <v>2000000</v>
      </c>
      <c r="G341" s="73">
        <f t="shared" si="26"/>
        <v>459.5</v>
      </c>
      <c r="H341" s="73">
        <f t="shared" si="27"/>
        <v>400000</v>
      </c>
      <c r="I341" s="21" t="str">
        <f>'Data Analysis'!BM339 &amp; " | " &amp; 'Data Analysis'!BN339</f>
        <v>Huge Win | Free Plays A</v>
      </c>
      <c r="J341" s="36">
        <f t="shared" si="28"/>
        <v>6</v>
      </c>
      <c r="K341" s="66">
        <f t="shared" si="29"/>
        <v>2.7680722891566275E-4</v>
      </c>
    </row>
    <row r="342" spans="2:11">
      <c r="B342" s="16">
        <f>Tiers!B341</f>
        <v>338</v>
      </c>
      <c r="C342" s="125" t="str">
        <f>Tiers!Y341</f>
        <v>main-0|main-0|main-12|freeplayA-8|||||| x 20</v>
      </c>
      <c r="D342" s="73">
        <f>Tiers!C341</f>
        <v>71</v>
      </c>
      <c r="E342" s="36">
        <v>6</v>
      </c>
      <c r="F342" s="36">
        <f t="shared" si="25"/>
        <v>2000000</v>
      </c>
      <c r="G342" s="73">
        <f t="shared" si="26"/>
        <v>426</v>
      </c>
      <c r="H342" s="73">
        <f t="shared" si="27"/>
        <v>333333.33333333331</v>
      </c>
      <c r="I342" s="21" t="str">
        <f>'Data Analysis'!BM340 &amp; " | " &amp; 'Data Analysis'!BN340</f>
        <v>Huge Win | Free Plays A</v>
      </c>
      <c r="J342" s="36">
        <f t="shared" si="28"/>
        <v>6</v>
      </c>
      <c r="K342" s="66">
        <f t="shared" si="29"/>
        <v>2.5662650602409646E-4</v>
      </c>
    </row>
    <row r="343" spans="2:11">
      <c r="B343" s="16">
        <f>Tiers!B342</f>
        <v>339</v>
      </c>
      <c r="C343" s="125" t="str">
        <f>Tiers!Y342</f>
        <v>main-0|main-0|main-1|freeplayA-9|||||| x 20</v>
      </c>
      <c r="D343" s="73">
        <f>Tiers!C342</f>
        <v>52.099999999999994</v>
      </c>
      <c r="E343" s="36">
        <v>9</v>
      </c>
      <c r="F343" s="36">
        <f t="shared" si="25"/>
        <v>2000000</v>
      </c>
      <c r="G343" s="73">
        <f t="shared" si="26"/>
        <v>468.9</v>
      </c>
      <c r="H343" s="73">
        <f t="shared" si="27"/>
        <v>222222.22222222222</v>
      </c>
      <c r="I343" s="21" t="str">
        <f>'Data Analysis'!BM341 &amp; " | " &amp; 'Data Analysis'!BN341</f>
        <v>Huge Win | Free Plays A</v>
      </c>
      <c r="J343" s="36">
        <f t="shared" si="28"/>
        <v>6</v>
      </c>
      <c r="K343" s="66">
        <f t="shared" si="29"/>
        <v>2.8246987951807234E-4</v>
      </c>
    </row>
    <row r="344" spans="2:11">
      <c r="B344" s="16">
        <f>Tiers!B343</f>
        <v>340</v>
      </c>
      <c r="C344" s="125" t="str">
        <f>Tiers!Y343</f>
        <v>main-0|main-1|main-2|main-2|freeplayA-5||||| x 20</v>
      </c>
      <c r="D344" s="73">
        <f>Tiers!C343</f>
        <v>51.3</v>
      </c>
      <c r="E344" s="36">
        <v>9</v>
      </c>
      <c r="F344" s="36">
        <f t="shared" si="25"/>
        <v>2000000</v>
      </c>
      <c r="G344" s="73">
        <f t="shared" si="26"/>
        <v>461.7</v>
      </c>
      <c r="H344" s="73">
        <f t="shared" si="27"/>
        <v>222222.22222222222</v>
      </c>
      <c r="I344" s="21" t="str">
        <f>'Data Analysis'!BM342 &amp; " | " &amp; 'Data Analysis'!BN342</f>
        <v>Huge Win | Free Plays A</v>
      </c>
      <c r="J344" s="36">
        <f t="shared" si="28"/>
        <v>6</v>
      </c>
      <c r="K344" s="66">
        <f t="shared" si="29"/>
        <v>2.7813253012048202E-4</v>
      </c>
    </row>
    <row r="345" spans="2:11">
      <c r="B345" s="16">
        <f>Tiers!B344</f>
        <v>341</v>
      </c>
      <c r="C345" s="125" t="str">
        <f>Tiers!Y344</f>
        <v>main-0|main-1|main-1|main-4|freeplayA-6||||| x 20</v>
      </c>
      <c r="D345" s="73">
        <f>Tiers!C344</f>
        <v>69</v>
      </c>
      <c r="E345" s="36">
        <v>7</v>
      </c>
      <c r="F345" s="36">
        <f t="shared" si="25"/>
        <v>2000000</v>
      </c>
      <c r="G345" s="73">
        <f t="shared" si="26"/>
        <v>483</v>
      </c>
      <c r="H345" s="73">
        <f t="shared" si="27"/>
        <v>285714.28571428574</v>
      </c>
      <c r="I345" s="21" t="str">
        <f>'Data Analysis'!BM343 &amp; " | " &amp; 'Data Analysis'!BN343</f>
        <v>Huge Win | Free Plays A</v>
      </c>
      <c r="J345" s="36">
        <f t="shared" si="28"/>
        <v>6</v>
      </c>
      <c r="K345" s="66">
        <f t="shared" si="29"/>
        <v>2.9096385542168681E-4</v>
      </c>
    </row>
    <row r="346" spans="2:11">
      <c r="B346" s="16">
        <f>Tiers!B345</f>
        <v>342</v>
      </c>
      <c r="C346" s="125" t="str">
        <f>Tiers!Y345</f>
        <v>main-0|main-0|main-1|main-10|freeplayA-7||||| x 20</v>
      </c>
      <c r="D346" s="73">
        <f>Tiers!C345</f>
        <v>69.900000000000006</v>
      </c>
      <c r="E346" s="36">
        <v>7</v>
      </c>
      <c r="F346" s="36">
        <f t="shared" si="25"/>
        <v>2000000</v>
      </c>
      <c r="G346" s="73">
        <f t="shared" si="26"/>
        <v>489.30000000000007</v>
      </c>
      <c r="H346" s="73">
        <f t="shared" si="27"/>
        <v>285714.28571428574</v>
      </c>
      <c r="I346" s="21" t="str">
        <f>'Data Analysis'!BM344 &amp; " | " &amp; 'Data Analysis'!BN344</f>
        <v>Huge Win | Free Plays A</v>
      </c>
      <c r="J346" s="36">
        <f t="shared" si="28"/>
        <v>6</v>
      </c>
      <c r="K346" s="66">
        <f t="shared" si="29"/>
        <v>2.9475903614457845E-4</v>
      </c>
    </row>
    <row r="347" spans="2:11">
      <c r="B347" s="16">
        <f>Tiers!B346</f>
        <v>343</v>
      </c>
      <c r="C347" s="125" t="str">
        <f>Tiers!Y346</f>
        <v>main-0|main-0|main-0|main-1|freeplayA-8||||| x 20</v>
      </c>
      <c r="D347" s="73">
        <f>Tiers!C346</f>
        <v>37</v>
      </c>
      <c r="E347" s="36">
        <v>13</v>
      </c>
      <c r="F347" s="36">
        <f t="shared" si="25"/>
        <v>2000000</v>
      </c>
      <c r="G347" s="73">
        <f t="shared" si="26"/>
        <v>481</v>
      </c>
      <c r="H347" s="73">
        <f t="shared" si="27"/>
        <v>153846.15384615384</v>
      </c>
      <c r="I347" s="21" t="str">
        <f>'Data Analysis'!BM345 &amp; " | " &amp; 'Data Analysis'!BN345</f>
        <v>Big Win | Free Plays A</v>
      </c>
      <c r="J347" s="36">
        <f t="shared" si="28"/>
        <v>6</v>
      </c>
      <c r="K347" s="66">
        <f t="shared" si="29"/>
        <v>2.8975903614457838E-4</v>
      </c>
    </row>
    <row r="348" spans="2:11">
      <c r="B348" s="16">
        <f>Tiers!B347</f>
        <v>344</v>
      </c>
      <c r="C348" s="125" t="str">
        <f>Tiers!Y347</f>
        <v>main-0|main-0|main-1|main-1|freeplayA-4||||| x 20</v>
      </c>
      <c r="D348" s="73">
        <f>Tiers!C347</f>
        <v>30.6</v>
      </c>
      <c r="E348" s="36">
        <v>100</v>
      </c>
      <c r="F348" s="36">
        <f t="shared" si="25"/>
        <v>2000000</v>
      </c>
      <c r="G348" s="73">
        <f t="shared" si="26"/>
        <v>3060</v>
      </c>
      <c r="H348" s="73">
        <f t="shared" si="27"/>
        <v>20000</v>
      </c>
      <c r="I348" s="21" t="str">
        <f>'Data Analysis'!BM346 &amp; " | " &amp; 'Data Analysis'!BN346</f>
        <v>Big Win | Free Plays A</v>
      </c>
      <c r="J348" s="36">
        <f t="shared" si="28"/>
        <v>6</v>
      </c>
      <c r="K348" s="66">
        <f t="shared" si="29"/>
        <v>1.8433734939759042E-3</v>
      </c>
    </row>
    <row r="349" spans="2:11">
      <c r="B349" s="16">
        <f>Tiers!B348</f>
        <v>345</v>
      </c>
      <c r="C349" s="125" t="str">
        <f>Tiers!Y348</f>
        <v>main-0|main-0|main-1|main-30|freeplayA-5||||| x 20</v>
      </c>
      <c r="D349" s="73">
        <f>Tiers!C348</f>
        <v>73.3</v>
      </c>
      <c r="E349" s="36">
        <v>6</v>
      </c>
      <c r="F349" s="36">
        <f t="shared" si="25"/>
        <v>2000000</v>
      </c>
      <c r="G349" s="73">
        <f t="shared" si="26"/>
        <v>439.79999999999995</v>
      </c>
      <c r="H349" s="73">
        <f t="shared" si="27"/>
        <v>333333.33333333331</v>
      </c>
      <c r="I349" s="21" t="str">
        <f>'Data Analysis'!BM347 &amp; " | " &amp; 'Data Analysis'!BN347</f>
        <v>Huge Win | Free Plays A</v>
      </c>
      <c r="J349" s="36">
        <f t="shared" si="28"/>
        <v>6</v>
      </c>
      <c r="K349" s="66">
        <f t="shared" si="29"/>
        <v>2.649397590361446E-4</v>
      </c>
    </row>
    <row r="350" spans="2:11">
      <c r="B350" s="16">
        <f>Tiers!B349</f>
        <v>346</v>
      </c>
      <c r="C350" s="125" t="str">
        <f>Tiers!Y349</f>
        <v>main-0|main-0|main-1|main-1|main-2|freeplayA-4|||| x 20</v>
      </c>
      <c r="D350" s="73">
        <f>Tiers!C349</f>
        <v>40.6</v>
      </c>
      <c r="E350" s="36">
        <v>12</v>
      </c>
      <c r="F350" s="36">
        <f t="shared" si="25"/>
        <v>2000000</v>
      </c>
      <c r="G350" s="73">
        <f t="shared" si="26"/>
        <v>487.20000000000005</v>
      </c>
      <c r="H350" s="73">
        <f t="shared" si="27"/>
        <v>166666.66666666666</v>
      </c>
      <c r="I350" s="21" t="str">
        <f>'Data Analysis'!BM348 &amp; " | " &amp; 'Data Analysis'!BN348</f>
        <v>Big Win | Free Plays A</v>
      </c>
      <c r="J350" s="36">
        <f t="shared" si="28"/>
        <v>6</v>
      </c>
      <c r="K350" s="66">
        <f t="shared" si="29"/>
        <v>2.9349397590361457E-4</v>
      </c>
    </row>
    <row r="351" spans="2:11">
      <c r="B351" s="16">
        <f>Tiers!B350</f>
        <v>347</v>
      </c>
      <c r="C351" s="125" t="str">
        <f>Tiers!Y350</f>
        <v>main-0|main-0|main-1|main-10|main-20|freeplayA-5|||| x 20</v>
      </c>
      <c r="D351" s="73">
        <f>Tiers!C350</f>
        <v>83.3</v>
      </c>
      <c r="E351" s="36">
        <v>5</v>
      </c>
      <c r="F351" s="36">
        <f t="shared" si="25"/>
        <v>2000000</v>
      </c>
      <c r="G351" s="73">
        <f t="shared" si="26"/>
        <v>416.5</v>
      </c>
      <c r="H351" s="73">
        <f t="shared" si="27"/>
        <v>400000</v>
      </c>
      <c r="I351" s="21" t="str">
        <f>'Data Analysis'!BM349 &amp; " | " &amp; 'Data Analysis'!BN349</f>
        <v>Huge Win | Free Plays A</v>
      </c>
      <c r="J351" s="36">
        <f t="shared" si="28"/>
        <v>6</v>
      </c>
      <c r="K351" s="66">
        <f t="shared" si="29"/>
        <v>2.5090361445783137E-4</v>
      </c>
    </row>
    <row r="352" spans="2:11">
      <c r="B352" s="16">
        <f>Tiers!B351</f>
        <v>348</v>
      </c>
      <c r="C352" s="121" t="str">
        <f>Tiers!Y351</f>
        <v>bonusA-0||||||||| x 1</v>
      </c>
      <c r="D352" s="73">
        <f>Tiers!C351</f>
        <v>10</v>
      </c>
      <c r="E352" s="36">
        <v>2500</v>
      </c>
      <c r="F352" s="36">
        <f t="shared" si="25"/>
        <v>2000000</v>
      </c>
      <c r="G352" s="73">
        <f t="shared" si="26"/>
        <v>25000</v>
      </c>
      <c r="H352" s="73">
        <f t="shared" si="27"/>
        <v>800</v>
      </c>
      <c r="I352" s="21" t="str">
        <f>'Data Analysis'!BM350 &amp; " | " &amp; 'Data Analysis'!BN350</f>
        <v>Big Win | Bonus Game A</v>
      </c>
      <c r="J352" s="36">
        <f t="shared" si="28"/>
        <v>16</v>
      </c>
      <c r="K352" s="66">
        <f t="shared" si="29"/>
        <v>1.5060240963855425E-2</v>
      </c>
    </row>
    <row r="353" spans="2:11">
      <c r="B353" s="16">
        <f>Tiers!B352</f>
        <v>349</v>
      </c>
      <c r="C353" s="121" t="str">
        <f>Tiers!Y352</f>
        <v>bonusA-1||||||||| x 1</v>
      </c>
      <c r="D353" s="73">
        <f>Tiers!C352</f>
        <v>15</v>
      </c>
      <c r="E353" s="36">
        <v>2800</v>
      </c>
      <c r="F353" s="36">
        <f t="shared" si="25"/>
        <v>2000000</v>
      </c>
      <c r="G353" s="73">
        <f t="shared" si="26"/>
        <v>42000</v>
      </c>
      <c r="H353" s="73">
        <f t="shared" si="27"/>
        <v>714.28571428571433</v>
      </c>
      <c r="I353" s="21" t="str">
        <f>'Data Analysis'!BM351 &amp; " | " &amp; 'Data Analysis'!BN351</f>
        <v>Big Win | Bonus Game A</v>
      </c>
      <c r="J353" s="36">
        <f t="shared" si="28"/>
        <v>17</v>
      </c>
      <c r="K353" s="66">
        <f t="shared" si="29"/>
        <v>2.5301204819277116E-2</v>
      </c>
    </row>
    <row r="354" spans="2:11">
      <c r="B354" s="16">
        <f>Tiers!B353</f>
        <v>350</v>
      </c>
      <c r="C354" s="121" t="str">
        <f>Tiers!Y353</f>
        <v>bonusA-2||||||||| x 1</v>
      </c>
      <c r="D354" s="73">
        <f>Tiers!C353</f>
        <v>20</v>
      </c>
      <c r="E354" s="36">
        <v>3000</v>
      </c>
      <c r="F354" s="36">
        <f t="shared" si="25"/>
        <v>2000000</v>
      </c>
      <c r="G354" s="73">
        <f t="shared" si="26"/>
        <v>60000</v>
      </c>
      <c r="H354" s="73">
        <f t="shared" si="27"/>
        <v>666.66666666666663</v>
      </c>
      <c r="I354" s="21" t="str">
        <f>'Data Analysis'!BM352 &amp; " | " &amp; 'Data Analysis'!BN352</f>
        <v>Big Win | Bonus Game A</v>
      </c>
      <c r="J354" s="36">
        <f t="shared" si="28"/>
        <v>18</v>
      </c>
      <c r="K354" s="66">
        <f t="shared" si="29"/>
        <v>3.6144578313253024E-2</v>
      </c>
    </row>
    <row r="355" spans="2:11">
      <c r="B355" s="16">
        <f>Tiers!B354</f>
        <v>351</v>
      </c>
      <c r="C355" s="121" t="str">
        <f>Tiers!Y354</f>
        <v>bonusA-3||||||||| x 1</v>
      </c>
      <c r="D355" s="73">
        <f>Tiers!C354</f>
        <v>25</v>
      </c>
      <c r="E355" s="36">
        <v>1500</v>
      </c>
      <c r="F355" s="36">
        <f t="shared" si="25"/>
        <v>2000000</v>
      </c>
      <c r="G355" s="73">
        <f t="shared" si="26"/>
        <v>37500</v>
      </c>
      <c r="H355" s="73">
        <f t="shared" si="27"/>
        <v>1333.3333333333333</v>
      </c>
      <c r="I355" s="21" t="str">
        <f>'Data Analysis'!BM353 &amp; " | " &amp; 'Data Analysis'!BN353</f>
        <v>Big Win | Bonus Game A</v>
      </c>
      <c r="J355" s="36">
        <f t="shared" si="28"/>
        <v>12</v>
      </c>
      <c r="K355" s="66">
        <f t="shared" si="29"/>
        <v>2.2590361445783139E-2</v>
      </c>
    </row>
    <row r="356" spans="2:11">
      <c r="B356" s="16">
        <f>Tiers!B355</f>
        <v>352</v>
      </c>
      <c r="C356" s="121" t="str">
        <f>Tiers!Y355</f>
        <v>bonusA-4||||||||| x 1</v>
      </c>
      <c r="D356" s="73">
        <f>Tiers!C355</f>
        <v>30</v>
      </c>
      <c r="E356" s="36">
        <v>800</v>
      </c>
      <c r="F356" s="36">
        <f t="shared" si="25"/>
        <v>2000000</v>
      </c>
      <c r="G356" s="73">
        <f t="shared" si="26"/>
        <v>24000</v>
      </c>
      <c r="H356" s="73">
        <f t="shared" si="27"/>
        <v>2500</v>
      </c>
      <c r="I356" s="21" t="str">
        <f>'Data Analysis'!BM354 &amp; " | " &amp; 'Data Analysis'!BN354</f>
        <v>Big Win | Bonus Game A</v>
      </c>
      <c r="J356" s="36">
        <f t="shared" si="28"/>
        <v>9</v>
      </c>
      <c r="K356" s="66">
        <f t="shared" si="29"/>
        <v>1.4457831325301209E-2</v>
      </c>
    </row>
    <row r="357" spans="2:11">
      <c r="B357" s="16">
        <f>Tiers!B356</f>
        <v>353</v>
      </c>
      <c r="C357" s="121" t="str">
        <f>Tiers!Y356</f>
        <v>bonusA-5||||||||| x 1</v>
      </c>
      <c r="D357" s="73">
        <f>Tiers!C356</f>
        <v>50</v>
      </c>
      <c r="E357" s="36">
        <v>600</v>
      </c>
      <c r="F357" s="36">
        <f t="shared" si="25"/>
        <v>2000000</v>
      </c>
      <c r="G357" s="73">
        <f t="shared" si="26"/>
        <v>30000</v>
      </c>
      <c r="H357" s="73">
        <f t="shared" si="27"/>
        <v>3333.3333333333335</v>
      </c>
      <c r="I357" s="21" t="str">
        <f>'Data Analysis'!BM355 &amp; " | " &amp; 'Data Analysis'!BN355</f>
        <v>Huge Win | Bonus Game A</v>
      </c>
      <c r="J357" s="36">
        <f t="shared" si="28"/>
        <v>8</v>
      </c>
      <c r="K357" s="66">
        <f t="shared" si="29"/>
        <v>1.8072289156626512E-2</v>
      </c>
    </row>
    <row r="358" spans="2:11" s="7" customFormat="1" ht="13.8" customHeight="1" thickBot="1">
      <c r="B358" s="34">
        <f>Tiers!B357</f>
        <v>354</v>
      </c>
      <c r="C358" s="122" t="str">
        <f>Tiers!Y357</f>
        <v>bonusA-6||||||||| x 1</v>
      </c>
      <c r="D358" s="96">
        <f>Tiers!C357</f>
        <v>100</v>
      </c>
      <c r="E358" s="70">
        <v>100</v>
      </c>
      <c r="F358" s="70">
        <f t="shared" si="25"/>
        <v>2000000</v>
      </c>
      <c r="G358" s="96">
        <f t="shared" si="26"/>
        <v>10000</v>
      </c>
      <c r="H358" s="96">
        <f t="shared" si="27"/>
        <v>20000</v>
      </c>
      <c r="I358" s="71" t="str">
        <f>'Data Analysis'!BM356 &amp; " | " &amp; 'Data Analysis'!BN356</f>
        <v>Huge Win | Bonus Game A</v>
      </c>
      <c r="J358" s="70">
        <f t="shared" si="28"/>
        <v>6</v>
      </c>
      <c r="K358" s="72">
        <f t="shared" si="29"/>
        <v>6.0240963855421707E-3</v>
      </c>
    </row>
    <row r="359" spans="2:11">
      <c r="B359" s="16"/>
      <c r="C359" s="17"/>
      <c r="D359" s="73"/>
      <c r="E359" s="36">
        <f>SUM(E4:E358)</f>
        <v>2000000</v>
      </c>
      <c r="F359" s="36"/>
      <c r="G359" s="73">
        <f>SUM(G4:G358)</f>
        <v>1659999.9999999995</v>
      </c>
      <c r="H359" s="68"/>
      <c r="I359" s="21"/>
      <c r="J359" s="36"/>
      <c r="K359" s="120">
        <f>SUM(K4:K358)</f>
        <v>1.0000000000000011</v>
      </c>
    </row>
  </sheetData>
  <mergeCells count="1">
    <mergeCell ref="M25:P29"/>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X32"/>
  <sheetViews>
    <sheetView workbookViewId="0">
      <selection activeCell="E26" sqref="E26"/>
    </sheetView>
  </sheetViews>
  <sheetFormatPr defaultRowHeight="13.2"/>
  <cols>
    <col min="2" max="3" width="25.33203125" customWidth="1"/>
    <col min="5" max="5" width="14.44140625" customWidth="1"/>
    <col min="6" max="6" width="17.77734375" customWidth="1"/>
    <col min="7" max="8" width="15.5546875" customWidth="1"/>
    <col min="9" max="11" width="18.44140625" customWidth="1"/>
    <col min="15" max="26" width="11.77734375" customWidth="1"/>
  </cols>
  <sheetData>
    <row r="2" spans="2:24">
      <c r="B2" s="4" t="s">
        <v>33</v>
      </c>
      <c r="C2" s="133">
        <v>50000000</v>
      </c>
      <c r="D2" s="134"/>
      <c r="E2" t="s">
        <v>34</v>
      </c>
      <c r="I2" s="135"/>
      <c r="J2" s="135"/>
      <c r="K2" s="136"/>
    </row>
    <row r="3" spans="2:24">
      <c r="B3" s="4" t="s">
        <v>35</v>
      </c>
      <c r="C3" s="137">
        <v>1</v>
      </c>
      <c r="D3" s="138"/>
      <c r="E3" s="139" t="s">
        <v>36</v>
      </c>
      <c r="F3" s="140" t="s">
        <v>37</v>
      </c>
      <c r="G3" s="141" t="s">
        <v>38</v>
      </c>
      <c r="I3" s="135"/>
      <c r="J3" s="135"/>
      <c r="K3" s="136"/>
    </row>
    <row r="4" spans="2:24">
      <c r="B4" s="4" t="s">
        <v>39</v>
      </c>
      <c r="C4" s="142">
        <f>C2*C3</f>
        <v>50000000</v>
      </c>
      <c r="D4" s="134"/>
      <c r="E4" t="s">
        <v>40</v>
      </c>
      <c r="F4" s="139">
        <v>2500</v>
      </c>
      <c r="G4" s="139">
        <v>150000</v>
      </c>
      <c r="I4" s="135"/>
      <c r="J4" s="135"/>
      <c r="K4" s="136"/>
    </row>
    <row r="5" spans="2:24">
      <c r="B5" s="4" t="s">
        <v>41</v>
      </c>
      <c r="C5" s="143">
        <f>C3*C6</f>
        <v>0.04</v>
      </c>
      <c r="D5" s="68"/>
      <c r="E5" t="s">
        <v>42</v>
      </c>
      <c r="F5" s="144">
        <f>K18*100</f>
        <v>0.2</v>
      </c>
      <c r="G5" s="144">
        <f>K19*100</f>
        <v>3.3000000000000003</v>
      </c>
      <c r="I5" s="135"/>
      <c r="J5" s="135"/>
      <c r="K5" s="136"/>
    </row>
    <row r="6" spans="2:24">
      <c r="B6" s="4" t="s">
        <v>43</v>
      </c>
      <c r="C6" s="145">
        <f>X13</f>
        <v>0.04</v>
      </c>
      <c r="D6" s="120"/>
      <c r="E6" s="146"/>
      <c r="H6" s="141"/>
      <c r="I6" s="135"/>
      <c r="J6" s="135"/>
      <c r="K6" s="136"/>
    </row>
    <row r="7" spans="2:24">
      <c r="B7" s="4" t="s">
        <v>44</v>
      </c>
      <c r="C7" s="133">
        <v>40000</v>
      </c>
      <c r="D7" s="134"/>
      <c r="E7" s="146"/>
      <c r="I7" s="135"/>
      <c r="J7" s="135"/>
      <c r="K7" s="136"/>
    </row>
    <row r="8" spans="2:24" ht="13.8" customHeight="1" thickBot="1">
      <c r="B8" s="147"/>
      <c r="C8" s="16"/>
      <c r="D8" s="16"/>
      <c r="E8" s="146"/>
      <c r="F8" s="139"/>
      <c r="G8" s="140"/>
      <c r="H8" s="141"/>
      <c r="I8" s="135"/>
      <c r="J8" s="135"/>
      <c r="K8" s="136"/>
      <c r="M8" s="135" t="s">
        <v>45</v>
      </c>
    </row>
    <row r="9" spans="2:24" ht="13.8" customHeight="1" thickBot="1">
      <c r="B9" s="12" t="s">
        <v>46</v>
      </c>
      <c r="C9" s="16"/>
      <c r="D9" s="16"/>
      <c r="E9" s="146"/>
      <c r="F9" s="139"/>
      <c r="G9" s="140"/>
      <c r="H9" s="141"/>
      <c r="I9" s="135"/>
      <c r="J9" s="135"/>
      <c r="K9" s="148">
        <f>C6-C21</f>
        <v>4.9999999999999975E-3</v>
      </c>
      <c r="M9" s="149" t="s">
        <v>47</v>
      </c>
      <c r="N9" s="150" t="s">
        <v>46</v>
      </c>
      <c r="O9" s="150" t="s">
        <v>48</v>
      </c>
      <c r="P9" s="150" t="s">
        <v>49</v>
      </c>
      <c r="Q9" s="151" t="s">
        <v>50</v>
      </c>
      <c r="R9" s="152" t="s">
        <v>51</v>
      </c>
      <c r="S9" s="150" t="s">
        <v>52</v>
      </c>
      <c r="T9" s="152" t="s">
        <v>53</v>
      </c>
      <c r="U9" s="150" t="s">
        <v>54</v>
      </c>
      <c r="V9" s="150" t="s">
        <v>55</v>
      </c>
      <c r="W9" s="150" t="s">
        <v>56</v>
      </c>
      <c r="X9" s="153" t="s">
        <v>57</v>
      </c>
    </row>
    <row r="10" spans="2:24">
      <c r="B10" s="154" t="s">
        <v>58</v>
      </c>
      <c r="C10" s="4" t="s">
        <v>59</v>
      </c>
      <c r="D10" s="4" t="s">
        <v>60</v>
      </c>
      <c r="E10" s="155" t="s">
        <v>61</v>
      </c>
      <c r="F10" s="156" t="s">
        <v>62</v>
      </c>
      <c r="G10" s="157" t="s">
        <v>50</v>
      </c>
      <c r="H10" s="158" t="s">
        <v>63</v>
      </c>
      <c r="I10" s="158" t="s">
        <v>53</v>
      </c>
      <c r="J10" s="158" t="s">
        <v>64</v>
      </c>
      <c r="K10" s="158" t="s">
        <v>41</v>
      </c>
      <c r="M10" s="159">
        <v>40</v>
      </c>
      <c r="N10" s="160">
        <v>2500</v>
      </c>
      <c r="O10" s="160">
        <v>5000</v>
      </c>
      <c r="P10" s="161">
        <v>4</v>
      </c>
      <c r="Q10" s="162">
        <f>C2</f>
        <v>50000000</v>
      </c>
      <c r="R10" s="162">
        <f>Q10/F11</f>
        <v>1250000</v>
      </c>
      <c r="S10" s="162">
        <f>R10/C7</f>
        <v>31.25</v>
      </c>
      <c r="T10" s="162">
        <f>M10*E11</f>
        <v>100000</v>
      </c>
      <c r="U10" s="162">
        <f>O10-N10</f>
        <v>2500</v>
      </c>
      <c r="V10" s="162">
        <f>U10*M10</f>
        <v>100000</v>
      </c>
      <c r="W10" s="163">
        <f>V10/V12</f>
        <v>5.7142857142857141E-2</v>
      </c>
      <c r="X10" s="164">
        <f>O10*M10</f>
        <v>200000</v>
      </c>
    </row>
    <row r="11" spans="2:24" ht="13.8" customHeight="1" thickBot="1">
      <c r="B11" s="5">
        <v>1</v>
      </c>
      <c r="C11" s="165" t="s">
        <v>37</v>
      </c>
      <c r="D11" s="165" t="s">
        <v>65</v>
      </c>
      <c r="E11" s="166">
        <f>N10</f>
        <v>2500</v>
      </c>
      <c r="F11" s="167">
        <f>C3*M10</f>
        <v>40</v>
      </c>
      <c r="G11" s="166">
        <f>C2</f>
        <v>50000000</v>
      </c>
      <c r="H11" s="166">
        <f>G11/F11</f>
        <v>1250000</v>
      </c>
      <c r="I11" s="166">
        <f>E11*F11</f>
        <v>100000</v>
      </c>
      <c r="J11" s="168">
        <f>I11/I14</f>
        <v>0.4</v>
      </c>
      <c r="K11" s="169">
        <f>T13*J11*C3</f>
        <v>2E-3</v>
      </c>
      <c r="M11" s="170">
        <v>1</v>
      </c>
      <c r="N11" s="171">
        <v>150000</v>
      </c>
      <c r="O11" s="171">
        <v>1800000</v>
      </c>
      <c r="P11" s="172">
        <v>4</v>
      </c>
      <c r="Q11" s="173">
        <f>C2</f>
        <v>50000000</v>
      </c>
      <c r="R11" s="173">
        <f>Q11/F12</f>
        <v>50000000</v>
      </c>
      <c r="S11" s="173">
        <f>R11/C7</f>
        <v>1250</v>
      </c>
      <c r="T11" s="173">
        <f>E12*M11</f>
        <v>150000</v>
      </c>
      <c r="U11" s="173">
        <f>O11-N11</f>
        <v>1650000</v>
      </c>
      <c r="V11" s="173">
        <f>U11*M11</f>
        <v>1650000</v>
      </c>
      <c r="W11" s="174">
        <f>V11/V12</f>
        <v>0.94285714285714284</v>
      </c>
      <c r="X11" s="175">
        <f>O11*M11</f>
        <v>1800000</v>
      </c>
    </row>
    <row r="12" spans="2:24">
      <c r="B12" s="5">
        <v>2</v>
      </c>
      <c r="C12" s="165" t="s">
        <v>38</v>
      </c>
      <c r="D12" s="165" t="s">
        <v>65</v>
      </c>
      <c r="E12" s="166">
        <f>N11</f>
        <v>150000</v>
      </c>
      <c r="F12" s="167">
        <f>C3*M11</f>
        <v>1</v>
      </c>
      <c r="G12" s="166">
        <f>C2</f>
        <v>50000000</v>
      </c>
      <c r="H12" s="166">
        <f>G12/F12</f>
        <v>50000000</v>
      </c>
      <c r="I12" s="166">
        <f>E12*F12</f>
        <v>150000</v>
      </c>
      <c r="J12" s="168">
        <f>I12/I14</f>
        <v>0.6</v>
      </c>
      <c r="K12" s="169">
        <f>T13*J12*C3</f>
        <v>3.0000000000000001E-3</v>
      </c>
      <c r="M12" s="176">
        <f>SUM(M10:M11)</f>
        <v>41</v>
      </c>
      <c r="N12" s="177"/>
      <c r="O12" s="177"/>
      <c r="P12" s="1"/>
      <c r="Q12" s="178"/>
      <c r="R12" s="179">
        <f>SUM(R10:R11)</f>
        <v>51250000</v>
      </c>
      <c r="S12" s="177"/>
      <c r="T12" s="179">
        <f>SUM(T10:T11)</f>
        <v>250000</v>
      </c>
      <c r="U12" s="162">
        <f>SUM(U10:U11)</f>
        <v>1652500</v>
      </c>
      <c r="V12" s="179">
        <f>SUM(V10:V11)</f>
        <v>1750000</v>
      </c>
      <c r="W12" s="1"/>
      <c r="X12" s="162">
        <f>SUM(X10:X11)</f>
        <v>2000000</v>
      </c>
    </row>
    <row r="13" spans="2:24">
      <c r="B13" s="5"/>
      <c r="C13" s="155"/>
      <c r="D13" s="155"/>
      <c r="E13" s="180"/>
      <c r="G13" s="181"/>
      <c r="H13" s="80"/>
      <c r="I13" s="182"/>
      <c r="J13" s="183"/>
      <c r="K13" s="80"/>
      <c r="M13" s="184"/>
      <c r="N13" s="185"/>
      <c r="O13" s="177"/>
      <c r="P13" s="177"/>
      <c r="Q13" s="1"/>
      <c r="R13" s="1"/>
      <c r="S13" s="177"/>
      <c r="T13" s="186">
        <f>T12/C2</f>
        <v>5.0000000000000001E-3</v>
      </c>
      <c r="U13" s="177"/>
      <c r="V13" s="186">
        <f>V12/C2</f>
        <v>3.5000000000000003E-2</v>
      </c>
      <c r="W13" s="177"/>
      <c r="X13" s="187">
        <f>X12/C2</f>
        <v>0.04</v>
      </c>
    </row>
    <row r="14" spans="2:24">
      <c r="B14" s="4" t="s">
        <v>66</v>
      </c>
      <c r="C14" s="148">
        <f>I14/C4</f>
        <v>5.0000000000000001E-3</v>
      </c>
      <c r="D14" s="148"/>
      <c r="E14" s="180"/>
      <c r="F14" s="188">
        <f>SUM(F11:F12)</f>
        <v>41</v>
      </c>
      <c r="G14" s="157"/>
      <c r="H14" s="189">
        <f>C2/F14</f>
        <v>1219512.1951219512</v>
      </c>
      <c r="I14" s="188">
        <f>SUM(I11:I12)</f>
        <v>250000</v>
      </c>
      <c r="J14" s="158">
        <f>SUM(J11:J12)</f>
        <v>1</v>
      </c>
      <c r="K14" s="190">
        <f>SUM(K11:K12)</f>
        <v>5.0000000000000001E-3</v>
      </c>
    </row>
    <row r="15" spans="2:24">
      <c r="B15" s="147"/>
      <c r="C15" s="16"/>
      <c r="D15" s="16"/>
      <c r="E15" s="146"/>
      <c r="F15" s="139"/>
      <c r="G15" s="140"/>
      <c r="H15" s="141"/>
      <c r="I15" s="135"/>
      <c r="J15" s="135"/>
      <c r="K15" s="136"/>
      <c r="M15" s="147"/>
      <c r="N15" s="73"/>
    </row>
    <row r="16" spans="2:24">
      <c r="B16" s="12" t="s">
        <v>67</v>
      </c>
      <c r="C16" s="16"/>
      <c r="D16" s="16"/>
      <c r="E16" s="146"/>
      <c r="F16" s="139"/>
      <c r="G16" s="140"/>
      <c r="H16" s="141"/>
      <c r="I16" s="135"/>
      <c r="J16" s="135"/>
      <c r="K16" s="148">
        <f>C6-C14</f>
        <v>3.5000000000000003E-2</v>
      </c>
      <c r="M16" s="147"/>
      <c r="N16" s="73"/>
      <c r="O16" s="146"/>
      <c r="P16" s="15"/>
      <c r="Q16" s="139"/>
      <c r="R16" s="140"/>
      <c r="T16" s="15"/>
      <c r="V16" s="15"/>
    </row>
    <row r="17" spans="2:21">
      <c r="B17" s="154" t="s">
        <v>58</v>
      </c>
      <c r="C17" s="4" t="s">
        <v>59</v>
      </c>
      <c r="D17" s="4" t="s">
        <v>60</v>
      </c>
      <c r="E17" s="155" t="s">
        <v>68</v>
      </c>
      <c r="F17" s="156" t="s">
        <v>62</v>
      </c>
      <c r="G17" s="157" t="s">
        <v>50</v>
      </c>
      <c r="H17" s="158" t="s">
        <v>63</v>
      </c>
      <c r="I17" s="158" t="s">
        <v>53</v>
      </c>
      <c r="J17" s="158" t="s">
        <v>64</v>
      </c>
      <c r="K17" s="158" t="s">
        <v>41</v>
      </c>
      <c r="M17" s="147"/>
      <c r="N17" s="120"/>
      <c r="O17" s="146"/>
      <c r="P17" s="139"/>
      <c r="Q17" s="140"/>
      <c r="R17" s="136"/>
      <c r="S17" s="135"/>
      <c r="T17" s="135"/>
      <c r="U17" s="136"/>
    </row>
    <row r="18" spans="2:21">
      <c r="B18" s="5">
        <v>1</v>
      </c>
      <c r="C18" s="165" t="s">
        <v>37</v>
      </c>
      <c r="D18" s="165" t="s">
        <v>65</v>
      </c>
      <c r="E18" s="166">
        <f>K18*H18</f>
        <v>2500</v>
      </c>
      <c r="F18" s="167">
        <f>C3*M10</f>
        <v>40</v>
      </c>
      <c r="G18" s="166">
        <f>C2</f>
        <v>50000000</v>
      </c>
      <c r="H18" s="166">
        <f>G18/F18</f>
        <v>1250000</v>
      </c>
      <c r="I18" s="166">
        <f>E18*F18</f>
        <v>100000</v>
      </c>
      <c r="J18" s="168">
        <f>W10</f>
        <v>5.7142857142857141E-2</v>
      </c>
      <c r="K18" s="169">
        <f>V13*J18*C3</f>
        <v>2E-3</v>
      </c>
      <c r="M18" s="147"/>
      <c r="N18" s="120"/>
      <c r="O18" s="146"/>
      <c r="P18" s="139"/>
      <c r="Q18" s="140"/>
      <c r="R18" s="136"/>
      <c r="S18" s="135"/>
      <c r="T18" s="135"/>
      <c r="U18" s="136"/>
    </row>
    <row r="19" spans="2:21">
      <c r="B19" s="5">
        <v>2</v>
      </c>
      <c r="C19" s="165" t="s">
        <v>38</v>
      </c>
      <c r="D19" s="165" t="s">
        <v>65</v>
      </c>
      <c r="E19" s="166">
        <f>K19*H19</f>
        <v>1650000</v>
      </c>
      <c r="F19" s="167">
        <f>C3*M11</f>
        <v>1</v>
      </c>
      <c r="G19" s="166">
        <f>C2</f>
        <v>50000000</v>
      </c>
      <c r="H19" s="166">
        <f>G19/F19</f>
        <v>50000000</v>
      </c>
      <c r="I19" s="166">
        <f>E19*F19</f>
        <v>1650000</v>
      </c>
      <c r="J19" s="168">
        <f>W11</f>
        <v>0.94285714285714284</v>
      </c>
      <c r="K19" s="169">
        <f>V13*J19*C3</f>
        <v>3.3000000000000002E-2</v>
      </c>
      <c r="M19" s="147"/>
      <c r="N19" s="191"/>
    </row>
    <row r="20" spans="2:21">
      <c r="B20" s="5"/>
      <c r="C20" s="155"/>
      <c r="D20" s="155"/>
      <c r="E20" s="180"/>
      <c r="F20" s="156"/>
      <c r="G20" s="157"/>
      <c r="H20" s="192"/>
      <c r="I20" s="80"/>
      <c r="J20" s="183"/>
      <c r="K20" s="80"/>
      <c r="M20" s="147"/>
      <c r="N20" s="120"/>
    </row>
    <row r="21" spans="2:21">
      <c r="B21" s="4" t="s">
        <v>66</v>
      </c>
      <c r="C21" s="148">
        <f>I21/C4</f>
        <v>3.5000000000000003E-2</v>
      </c>
      <c r="D21" s="148"/>
      <c r="E21" s="180"/>
      <c r="F21" s="156"/>
      <c r="G21" s="157"/>
      <c r="H21" s="192"/>
      <c r="I21" s="188">
        <f>SUM(I18:I19)</f>
        <v>1750000</v>
      </c>
      <c r="J21" s="158">
        <f>SUM(J18:J19)</f>
        <v>1</v>
      </c>
      <c r="K21" s="190">
        <f>SUM(K18:K19)</f>
        <v>3.5000000000000003E-2</v>
      </c>
    </row>
    <row r="22" spans="2:21">
      <c r="B22" s="16"/>
      <c r="C22" s="17"/>
      <c r="D22" s="17"/>
      <c r="E22" s="18"/>
      <c r="F22" s="36"/>
      <c r="G22" s="36"/>
      <c r="H22" s="36"/>
      <c r="I22" s="21"/>
      <c r="J22" s="36"/>
      <c r="K22" s="66"/>
    </row>
    <row r="23" spans="2:21">
      <c r="B23" s="16"/>
      <c r="C23" s="17"/>
      <c r="D23" s="17"/>
      <c r="E23" s="18"/>
      <c r="F23" s="36"/>
      <c r="G23" s="36"/>
      <c r="H23" s="36"/>
      <c r="I23" s="21"/>
      <c r="J23" s="36"/>
      <c r="K23" s="66"/>
    </row>
    <row r="24" spans="2:21">
      <c r="B24" s="12" t="s">
        <v>69</v>
      </c>
      <c r="C24" s="16"/>
      <c r="D24" s="16"/>
      <c r="E24" s="18"/>
      <c r="F24" s="36"/>
      <c r="G24" s="36"/>
      <c r="H24" s="36"/>
      <c r="I24" s="21"/>
      <c r="J24" s="36"/>
      <c r="K24" s="66"/>
    </row>
    <row r="25" spans="2:21">
      <c r="B25" s="193" t="s">
        <v>70</v>
      </c>
      <c r="C25" s="194">
        <f>C2/F14</f>
        <v>1219512.1951219512</v>
      </c>
      <c r="D25" s="139"/>
      <c r="E25" s="18"/>
      <c r="F25" s="36"/>
      <c r="G25" s="36"/>
      <c r="H25" s="36"/>
      <c r="I25" s="21"/>
      <c r="J25" s="36"/>
      <c r="K25" s="66"/>
    </row>
    <row r="26" spans="2:21">
      <c r="B26" s="193" t="s">
        <v>71</v>
      </c>
      <c r="C26" s="194">
        <f>1/((1/C25) + (1/Frequency!N15))</f>
        <v>3.7480582247352205</v>
      </c>
      <c r="D26" s="139"/>
      <c r="E26" s="18"/>
      <c r="F26" s="36"/>
      <c r="G26" s="36"/>
      <c r="H26" s="36"/>
      <c r="I26" s="21"/>
      <c r="J26" s="36"/>
      <c r="K26" s="66"/>
    </row>
    <row r="27" spans="2:21">
      <c r="B27" s="193" t="s">
        <v>72</v>
      </c>
      <c r="C27" s="194">
        <f>Frequency!N6-(F14/(G12/Frequency!N6)+Frequency!N14)</f>
        <v>1466390.3599999999</v>
      </c>
      <c r="D27" s="139"/>
      <c r="E27" s="18"/>
      <c r="F27" s="36"/>
      <c r="G27" s="36"/>
      <c r="H27" s="36"/>
      <c r="I27" s="21"/>
      <c r="J27" s="36"/>
      <c r="K27" s="66"/>
    </row>
    <row r="28" spans="2:21">
      <c r="B28" s="193" t="s">
        <v>73</v>
      </c>
      <c r="C28" s="194">
        <f>Frequency!N6</f>
        <v>2000000</v>
      </c>
      <c r="D28" s="139"/>
      <c r="E28" s="18"/>
      <c r="F28" s="36"/>
      <c r="G28" s="36"/>
      <c r="H28" s="36"/>
      <c r="I28" s="21"/>
      <c r="J28" s="36"/>
      <c r="K28" s="66"/>
    </row>
    <row r="29" spans="2:21">
      <c r="B29" s="193" t="s">
        <v>74</v>
      </c>
      <c r="C29" s="195">
        <f>Frequency!N11</f>
        <v>0.82999999999999974</v>
      </c>
      <c r="D29" s="196"/>
      <c r="E29" s="18"/>
      <c r="F29" s="36"/>
      <c r="G29" s="36"/>
      <c r="H29" s="36"/>
      <c r="I29" s="21"/>
      <c r="J29" s="36"/>
      <c r="K29" s="66"/>
    </row>
    <row r="30" spans="2:21">
      <c r="B30" s="193" t="s">
        <v>75</v>
      </c>
      <c r="C30" s="195">
        <f>C14</f>
        <v>5.0000000000000001E-3</v>
      </c>
      <c r="D30" s="196"/>
      <c r="E30" s="18"/>
      <c r="F30" s="36"/>
      <c r="G30" s="36"/>
      <c r="H30" s="36"/>
      <c r="I30" s="21"/>
      <c r="J30" s="36"/>
      <c r="K30" s="66"/>
    </row>
    <row r="31" spans="2:21">
      <c r="B31" s="193" t="s">
        <v>76</v>
      </c>
      <c r="C31" s="195">
        <f>C21</f>
        <v>3.5000000000000003E-2</v>
      </c>
      <c r="D31" s="196"/>
      <c r="E31" s="18"/>
      <c r="F31" s="36"/>
      <c r="G31" s="36"/>
      <c r="H31" s="36"/>
      <c r="I31" s="21"/>
      <c r="J31" s="36"/>
      <c r="K31" s="66"/>
    </row>
    <row r="32" spans="2:21">
      <c r="B32" s="193" t="s">
        <v>77</v>
      </c>
      <c r="C32" s="195">
        <f>C29+C30+C31</f>
        <v>0.86999999999999977</v>
      </c>
      <c r="D32" s="196"/>
      <c r="E32" s="18"/>
      <c r="F32" s="36"/>
      <c r="G32" s="36"/>
      <c r="H32" s="36"/>
      <c r="I32" s="21"/>
      <c r="J32" s="36"/>
      <c r="K32" s="6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B2:X391"/>
  <sheetViews>
    <sheetView workbookViewId="0">
      <selection activeCell="F8" sqref="F8"/>
    </sheetView>
  </sheetViews>
  <sheetFormatPr defaultRowHeight="13.2"/>
  <cols>
    <col min="2" max="2" width="16" customWidth="1"/>
    <col min="3" max="3" width="50.6640625" customWidth="1"/>
    <col min="4" max="4" width="13.88671875" customWidth="1"/>
    <col min="5" max="5" width="12.21875" customWidth="1"/>
    <col min="6" max="6" width="19.5546875" customWidth="1"/>
    <col min="7" max="7" width="14.109375" customWidth="1"/>
    <col min="8" max="8" width="14.88671875" customWidth="1"/>
    <col min="9" max="9" width="12.33203125" customWidth="1"/>
    <col min="10" max="10" width="13.33203125" customWidth="1"/>
    <col min="11" max="11" width="16.6640625" customWidth="1"/>
    <col min="12" max="12" width="35.33203125" customWidth="1"/>
    <col min="13" max="13" width="16.33203125" customWidth="1"/>
    <col min="15" max="15" width="10.77734375" customWidth="1"/>
    <col min="17" max="17" width="10.109375" customWidth="1"/>
    <col min="18" max="18" width="12.5546875" customWidth="1"/>
    <col min="21" max="21" width="11.88671875" customWidth="1"/>
    <col min="22" max="22" width="12" customWidth="1"/>
    <col min="24" max="24" width="11.6640625" customWidth="1"/>
  </cols>
  <sheetData>
    <row r="2" spans="2:15" ht="16.2" customHeight="1">
      <c r="B2" s="291" t="s">
        <v>78</v>
      </c>
      <c r="C2" s="290" t="s">
        <v>79</v>
      </c>
      <c r="D2" s="290" t="s">
        <v>80</v>
      </c>
      <c r="E2" s="290" t="s">
        <v>81</v>
      </c>
      <c r="F2" s="294" t="s">
        <v>82</v>
      </c>
      <c r="G2" s="296" t="s">
        <v>83</v>
      </c>
      <c r="H2" s="288" t="s">
        <v>84</v>
      </c>
      <c r="I2" s="290" t="s">
        <v>85</v>
      </c>
      <c r="J2" s="295" t="s">
        <v>86</v>
      </c>
      <c r="L2" s="91" t="s">
        <v>4</v>
      </c>
      <c r="M2" s="91"/>
      <c r="N2" s="91"/>
      <c r="O2" s="91"/>
    </row>
    <row r="3" spans="2:15" ht="16.8" customHeight="1" thickBot="1">
      <c r="B3" s="289"/>
      <c r="C3" s="289"/>
      <c r="D3" s="289"/>
      <c r="E3" s="289"/>
      <c r="F3" s="289"/>
      <c r="G3" s="289"/>
      <c r="H3" s="289"/>
      <c r="I3" s="289"/>
      <c r="J3" s="289"/>
      <c r="L3" s="91" t="s">
        <v>14</v>
      </c>
      <c r="M3" s="91"/>
      <c r="N3" s="91"/>
      <c r="O3" s="91"/>
    </row>
    <row r="4" spans="2:15" ht="16.2" customHeight="1">
      <c r="B4" s="16">
        <v>1</v>
      </c>
      <c r="C4" s="17" t="s">
        <v>494</v>
      </c>
      <c r="D4" s="73">
        <v>1000</v>
      </c>
      <c r="E4" s="198">
        <f t="shared" ref="E4:E67" si="0">D4*$M$7</f>
        <v>1000</v>
      </c>
      <c r="F4" s="199">
        <v>1</v>
      </c>
      <c r="G4" s="200">
        <f t="shared" ref="G4:G67" si="1">$M$6/F4</f>
        <v>2000000</v>
      </c>
      <c r="H4" s="198">
        <f>F4*E4</f>
        <v>1000</v>
      </c>
      <c r="I4" s="185">
        <f t="shared" ref="I4:I67" si="2">H4/$M$9</f>
        <v>6.0240963855421692E-4</v>
      </c>
      <c r="J4" s="185">
        <f t="shared" ref="J4:J67" si="3">H4/$M$8</f>
        <v>5.0000000000000001E-4</v>
      </c>
      <c r="L4" s="91" t="s">
        <v>16</v>
      </c>
      <c r="M4" s="91"/>
      <c r="N4" s="91"/>
      <c r="O4" s="91"/>
    </row>
    <row r="5" spans="2:15">
      <c r="B5" s="16">
        <v>2</v>
      </c>
      <c r="C5" s="17" t="s">
        <v>484</v>
      </c>
      <c r="D5" s="73">
        <v>500</v>
      </c>
      <c r="E5" s="198">
        <f t="shared" si="0"/>
        <v>500</v>
      </c>
      <c r="F5" s="199">
        <v>2</v>
      </c>
      <c r="G5" s="200">
        <f t="shared" si="1"/>
        <v>1000000</v>
      </c>
      <c r="H5" s="198">
        <f t="shared" ref="H5:H67" si="4">F5*E5</f>
        <v>1000</v>
      </c>
      <c r="I5" s="185">
        <f t="shared" si="2"/>
        <v>6.0240963855421692E-4</v>
      </c>
      <c r="J5" s="185">
        <f t="shared" si="3"/>
        <v>5.0000000000000001E-4</v>
      </c>
      <c r="L5" s="1"/>
      <c r="M5" s="3"/>
      <c r="N5" s="1"/>
      <c r="O5" s="1"/>
    </row>
    <row r="6" spans="2:15">
      <c r="B6" s="16">
        <v>3</v>
      </c>
      <c r="C6" s="17" t="s">
        <v>493</v>
      </c>
      <c r="D6" s="73">
        <v>500</v>
      </c>
      <c r="E6" s="198">
        <f t="shared" si="0"/>
        <v>500</v>
      </c>
      <c r="F6" s="199">
        <v>1</v>
      </c>
      <c r="G6" s="200">
        <f t="shared" si="1"/>
        <v>2000000</v>
      </c>
      <c r="H6" s="198">
        <f t="shared" si="4"/>
        <v>500</v>
      </c>
      <c r="I6" s="185">
        <f t="shared" si="2"/>
        <v>3.0120481927710846E-4</v>
      </c>
      <c r="J6" s="185">
        <f t="shared" si="3"/>
        <v>2.5000000000000001E-4</v>
      </c>
      <c r="L6" s="2" t="s">
        <v>17</v>
      </c>
      <c r="M6" s="201">
        <v>2000000</v>
      </c>
    </row>
    <row r="7" spans="2:15">
      <c r="B7" s="16">
        <v>4</v>
      </c>
      <c r="C7" s="17" t="s">
        <v>474</v>
      </c>
      <c r="D7" s="73">
        <v>200</v>
      </c>
      <c r="E7" s="198">
        <f t="shared" si="0"/>
        <v>200</v>
      </c>
      <c r="F7" s="199">
        <v>2</v>
      </c>
      <c r="G7" s="200">
        <f t="shared" si="1"/>
        <v>1000000</v>
      </c>
      <c r="H7" s="198">
        <f t="shared" si="4"/>
        <v>400</v>
      </c>
      <c r="I7" s="185">
        <f t="shared" si="2"/>
        <v>2.4096385542168679E-4</v>
      </c>
      <c r="J7" s="185">
        <f t="shared" si="3"/>
        <v>2.0000000000000001E-4</v>
      </c>
      <c r="L7" s="2" t="s">
        <v>18</v>
      </c>
      <c r="M7" s="200">
        <v>1</v>
      </c>
    </row>
    <row r="8" spans="2:15">
      <c r="B8" s="16">
        <v>5</v>
      </c>
      <c r="C8" s="17" t="s">
        <v>483</v>
      </c>
      <c r="D8" s="73">
        <v>200</v>
      </c>
      <c r="E8" s="198">
        <f t="shared" si="0"/>
        <v>200</v>
      </c>
      <c r="F8" s="199">
        <v>2</v>
      </c>
      <c r="G8" s="200">
        <f t="shared" si="1"/>
        <v>1000000</v>
      </c>
      <c r="H8" s="198">
        <f t="shared" si="4"/>
        <v>400</v>
      </c>
      <c r="I8" s="185">
        <f t="shared" si="2"/>
        <v>2.4096385542168679E-4</v>
      </c>
      <c r="J8" s="185">
        <f t="shared" si="3"/>
        <v>2.0000000000000001E-4</v>
      </c>
      <c r="L8" s="2" t="s">
        <v>19</v>
      </c>
      <c r="M8" s="200">
        <f>M7*M6</f>
        <v>2000000</v>
      </c>
    </row>
    <row r="9" spans="2:15">
      <c r="B9" s="16">
        <v>6</v>
      </c>
      <c r="C9" s="17" t="s">
        <v>492</v>
      </c>
      <c r="D9" s="73">
        <v>200</v>
      </c>
      <c r="E9" s="198">
        <f t="shared" si="0"/>
        <v>200</v>
      </c>
      <c r="F9" s="199">
        <v>1</v>
      </c>
      <c r="G9" s="200">
        <f t="shared" si="1"/>
        <v>2000000</v>
      </c>
      <c r="H9" s="198">
        <f t="shared" si="4"/>
        <v>200</v>
      </c>
      <c r="I9" s="185">
        <f t="shared" si="2"/>
        <v>1.2048192771084339E-4</v>
      </c>
      <c r="J9" s="185">
        <f t="shared" si="3"/>
        <v>1E-4</v>
      </c>
      <c r="L9" s="2" t="s">
        <v>20</v>
      </c>
      <c r="M9" s="200">
        <f>H359</f>
        <v>1659999.9999999998</v>
      </c>
    </row>
    <row r="10" spans="2:15">
      <c r="B10" s="16">
        <v>7</v>
      </c>
      <c r="C10" s="125" t="s">
        <v>775</v>
      </c>
      <c r="D10" s="73">
        <v>141.9</v>
      </c>
      <c r="E10" s="198">
        <f t="shared" si="0"/>
        <v>141.9</v>
      </c>
      <c r="F10" s="199">
        <v>2</v>
      </c>
      <c r="G10" s="200">
        <f t="shared" si="1"/>
        <v>1000000</v>
      </c>
      <c r="H10" s="198">
        <f t="shared" si="4"/>
        <v>283.8</v>
      </c>
      <c r="I10" s="185">
        <f t="shared" si="2"/>
        <v>1.7096385542168677E-4</v>
      </c>
      <c r="J10" s="185">
        <f t="shared" si="3"/>
        <v>1.4190000000000001E-4</v>
      </c>
      <c r="L10" s="2" t="s">
        <v>21</v>
      </c>
      <c r="M10" s="185">
        <v>0.83</v>
      </c>
    </row>
    <row r="11" spans="2:15">
      <c r="B11" s="16">
        <v>8</v>
      </c>
      <c r="C11" s="125" t="s">
        <v>651</v>
      </c>
      <c r="D11" s="73">
        <v>125</v>
      </c>
      <c r="E11" s="198">
        <f t="shared" si="0"/>
        <v>125</v>
      </c>
      <c r="F11" s="199">
        <v>2</v>
      </c>
      <c r="G11" s="200">
        <f t="shared" si="1"/>
        <v>1000000</v>
      </c>
      <c r="H11" s="198">
        <f t="shared" si="4"/>
        <v>250</v>
      </c>
      <c r="I11" s="185">
        <f t="shared" si="2"/>
        <v>1.5060240963855423E-4</v>
      </c>
      <c r="J11" s="185">
        <f t="shared" si="3"/>
        <v>1.25E-4</v>
      </c>
      <c r="L11" s="2" t="s">
        <v>22</v>
      </c>
      <c r="M11" s="185">
        <f>M9/M8</f>
        <v>0.82999999999999985</v>
      </c>
    </row>
    <row r="12" spans="2:15" ht="15.6" customHeight="1">
      <c r="B12" s="16">
        <v>9</v>
      </c>
      <c r="C12" s="17" t="s">
        <v>610</v>
      </c>
      <c r="D12" s="73">
        <v>115</v>
      </c>
      <c r="E12" s="198">
        <f t="shared" si="0"/>
        <v>115</v>
      </c>
      <c r="F12" s="199">
        <v>2</v>
      </c>
      <c r="G12" s="200">
        <f t="shared" si="1"/>
        <v>1000000</v>
      </c>
      <c r="H12" s="198">
        <f t="shared" si="4"/>
        <v>230</v>
      </c>
      <c r="I12" s="185">
        <f t="shared" si="2"/>
        <v>1.3855421686746991E-4</v>
      </c>
      <c r="J12" s="185">
        <f t="shared" si="3"/>
        <v>1.15E-4</v>
      </c>
      <c r="L12" s="2" t="s">
        <v>23</v>
      </c>
      <c r="M12" s="185">
        <f>C373+C380</f>
        <v>0.04</v>
      </c>
    </row>
    <row r="13" spans="2:15">
      <c r="B13" s="16">
        <v>10</v>
      </c>
      <c r="C13" s="17" t="s">
        <v>473</v>
      </c>
      <c r="D13" s="73">
        <v>100</v>
      </c>
      <c r="E13" s="198">
        <f t="shared" si="0"/>
        <v>100</v>
      </c>
      <c r="F13" s="199">
        <v>3</v>
      </c>
      <c r="G13" s="200">
        <f t="shared" si="1"/>
        <v>666666.66666666663</v>
      </c>
      <c r="H13" s="198">
        <f t="shared" si="4"/>
        <v>300</v>
      </c>
      <c r="I13" s="185">
        <f t="shared" si="2"/>
        <v>1.8072289156626509E-4</v>
      </c>
      <c r="J13" s="185">
        <f t="shared" si="3"/>
        <v>1.4999999999999999E-4</v>
      </c>
      <c r="L13" s="2" t="s">
        <v>24</v>
      </c>
      <c r="M13" s="185">
        <f>M12+M11</f>
        <v>0.86999999999999988</v>
      </c>
    </row>
    <row r="14" spans="2:15">
      <c r="B14" s="16">
        <v>11</v>
      </c>
      <c r="C14" s="17" t="s">
        <v>482</v>
      </c>
      <c r="D14" s="73">
        <v>100</v>
      </c>
      <c r="E14" s="198">
        <f t="shared" si="0"/>
        <v>100</v>
      </c>
      <c r="F14" s="199">
        <v>3</v>
      </c>
      <c r="G14" s="200">
        <f t="shared" si="1"/>
        <v>666666.66666666663</v>
      </c>
      <c r="H14" s="198">
        <f t="shared" si="4"/>
        <v>300</v>
      </c>
      <c r="I14" s="185">
        <f t="shared" si="2"/>
        <v>1.8072289156626509E-4</v>
      </c>
      <c r="J14" s="185">
        <f t="shared" si="3"/>
        <v>1.4999999999999999E-4</v>
      </c>
      <c r="L14" s="2" t="s">
        <v>25</v>
      </c>
      <c r="M14" s="202">
        <f>SUM(F4:F357)</f>
        <v>533608</v>
      </c>
    </row>
    <row r="15" spans="2:15" ht="13.2" customHeight="1">
      <c r="B15" s="16">
        <v>12</v>
      </c>
      <c r="C15" s="17" t="s">
        <v>491</v>
      </c>
      <c r="D15" s="73">
        <v>100</v>
      </c>
      <c r="E15" s="198">
        <f t="shared" si="0"/>
        <v>100</v>
      </c>
      <c r="F15" s="199">
        <v>3</v>
      </c>
      <c r="G15" s="200">
        <f t="shared" si="1"/>
        <v>666666.66666666663</v>
      </c>
      <c r="H15" s="198">
        <f t="shared" si="4"/>
        <v>300</v>
      </c>
      <c r="I15" s="185">
        <f t="shared" si="2"/>
        <v>1.8072289156626509E-4</v>
      </c>
      <c r="J15" s="185">
        <f t="shared" si="3"/>
        <v>1.4999999999999999E-4</v>
      </c>
      <c r="L15" s="2" t="s">
        <v>26</v>
      </c>
      <c r="M15" s="200">
        <f>M6/M14</f>
        <v>3.748069744081798</v>
      </c>
    </row>
    <row r="16" spans="2:15">
      <c r="B16" s="16">
        <v>13</v>
      </c>
      <c r="C16" s="125" t="s">
        <v>558</v>
      </c>
      <c r="D16" s="73">
        <v>100</v>
      </c>
      <c r="E16" s="198">
        <f t="shared" si="0"/>
        <v>100</v>
      </c>
      <c r="F16" s="199">
        <v>2</v>
      </c>
      <c r="G16" s="200">
        <f t="shared" si="1"/>
        <v>1000000</v>
      </c>
      <c r="H16" s="198">
        <f t="shared" si="4"/>
        <v>200</v>
      </c>
      <c r="I16" s="185">
        <f t="shared" si="2"/>
        <v>1.2048192771084339E-4</v>
      </c>
      <c r="J16" s="185">
        <f t="shared" si="3"/>
        <v>1E-4</v>
      </c>
    </row>
    <row r="17" spans="2:15">
      <c r="B17" s="16">
        <v>14</v>
      </c>
      <c r="C17" s="298" t="s">
        <v>808</v>
      </c>
      <c r="D17" s="299">
        <v>100</v>
      </c>
      <c r="E17" s="198">
        <f t="shared" si="0"/>
        <v>100</v>
      </c>
      <c r="F17" s="199">
        <v>100</v>
      </c>
      <c r="G17" s="200">
        <f t="shared" si="1"/>
        <v>20000</v>
      </c>
      <c r="H17" s="198">
        <f t="shared" si="4"/>
        <v>10000</v>
      </c>
      <c r="I17" s="185">
        <f t="shared" si="2"/>
        <v>6.0240963855421699E-3</v>
      </c>
      <c r="J17" s="185">
        <f t="shared" si="3"/>
        <v>5.0000000000000001E-3</v>
      </c>
      <c r="L17" s="292" t="s">
        <v>32</v>
      </c>
      <c r="M17" s="293"/>
      <c r="N17" s="293"/>
      <c r="O17" s="293"/>
    </row>
    <row r="18" spans="2:15">
      <c r="B18" s="16">
        <v>15</v>
      </c>
      <c r="C18" s="125" t="s">
        <v>791</v>
      </c>
      <c r="D18" s="73">
        <v>91.9</v>
      </c>
      <c r="E18" s="198">
        <f t="shared" si="0"/>
        <v>91.9</v>
      </c>
      <c r="F18" s="199">
        <v>5</v>
      </c>
      <c r="G18" s="200">
        <f t="shared" si="1"/>
        <v>400000</v>
      </c>
      <c r="H18" s="198">
        <f t="shared" si="4"/>
        <v>459.5</v>
      </c>
      <c r="I18" s="185">
        <f t="shared" si="2"/>
        <v>2.7680722891566269E-4</v>
      </c>
      <c r="J18" s="185">
        <f t="shared" si="3"/>
        <v>2.2975E-4</v>
      </c>
      <c r="L18" s="293"/>
      <c r="M18" s="293"/>
      <c r="N18" s="293"/>
      <c r="O18" s="293"/>
    </row>
    <row r="19" spans="2:15">
      <c r="B19" s="16">
        <v>16</v>
      </c>
      <c r="C19" s="125" t="s">
        <v>662</v>
      </c>
      <c r="D19" s="73">
        <v>90</v>
      </c>
      <c r="E19" s="198">
        <f t="shared" si="0"/>
        <v>90</v>
      </c>
      <c r="F19" s="199">
        <v>2</v>
      </c>
      <c r="G19" s="200">
        <f t="shared" si="1"/>
        <v>1000000</v>
      </c>
      <c r="H19" s="198">
        <f t="shared" si="4"/>
        <v>180</v>
      </c>
      <c r="I19" s="185">
        <f t="shared" si="2"/>
        <v>1.0843373493975904E-4</v>
      </c>
      <c r="J19" s="185">
        <f t="shared" si="3"/>
        <v>9.0000000000000006E-5</v>
      </c>
      <c r="L19" s="293"/>
      <c r="M19" s="293"/>
      <c r="N19" s="293"/>
      <c r="O19" s="293"/>
    </row>
    <row r="20" spans="2:15">
      <c r="B20" s="16">
        <v>17</v>
      </c>
      <c r="C20" s="111" t="s">
        <v>702</v>
      </c>
      <c r="D20" s="73">
        <v>87.9</v>
      </c>
      <c r="E20" s="198">
        <f t="shared" si="0"/>
        <v>87.9</v>
      </c>
      <c r="F20" s="199">
        <v>5</v>
      </c>
      <c r="G20" s="200">
        <f t="shared" si="1"/>
        <v>400000</v>
      </c>
      <c r="H20" s="198">
        <f t="shared" si="4"/>
        <v>439.5</v>
      </c>
      <c r="I20" s="185">
        <f t="shared" si="2"/>
        <v>2.6475903614457837E-4</v>
      </c>
      <c r="J20" s="185">
        <f t="shared" si="3"/>
        <v>2.1975E-4</v>
      </c>
      <c r="L20" s="293"/>
      <c r="M20" s="293"/>
      <c r="N20" s="293"/>
      <c r="O20" s="293"/>
    </row>
    <row r="21" spans="2:15">
      <c r="B21" s="16">
        <v>18</v>
      </c>
      <c r="C21" s="125" t="s">
        <v>788</v>
      </c>
      <c r="D21" s="73">
        <v>85.3</v>
      </c>
      <c r="E21" s="198">
        <f t="shared" si="0"/>
        <v>85.3</v>
      </c>
      <c r="F21" s="199">
        <v>6</v>
      </c>
      <c r="G21" s="200">
        <f t="shared" si="1"/>
        <v>333333.33333333331</v>
      </c>
      <c r="H21" s="198">
        <f t="shared" si="4"/>
        <v>511.79999999999995</v>
      </c>
      <c r="I21" s="185">
        <f t="shared" si="2"/>
        <v>3.0831325301204822E-4</v>
      </c>
      <c r="J21" s="185">
        <f t="shared" si="3"/>
        <v>2.5589999999999999E-4</v>
      </c>
      <c r="L21" s="293"/>
      <c r="M21" s="293"/>
      <c r="N21" s="293"/>
      <c r="O21" s="293"/>
    </row>
    <row r="22" spans="2:15">
      <c r="B22" s="16">
        <v>19</v>
      </c>
      <c r="C22" s="125" t="s">
        <v>664</v>
      </c>
      <c r="D22" s="73">
        <v>85</v>
      </c>
      <c r="E22" s="198">
        <f t="shared" si="0"/>
        <v>85</v>
      </c>
      <c r="F22" s="199">
        <v>2</v>
      </c>
      <c r="G22" s="200">
        <f t="shared" si="1"/>
        <v>1000000</v>
      </c>
      <c r="H22" s="198">
        <f t="shared" si="4"/>
        <v>170</v>
      </c>
      <c r="I22" s="185">
        <f t="shared" si="2"/>
        <v>1.0240963855421688E-4</v>
      </c>
      <c r="J22" s="185">
        <f t="shared" si="3"/>
        <v>8.5000000000000006E-5</v>
      </c>
    </row>
    <row r="23" spans="2:15">
      <c r="B23" s="16">
        <v>20</v>
      </c>
      <c r="C23" s="125" t="s">
        <v>777</v>
      </c>
      <c r="D23" s="73">
        <v>84.1</v>
      </c>
      <c r="E23" s="198">
        <f t="shared" si="0"/>
        <v>84.1</v>
      </c>
      <c r="F23" s="199">
        <v>5</v>
      </c>
      <c r="G23" s="200">
        <f t="shared" si="1"/>
        <v>400000</v>
      </c>
      <c r="H23" s="198">
        <f t="shared" si="4"/>
        <v>420.5</v>
      </c>
      <c r="I23" s="185">
        <f t="shared" si="2"/>
        <v>2.5331325301204823E-4</v>
      </c>
      <c r="J23" s="185">
        <f t="shared" si="3"/>
        <v>2.1024999999999999E-4</v>
      </c>
    </row>
    <row r="24" spans="2:15">
      <c r="B24" s="16">
        <v>21</v>
      </c>
      <c r="C24" s="125" t="s">
        <v>785</v>
      </c>
      <c r="D24" s="73">
        <v>84.1</v>
      </c>
      <c r="E24" s="198">
        <f t="shared" si="0"/>
        <v>84.1</v>
      </c>
      <c r="F24" s="199">
        <v>5</v>
      </c>
      <c r="G24" s="200">
        <f t="shared" si="1"/>
        <v>400000</v>
      </c>
      <c r="H24" s="198">
        <f t="shared" si="4"/>
        <v>420.5</v>
      </c>
      <c r="I24" s="185">
        <f t="shared" si="2"/>
        <v>2.5331325301204823E-4</v>
      </c>
      <c r="J24" s="185">
        <f t="shared" si="3"/>
        <v>2.1024999999999999E-4</v>
      </c>
    </row>
    <row r="25" spans="2:15">
      <c r="B25" s="16">
        <v>22</v>
      </c>
      <c r="C25" s="125" t="s">
        <v>801</v>
      </c>
      <c r="D25" s="73">
        <v>83.3</v>
      </c>
      <c r="E25" s="198">
        <f t="shared" si="0"/>
        <v>83.3</v>
      </c>
      <c r="F25" s="199">
        <v>5</v>
      </c>
      <c r="G25" s="200">
        <f t="shared" si="1"/>
        <v>400000</v>
      </c>
      <c r="H25" s="198">
        <f t="shared" si="4"/>
        <v>416.5</v>
      </c>
      <c r="I25" s="185">
        <f t="shared" si="2"/>
        <v>2.5090361445783137E-4</v>
      </c>
      <c r="J25" s="185">
        <f t="shared" si="3"/>
        <v>2.0824999999999999E-4</v>
      </c>
    </row>
    <row r="26" spans="2:15">
      <c r="B26" s="16">
        <v>23</v>
      </c>
      <c r="C26" s="111" t="s">
        <v>707</v>
      </c>
      <c r="D26" s="73">
        <v>81.5</v>
      </c>
      <c r="E26" s="198">
        <f t="shared" si="0"/>
        <v>81.5</v>
      </c>
      <c r="F26" s="199">
        <v>6</v>
      </c>
      <c r="G26" s="200">
        <f t="shared" si="1"/>
        <v>333333.33333333331</v>
      </c>
      <c r="H26" s="198">
        <f t="shared" si="4"/>
        <v>489</v>
      </c>
      <c r="I26" s="185">
        <f t="shared" si="2"/>
        <v>2.9457831325301211E-4</v>
      </c>
      <c r="J26" s="185">
        <f t="shared" si="3"/>
        <v>2.4449999999999998E-4</v>
      </c>
      <c r="L26" s="203"/>
      <c r="M26" s="203"/>
      <c r="N26" s="203"/>
      <c r="O26" s="203"/>
    </row>
    <row r="27" spans="2:15">
      <c r="B27" s="16">
        <v>24</v>
      </c>
      <c r="C27" s="125" t="s">
        <v>663</v>
      </c>
      <c r="D27" s="73">
        <v>80</v>
      </c>
      <c r="E27" s="198">
        <f t="shared" si="0"/>
        <v>80</v>
      </c>
      <c r="F27" s="199">
        <v>3</v>
      </c>
      <c r="G27" s="200">
        <f t="shared" si="1"/>
        <v>666666.66666666663</v>
      </c>
      <c r="H27" s="198">
        <f t="shared" si="4"/>
        <v>240</v>
      </c>
      <c r="I27" s="185">
        <f t="shared" si="2"/>
        <v>1.4457831325301207E-4</v>
      </c>
      <c r="J27" s="185">
        <f t="shared" si="3"/>
        <v>1.2E-4</v>
      </c>
    </row>
    <row r="28" spans="2:15">
      <c r="B28" s="16">
        <v>25</v>
      </c>
      <c r="C28" s="125" t="s">
        <v>667</v>
      </c>
      <c r="D28" s="73">
        <v>80</v>
      </c>
      <c r="E28" s="198">
        <f t="shared" si="0"/>
        <v>80</v>
      </c>
      <c r="F28" s="199">
        <v>3</v>
      </c>
      <c r="G28" s="200">
        <f t="shared" si="1"/>
        <v>666666.66666666663</v>
      </c>
      <c r="H28" s="198">
        <f t="shared" si="4"/>
        <v>240</v>
      </c>
      <c r="I28" s="185">
        <f t="shared" si="2"/>
        <v>1.4457831325301207E-4</v>
      </c>
      <c r="J28" s="185">
        <f t="shared" si="3"/>
        <v>1.2E-4</v>
      </c>
    </row>
    <row r="29" spans="2:15">
      <c r="B29" s="16">
        <v>26</v>
      </c>
      <c r="C29" s="17" t="s">
        <v>755</v>
      </c>
      <c r="D29" s="73">
        <v>79</v>
      </c>
      <c r="E29" s="198">
        <f t="shared" si="0"/>
        <v>79</v>
      </c>
      <c r="F29" s="199">
        <v>3</v>
      </c>
      <c r="G29" s="200">
        <f t="shared" si="1"/>
        <v>666666.66666666663</v>
      </c>
      <c r="H29" s="198">
        <f t="shared" si="4"/>
        <v>237</v>
      </c>
      <c r="I29" s="185">
        <f t="shared" si="2"/>
        <v>1.4277108433734942E-4</v>
      </c>
      <c r="J29" s="185">
        <f t="shared" si="3"/>
        <v>1.1849999999999999E-4</v>
      </c>
    </row>
    <row r="30" spans="2:15">
      <c r="B30" s="16">
        <v>27</v>
      </c>
      <c r="C30" s="125" t="s">
        <v>787</v>
      </c>
      <c r="D30" s="73">
        <v>78.599999999999994</v>
      </c>
      <c r="E30" s="198">
        <f t="shared" si="0"/>
        <v>78.599999999999994</v>
      </c>
      <c r="F30" s="199">
        <v>7</v>
      </c>
      <c r="G30" s="200">
        <f t="shared" si="1"/>
        <v>285714.28571428574</v>
      </c>
      <c r="H30" s="198">
        <f t="shared" si="4"/>
        <v>550.19999999999993</v>
      </c>
      <c r="I30" s="185">
        <f t="shared" si="2"/>
        <v>3.3144578313253011E-4</v>
      </c>
      <c r="J30" s="185">
        <f t="shared" si="3"/>
        <v>2.7509999999999996E-4</v>
      </c>
    </row>
    <row r="31" spans="2:15">
      <c r="B31" s="16">
        <v>28</v>
      </c>
      <c r="C31" s="17" t="s">
        <v>636</v>
      </c>
      <c r="D31" s="73">
        <v>78.5</v>
      </c>
      <c r="E31" s="198">
        <f t="shared" si="0"/>
        <v>78.5</v>
      </c>
      <c r="F31" s="199">
        <v>5</v>
      </c>
      <c r="G31" s="200">
        <f t="shared" si="1"/>
        <v>400000</v>
      </c>
      <c r="H31" s="198">
        <f t="shared" si="4"/>
        <v>392.5</v>
      </c>
      <c r="I31" s="185">
        <f t="shared" si="2"/>
        <v>2.3644578313253016E-4</v>
      </c>
      <c r="J31" s="185">
        <f t="shared" si="3"/>
        <v>1.9625E-4</v>
      </c>
    </row>
    <row r="32" spans="2:15">
      <c r="B32" s="16">
        <v>29</v>
      </c>
      <c r="C32" s="125" t="s">
        <v>677</v>
      </c>
      <c r="D32" s="73">
        <v>78</v>
      </c>
      <c r="E32" s="198">
        <f t="shared" si="0"/>
        <v>78</v>
      </c>
      <c r="F32" s="199">
        <v>72</v>
      </c>
      <c r="G32" s="200">
        <f t="shared" si="1"/>
        <v>27777.777777777777</v>
      </c>
      <c r="H32" s="198">
        <f t="shared" si="4"/>
        <v>5616</v>
      </c>
      <c r="I32" s="185">
        <f t="shared" si="2"/>
        <v>3.3831325301204823E-3</v>
      </c>
      <c r="J32" s="185">
        <f t="shared" si="3"/>
        <v>2.8080000000000002E-3</v>
      </c>
    </row>
    <row r="33" spans="2:10">
      <c r="B33" s="16">
        <v>30</v>
      </c>
      <c r="C33" s="125" t="s">
        <v>786</v>
      </c>
      <c r="D33" s="73">
        <v>76</v>
      </c>
      <c r="E33" s="198">
        <f t="shared" si="0"/>
        <v>76</v>
      </c>
      <c r="F33" s="199">
        <v>6</v>
      </c>
      <c r="G33" s="200">
        <f t="shared" si="1"/>
        <v>333333.33333333331</v>
      </c>
      <c r="H33" s="198">
        <f t="shared" si="4"/>
        <v>456</v>
      </c>
      <c r="I33" s="185">
        <f t="shared" si="2"/>
        <v>2.7469879518072295E-4</v>
      </c>
      <c r="J33" s="185">
        <f t="shared" si="3"/>
        <v>2.2800000000000001E-4</v>
      </c>
    </row>
    <row r="34" spans="2:10">
      <c r="B34" s="16">
        <v>31</v>
      </c>
      <c r="C34" s="17" t="s">
        <v>631</v>
      </c>
      <c r="D34" s="73">
        <v>75</v>
      </c>
      <c r="E34" s="198">
        <f t="shared" si="0"/>
        <v>75</v>
      </c>
      <c r="F34" s="199">
        <v>3</v>
      </c>
      <c r="G34" s="200">
        <f t="shared" si="1"/>
        <v>666666.66666666663</v>
      </c>
      <c r="H34" s="198">
        <f t="shared" si="4"/>
        <v>225</v>
      </c>
      <c r="I34" s="185">
        <f t="shared" si="2"/>
        <v>1.3554216867469883E-4</v>
      </c>
      <c r="J34" s="185">
        <f t="shared" si="3"/>
        <v>1.125E-4</v>
      </c>
    </row>
    <row r="35" spans="2:10">
      <c r="B35" s="16">
        <v>32</v>
      </c>
      <c r="C35" s="17" t="s">
        <v>624</v>
      </c>
      <c r="D35" s="73">
        <v>74</v>
      </c>
      <c r="E35" s="198">
        <f t="shared" si="0"/>
        <v>74</v>
      </c>
      <c r="F35" s="199">
        <v>5</v>
      </c>
      <c r="G35" s="200">
        <f t="shared" si="1"/>
        <v>400000</v>
      </c>
      <c r="H35" s="198">
        <f t="shared" si="4"/>
        <v>370</v>
      </c>
      <c r="I35" s="185">
        <f t="shared" si="2"/>
        <v>2.2289156626506028E-4</v>
      </c>
      <c r="J35" s="185">
        <f t="shared" si="3"/>
        <v>1.85E-4</v>
      </c>
    </row>
    <row r="36" spans="2:10">
      <c r="B36" s="16">
        <v>33</v>
      </c>
      <c r="C36" s="125" t="s">
        <v>799</v>
      </c>
      <c r="D36" s="73">
        <v>73.3</v>
      </c>
      <c r="E36" s="198">
        <f t="shared" si="0"/>
        <v>73.3</v>
      </c>
      <c r="F36" s="199">
        <v>6</v>
      </c>
      <c r="G36" s="200">
        <f t="shared" si="1"/>
        <v>333333.33333333331</v>
      </c>
      <c r="H36" s="198">
        <f t="shared" si="4"/>
        <v>439.79999999999995</v>
      </c>
      <c r="I36" s="185">
        <f t="shared" si="2"/>
        <v>2.649397590361446E-4</v>
      </c>
      <c r="J36" s="185">
        <f t="shared" si="3"/>
        <v>2.1989999999999998E-4</v>
      </c>
    </row>
    <row r="37" spans="2:10">
      <c r="B37" s="16">
        <v>34</v>
      </c>
      <c r="C37" s="111" t="s">
        <v>704</v>
      </c>
      <c r="D37" s="73">
        <v>72.800000000000011</v>
      </c>
      <c r="E37" s="198">
        <f t="shared" si="0"/>
        <v>72.800000000000011</v>
      </c>
      <c r="F37" s="199">
        <v>7</v>
      </c>
      <c r="G37" s="200">
        <f t="shared" si="1"/>
        <v>285714.28571428574</v>
      </c>
      <c r="H37" s="198">
        <f t="shared" si="4"/>
        <v>509.60000000000008</v>
      </c>
      <c r="I37" s="185">
        <f t="shared" si="2"/>
        <v>3.06987951807229E-4</v>
      </c>
      <c r="J37" s="185">
        <f t="shared" si="3"/>
        <v>2.5480000000000001E-4</v>
      </c>
    </row>
    <row r="38" spans="2:10">
      <c r="B38" s="16">
        <v>35</v>
      </c>
      <c r="C38" s="17" t="s">
        <v>758</v>
      </c>
      <c r="D38" s="73">
        <v>72.099999999999994</v>
      </c>
      <c r="E38" s="198">
        <f t="shared" si="0"/>
        <v>72.099999999999994</v>
      </c>
      <c r="F38" s="199">
        <v>68</v>
      </c>
      <c r="G38" s="200">
        <f t="shared" si="1"/>
        <v>29411.764705882353</v>
      </c>
      <c r="H38" s="198">
        <f t="shared" si="4"/>
        <v>4902.7999999999993</v>
      </c>
      <c r="I38" s="185">
        <f t="shared" si="2"/>
        <v>2.9534939759036146E-3</v>
      </c>
      <c r="J38" s="185">
        <f t="shared" si="3"/>
        <v>2.4513999999999998E-3</v>
      </c>
    </row>
    <row r="39" spans="2:10">
      <c r="B39" s="16">
        <v>36</v>
      </c>
      <c r="C39" s="17" t="s">
        <v>628</v>
      </c>
      <c r="D39" s="73">
        <v>72</v>
      </c>
      <c r="E39" s="198">
        <f t="shared" si="0"/>
        <v>72</v>
      </c>
      <c r="F39" s="199">
        <v>3</v>
      </c>
      <c r="G39" s="200">
        <f t="shared" si="1"/>
        <v>666666.66666666663</v>
      </c>
      <c r="H39" s="198">
        <f t="shared" si="4"/>
        <v>216</v>
      </c>
      <c r="I39" s="185">
        <f t="shared" si="2"/>
        <v>1.3012048192771085E-4</v>
      </c>
      <c r="J39" s="185">
        <f t="shared" si="3"/>
        <v>1.08E-4</v>
      </c>
    </row>
    <row r="40" spans="2:10">
      <c r="B40" s="16">
        <v>37</v>
      </c>
      <c r="C40" s="125" t="s">
        <v>770</v>
      </c>
      <c r="D40" s="73">
        <v>71.900000000000006</v>
      </c>
      <c r="E40" s="198">
        <f t="shared" si="0"/>
        <v>71.900000000000006</v>
      </c>
      <c r="F40" s="199">
        <v>6</v>
      </c>
      <c r="G40" s="200">
        <f t="shared" si="1"/>
        <v>333333.33333333331</v>
      </c>
      <c r="H40" s="198">
        <f t="shared" si="4"/>
        <v>431.40000000000003</v>
      </c>
      <c r="I40" s="185">
        <f t="shared" si="2"/>
        <v>2.5987951807228919E-4</v>
      </c>
      <c r="J40" s="185">
        <f t="shared" si="3"/>
        <v>2.1570000000000001E-4</v>
      </c>
    </row>
    <row r="41" spans="2:10">
      <c r="B41" s="16">
        <v>38</v>
      </c>
      <c r="C41" s="125" t="s">
        <v>792</v>
      </c>
      <c r="D41" s="73">
        <v>71</v>
      </c>
      <c r="E41" s="198">
        <f t="shared" si="0"/>
        <v>71</v>
      </c>
      <c r="F41" s="199">
        <v>6</v>
      </c>
      <c r="G41" s="200">
        <f t="shared" si="1"/>
        <v>333333.33333333331</v>
      </c>
      <c r="H41" s="198">
        <f t="shared" si="4"/>
        <v>426</v>
      </c>
      <c r="I41" s="185">
        <f t="shared" si="2"/>
        <v>2.5662650602409641E-4</v>
      </c>
      <c r="J41" s="185">
        <f t="shared" si="3"/>
        <v>2.13E-4</v>
      </c>
    </row>
    <row r="42" spans="2:10">
      <c r="B42" s="16">
        <v>39</v>
      </c>
      <c r="C42" s="17" t="s">
        <v>608</v>
      </c>
      <c r="D42" s="73">
        <v>70</v>
      </c>
      <c r="E42" s="198">
        <f t="shared" si="0"/>
        <v>70</v>
      </c>
      <c r="F42" s="199">
        <v>9</v>
      </c>
      <c r="G42" s="200">
        <f t="shared" si="1"/>
        <v>222222.22222222222</v>
      </c>
      <c r="H42" s="198">
        <f t="shared" si="4"/>
        <v>630</v>
      </c>
      <c r="I42" s="185">
        <f t="shared" si="2"/>
        <v>3.7951807228915667E-4</v>
      </c>
      <c r="J42" s="185">
        <f t="shared" si="3"/>
        <v>3.1500000000000001E-4</v>
      </c>
    </row>
    <row r="43" spans="2:10">
      <c r="B43" s="16">
        <v>40</v>
      </c>
      <c r="C43" s="17" t="s">
        <v>609</v>
      </c>
      <c r="D43" s="73">
        <v>70</v>
      </c>
      <c r="E43" s="198">
        <f t="shared" si="0"/>
        <v>70</v>
      </c>
      <c r="F43" s="199">
        <v>9</v>
      </c>
      <c r="G43" s="200">
        <f t="shared" si="1"/>
        <v>222222.22222222222</v>
      </c>
      <c r="H43" s="198">
        <f t="shared" si="4"/>
        <v>630</v>
      </c>
      <c r="I43" s="185">
        <f t="shared" si="2"/>
        <v>3.7951807228915667E-4</v>
      </c>
      <c r="J43" s="185">
        <f t="shared" si="3"/>
        <v>3.1500000000000001E-4</v>
      </c>
    </row>
    <row r="44" spans="2:10">
      <c r="B44" s="16">
        <v>41</v>
      </c>
      <c r="C44" s="125" t="s">
        <v>653</v>
      </c>
      <c r="D44" s="73">
        <v>70</v>
      </c>
      <c r="E44" s="198">
        <f t="shared" si="0"/>
        <v>70</v>
      </c>
      <c r="F44" s="199">
        <v>8</v>
      </c>
      <c r="G44" s="200">
        <f t="shared" si="1"/>
        <v>250000</v>
      </c>
      <c r="H44" s="198">
        <f t="shared" si="4"/>
        <v>560</v>
      </c>
      <c r="I44" s="185">
        <f t="shared" si="2"/>
        <v>3.3734939759036148E-4</v>
      </c>
      <c r="J44" s="185">
        <f t="shared" si="3"/>
        <v>2.7999999999999998E-4</v>
      </c>
    </row>
    <row r="45" spans="2:10">
      <c r="B45" s="16">
        <v>42</v>
      </c>
      <c r="C45" s="125" t="s">
        <v>796</v>
      </c>
      <c r="D45" s="73">
        <v>69.900000000000006</v>
      </c>
      <c r="E45" s="198">
        <f t="shared" si="0"/>
        <v>69.900000000000006</v>
      </c>
      <c r="F45" s="199">
        <v>7</v>
      </c>
      <c r="G45" s="200">
        <f t="shared" si="1"/>
        <v>285714.28571428574</v>
      </c>
      <c r="H45" s="198">
        <f t="shared" si="4"/>
        <v>489.30000000000007</v>
      </c>
      <c r="I45" s="185">
        <f t="shared" si="2"/>
        <v>2.9475903614457839E-4</v>
      </c>
      <c r="J45" s="185">
        <f t="shared" si="3"/>
        <v>2.4465000000000001E-4</v>
      </c>
    </row>
    <row r="46" spans="2:10">
      <c r="B46" s="16">
        <v>43</v>
      </c>
      <c r="C46" s="125" t="s">
        <v>774</v>
      </c>
      <c r="D46" s="73">
        <v>69</v>
      </c>
      <c r="E46" s="198">
        <f t="shared" si="0"/>
        <v>69</v>
      </c>
      <c r="F46" s="199">
        <v>7</v>
      </c>
      <c r="G46" s="200">
        <f t="shared" si="1"/>
        <v>285714.28571428574</v>
      </c>
      <c r="H46" s="198">
        <f t="shared" si="4"/>
        <v>483</v>
      </c>
      <c r="I46" s="185">
        <f t="shared" si="2"/>
        <v>2.9096385542168681E-4</v>
      </c>
      <c r="J46" s="185">
        <f t="shared" si="3"/>
        <v>2.4149999999999999E-4</v>
      </c>
    </row>
    <row r="47" spans="2:10">
      <c r="B47" s="16">
        <v>44</v>
      </c>
      <c r="C47" s="125" t="s">
        <v>795</v>
      </c>
      <c r="D47" s="73">
        <v>69</v>
      </c>
      <c r="E47" s="198">
        <f t="shared" si="0"/>
        <v>69</v>
      </c>
      <c r="F47" s="199">
        <v>7</v>
      </c>
      <c r="G47" s="200">
        <f t="shared" si="1"/>
        <v>285714.28571428574</v>
      </c>
      <c r="H47" s="198">
        <f t="shared" si="4"/>
        <v>483</v>
      </c>
      <c r="I47" s="185">
        <f t="shared" si="2"/>
        <v>2.9096385542168681E-4</v>
      </c>
      <c r="J47" s="185">
        <f t="shared" si="3"/>
        <v>2.4149999999999999E-4</v>
      </c>
    </row>
    <row r="48" spans="2:10">
      <c r="B48" s="16">
        <v>45</v>
      </c>
      <c r="C48" s="125" t="s">
        <v>675</v>
      </c>
      <c r="D48" s="73">
        <v>68</v>
      </c>
      <c r="E48" s="198">
        <f t="shared" si="0"/>
        <v>68</v>
      </c>
      <c r="F48" s="199">
        <v>84</v>
      </c>
      <c r="G48" s="200">
        <f t="shared" si="1"/>
        <v>23809.523809523809</v>
      </c>
      <c r="H48" s="198">
        <f t="shared" si="4"/>
        <v>5712</v>
      </c>
      <c r="I48" s="185">
        <f t="shared" si="2"/>
        <v>3.4409638554216871E-3</v>
      </c>
      <c r="J48" s="185">
        <f t="shared" si="3"/>
        <v>2.856E-3</v>
      </c>
    </row>
    <row r="49" spans="2:10">
      <c r="B49" s="16">
        <v>46</v>
      </c>
      <c r="C49" s="125" t="s">
        <v>771</v>
      </c>
      <c r="D49" s="73">
        <v>67</v>
      </c>
      <c r="E49" s="198">
        <f t="shared" si="0"/>
        <v>67</v>
      </c>
      <c r="F49" s="199">
        <v>73</v>
      </c>
      <c r="G49" s="200">
        <f t="shared" si="1"/>
        <v>27397.260273972603</v>
      </c>
      <c r="H49" s="198">
        <f t="shared" si="4"/>
        <v>4891</v>
      </c>
      <c r="I49" s="185">
        <f t="shared" si="2"/>
        <v>2.9463855421686751E-3</v>
      </c>
      <c r="J49" s="185">
        <f t="shared" si="3"/>
        <v>2.4455000000000002E-3</v>
      </c>
    </row>
    <row r="50" spans="2:10">
      <c r="B50" s="16">
        <v>47</v>
      </c>
      <c r="C50" s="111" t="s">
        <v>698</v>
      </c>
      <c r="D50" s="73">
        <v>66.900000000000006</v>
      </c>
      <c r="E50" s="198">
        <f t="shared" si="0"/>
        <v>66.900000000000006</v>
      </c>
      <c r="F50" s="199">
        <v>5</v>
      </c>
      <c r="G50" s="200">
        <f t="shared" si="1"/>
        <v>400000</v>
      </c>
      <c r="H50" s="198">
        <f t="shared" si="4"/>
        <v>334.5</v>
      </c>
      <c r="I50" s="185">
        <f t="shared" si="2"/>
        <v>2.0150602409638556E-4</v>
      </c>
      <c r="J50" s="185">
        <f t="shared" si="3"/>
        <v>1.6725E-4</v>
      </c>
    </row>
    <row r="51" spans="2:10">
      <c r="B51" s="16">
        <v>48</v>
      </c>
      <c r="C51" s="111" t="s">
        <v>701</v>
      </c>
      <c r="D51" s="73">
        <v>66.5</v>
      </c>
      <c r="E51" s="198">
        <f t="shared" si="0"/>
        <v>66.5</v>
      </c>
      <c r="F51" s="199">
        <v>5</v>
      </c>
      <c r="G51" s="200">
        <f t="shared" si="1"/>
        <v>400000</v>
      </c>
      <c r="H51" s="198">
        <f t="shared" si="4"/>
        <v>332.5</v>
      </c>
      <c r="I51" s="185">
        <f t="shared" si="2"/>
        <v>2.0030120481927713E-4</v>
      </c>
      <c r="J51" s="185">
        <f t="shared" si="3"/>
        <v>1.6625E-4</v>
      </c>
    </row>
    <row r="52" spans="2:10">
      <c r="B52" s="16">
        <v>49</v>
      </c>
      <c r="C52" s="17" t="s">
        <v>748</v>
      </c>
      <c r="D52" s="73">
        <v>65.900000000000006</v>
      </c>
      <c r="E52" s="198">
        <f t="shared" si="0"/>
        <v>65.900000000000006</v>
      </c>
      <c r="F52" s="199">
        <v>3</v>
      </c>
      <c r="G52" s="200">
        <f t="shared" si="1"/>
        <v>666666.66666666663</v>
      </c>
      <c r="H52" s="198">
        <f t="shared" si="4"/>
        <v>197.70000000000002</v>
      </c>
      <c r="I52" s="185">
        <f t="shared" si="2"/>
        <v>1.1909638554216871E-4</v>
      </c>
      <c r="J52" s="185">
        <f t="shared" si="3"/>
        <v>9.8850000000000004E-5</v>
      </c>
    </row>
    <row r="53" spans="2:10">
      <c r="B53" s="16">
        <v>50</v>
      </c>
      <c r="C53" s="111" t="s">
        <v>700</v>
      </c>
      <c r="D53" s="73">
        <v>65.599999999999994</v>
      </c>
      <c r="E53" s="198">
        <f t="shared" si="0"/>
        <v>65.599999999999994</v>
      </c>
      <c r="F53" s="199">
        <v>5</v>
      </c>
      <c r="G53" s="200">
        <f t="shared" si="1"/>
        <v>400000</v>
      </c>
      <c r="H53" s="198">
        <f t="shared" si="4"/>
        <v>328</v>
      </c>
      <c r="I53" s="185">
        <f t="shared" si="2"/>
        <v>1.9759036144578317E-4</v>
      </c>
      <c r="J53" s="185">
        <f t="shared" si="3"/>
        <v>1.64E-4</v>
      </c>
    </row>
    <row r="54" spans="2:10">
      <c r="B54" s="16">
        <v>51</v>
      </c>
      <c r="C54" s="125" t="s">
        <v>647</v>
      </c>
      <c r="D54" s="73">
        <v>65</v>
      </c>
      <c r="E54" s="198">
        <f t="shared" si="0"/>
        <v>65</v>
      </c>
      <c r="F54" s="199">
        <v>5</v>
      </c>
      <c r="G54" s="200">
        <f t="shared" si="1"/>
        <v>400000</v>
      </c>
      <c r="H54" s="198">
        <f t="shared" si="4"/>
        <v>325</v>
      </c>
      <c r="I54" s="185">
        <f t="shared" si="2"/>
        <v>1.957831325301205E-4</v>
      </c>
      <c r="J54" s="185">
        <f t="shared" si="3"/>
        <v>1.6249999999999999E-4</v>
      </c>
    </row>
    <row r="55" spans="2:10">
      <c r="B55" s="16">
        <v>52</v>
      </c>
      <c r="C55" s="125" t="s">
        <v>668</v>
      </c>
      <c r="D55" s="73">
        <v>64</v>
      </c>
      <c r="E55" s="198">
        <f t="shared" si="0"/>
        <v>64</v>
      </c>
      <c r="F55" s="199">
        <v>2</v>
      </c>
      <c r="G55" s="200">
        <f t="shared" si="1"/>
        <v>1000000</v>
      </c>
      <c r="H55" s="198">
        <f t="shared" si="4"/>
        <v>128</v>
      </c>
      <c r="I55" s="185">
        <f t="shared" si="2"/>
        <v>7.7108433734939764E-5</v>
      </c>
      <c r="J55" s="185">
        <f t="shared" si="3"/>
        <v>6.3999999999999997E-5</v>
      </c>
    </row>
    <row r="56" spans="2:10">
      <c r="B56" s="16">
        <v>53</v>
      </c>
      <c r="C56" s="125" t="s">
        <v>783</v>
      </c>
      <c r="D56" s="73">
        <v>63.9</v>
      </c>
      <c r="E56" s="198">
        <f t="shared" si="0"/>
        <v>63.9</v>
      </c>
      <c r="F56" s="199">
        <v>7</v>
      </c>
      <c r="G56" s="200">
        <f t="shared" si="1"/>
        <v>285714.28571428574</v>
      </c>
      <c r="H56" s="198">
        <f t="shared" si="4"/>
        <v>447.3</v>
      </c>
      <c r="I56" s="185">
        <f t="shared" si="2"/>
        <v>2.6945783132530126E-4</v>
      </c>
      <c r="J56" s="185">
        <f t="shared" si="3"/>
        <v>2.2365000000000002E-4</v>
      </c>
    </row>
    <row r="57" spans="2:10">
      <c r="B57" s="16">
        <v>54</v>
      </c>
      <c r="C57" s="17" t="s">
        <v>760</v>
      </c>
      <c r="D57" s="73">
        <v>63.5</v>
      </c>
      <c r="E57" s="198">
        <f t="shared" si="0"/>
        <v>63.5</v>
      </c>
      <c r="F57" s="199">
        <v>7</v>
      </c>
      <c r="G57" s="200">
        <f t="shared" si="1"/>
        <v>285714.28571428574</v>
      </c>
      <c r="H57" s="198">
        <f t="shared" si="4"/>
        <v>444.5</v>
      </c>
      <c r="I57" s="185">
        <f t="shared" si="2"/>
        <v>2.6777108433734942E-4</v>
      </c>
      <c r="J57" s="185">
        <f t="shared" si="3"/>
        <v>2.2225000000000001E-4</v>
      </c>
    </row>
    <row r="58" spans="2:10">
      <c r="B58" s="16">
        <v>55</v>
      </c>
      <c r="C58" s="17" t="s">
        <v>749</v>
      </c>
      <c r="D58" s="73">
        <v>63</v>
      </c>
      <c r="E58" s="198">
        <f t="shared" si="0"/>
        <v>63</v>
      </c>
      <c r="F58" s="199">
        <v>3</v>
      </c>
      <c r="G58" s="200">
        <f t="shared" si="1"/>
        <v>666666.66666666663</v>
      </c>
      <c r="H58" s="198">
        <f t="shared" si="4"/>
        <v>189</v>
      </c>
      <c r="I58" s="185">
        <f t="shared" si="2"/>
        <v>1.13855421686747E-4</v>
      </c>
      <c r="J58" s="185">
        <f t="shared" si="3"/>
        <v>9.4500000000000007E-5</v>
      </c>
    </row>
    <row r="59" spans="2:10">
      <c r="B59" s="16">
        <v>56</v>
      </c>
      <c r="C59" s="17" t="s">
        <v>625</v>
      </c>
      <c r="D59" s="73">
        <v>61</v>
      </c>
      <c r="E59" s="198">
        <f t="shared" si="0"/>
        <v>61</v>
      </c>
      <c r="F59" s="199">
        <v>5</v>
      </c>
      <c r="G59" s="200">
        <f t="shared" si="1"/>
        <v>400000</v>
      </c>
      <c r="H59" s="198">
        <f t="shared" si="4"/>
        <v>305</v>
      </c>
      <c r="I59" s="185">
        <f t="shared" si="2"/>
        <v>1.8373493975903617E-4</v>
      </c>
      <c r="J59" s="185">
        <f t="shared" si="3"/>
        <v>1.5249999999999999E-4</v>
      </c>
    </row>
    <row r="60" spans="2:10">
      <c r="B60" s="16">
        <v>57</v>
      </c>
      <c r="C60" s="17" t="s">
        <v>752</v>
      </c>
      <c r="D60" s="73">
        <v>60.6</v>
      </c>
      <c r="E60" s="198">
        <f t="shared" si="0"/>
        <v>60.6</v>
      </c>
      <c r="F60" s="199">
        <v>8</v>
      </c>
      <c r="G60" s="200">
        <f t="shared" si="1"/>
        <v>250000</v>
      </c>
      <c r="H60" s="198">
        <f t="shared" si="4"/>
        <v>484.8</v>
      </c>
      <c r="I60" s="185">
        <f t="shared" si="2"/>
        <v>2.9204819277108441E-4</v>
      </c>
      <c r="J60" s="185">
        <f t="shared" si="3"/>
        <v>2.4240000000000001E-4</v>
      </c>
    </row>
    <row r="61" spans="2:10">
      <c r="B61" s="16">
        <v>58</v>
      </c>
      <c r="C61" s="125" t="s">
        <v>569</v>
      </c>
      <c r="D61" s="73">
        <v>60</v>
      </c>
      <c r="E61" s="198">
        <f t="shared" si="0"/>
        <v>60</v>
      </c>
      <c r="F61" s="199">
        <v>8</v>
      </c>
      <c r="G61" s="200">
        <f t="shared" si="1"/>
        <v>250000</v>
      </c>
      <c r="H61" s="198">
        <f t="shared" si="4"/>
        <v>480</v>
      </c>
      <c r="I61" s="185">
        <f t="shared" si="2"/>
        <v>2.8915662650602414E-4</v>
      </c>
      <c r="J61" s="185">
        <f t="shared" si="3"/>
        <v>2.4000000000000001E-4</v>
      </c>
    </row>
    <row r="62" spans="2:10">
      <c r="B62" s="16">
        <v>59</v>
      </c>
      <c r="C62" s="125" t="s">
        <v>570</v>
      </c>
      <c r="D62" s="73">
        <v>60</v>
      </c>
      <c r="E62" s="198">
        <f t="shared" si="0"/>
        <v>60</v>
      </c>
      <c r="F62" s="199">
        <v>8</v>
      </c>
      <c r="G62" s="200">
        <f t="shared" si="1"/>
        <v>250000</v>
      </c>
      <c r="H62" s="198">
        <f t="shared" si="4"/>
        <v>480</v>
      </c>
      <c r="I62" s="185">
        <f t="shared" si="2"/>
        <v>2.8915662650602414E-4</v>
      </c>
      <c r="J62" s="185">
        <f t="shared" si="3"/>
        <v>2.4000000000000001E-4</v>
      </c>
    </row>
    <row r="63" spans="2:10">
      <c r="B63" s="16">
        <v>60</v>
      </c>
      <c r="C63" s="125" t="s">
        <v>571</v>
      </c>
      <c r="D63" s="73">
        <v>60</v>
      </c>
      <c r="E63" s="198">
        <f t="shared" si="0"/>
        <v>60</v>
      </c>
      <c r="F63" s="199">
        <v>8</v>
      </c>
      <c r="G63" s="200">
        <f t="shared" si="1"/>
        <v>250000</v>
      </c>
      <c r="H63" s="198">
        <f t="shared" si="4"/>
        <v>480</v>
      </c>
      <c r="I63" s="185">
        <f t="shared" si="2"/>
        <v>2.8915662650602414E-4</v>
      </c>
      <c r="J63" s="185">
        <f t="shared" si="3"/>
        <v>2.4000000000000001E-4</v>
      </c>
    </row>
    <row r="64" spans="2:10">
      <c r="B64" s="16">
        <v>61</v>
      </c>
      <c r="C64" s="125" t="s">
        <v>649</v>
      </c>
      <c r="D64" s="73">
        <v>60</v>
      </c>
      <c r="E64" s="198">
        <f t="shared" si="0"/>
        <v>60</v>
      </c>
      <c r="F64" s="199">
        <v>5</v>
      </c>
      <c r="G64" s="200">
        <f t="shared" si="1"/>
        <v>400000</v>
      </c>
      <c r="H64" s="198">
        <f t="shared" si="4"/>
        <v>300</v>
      </c>
      <c r="I64" s="185">
        <f t="shared" si="2"/>
        <v>1.8072289156626509E-4</v>
      </c>
      <c r="J64" s="185">
        <f t="shared" si="3"/>
        <v>1.4999999999999999E-4</v>
      </c>
    </row>
    <row r="65" spans="2:10">
      <c r="B65" s="16">
        <v>62</v>
      </c>
      <c r="C65" s="125" t="s">
        <v>654</v>
      </c>
      <c r="D65" s="73">
        <v>60</v>
      </c>
      <c r="E65" s="198">
        <f t="shared" si="0"/>
        <v>60</v>
      </c>
      <c r="F65" s="199">
        <v>9</v>
      </c>
      <c r="G65" s="200">
        <f t="shared" si="1"/>
        <v>222222.22222222222</v>
      </c>
      <c r="H65" s="198">
        <f t="shared" si="4"/>
        <v>540</v>
      </c>
      <c r="I65" s="185">
        <f t="shared" si="2"/>
        <v>3.2530120481927716E-4</v>
      </c>
      <c r="J65" s="185">
        <f t="shared" si="3"/>
        <v>2.7E-4</v>
      </c>
    </row>
    <row r="66" spans="2:10">
      <c r="B66" s="16">
        <v>63</v>
      </c>
      <c r="C66" s="17" t="s">
        <v>744</v>
      </c>
      <c r="D66" s="73">
        <v>60</v>
      </c>
      <c r="E66" s="198">
        <f t="shared" si="0"/>
        <v>60</v>
      </c>
      <c r="F66" s="199">
        <v>3</v>
      </c>
      <c r="G66" s="200">
        <f t="shared" si="1"/>
        <v>666666.66666666663</v>
      </c>
      <c r="H66" s="198">
        <f t="shared" si="4"/>
        <v>180</v>
      </c>
      <c r="I66" s="185">
        <f t="shared" si="2"/>
        <v>1.0843373493975904E-4</v>
      </c>
      <c r="J66" s="185">
        <f t="shared" si="3"/>
        <v>9.0000000000000006E-5</v>
      </c>
    </row>
    <row r="67" spans="2:10">
      <c r="B67" s="16">
        <v>64</v>
      </c>
      <c r="C67" s="111" t="s">
        <v>699</v>
      </c>
      <c r="D67" s="73">
        <v>59.9</v>
      </c>
      <c r="E67" s="198">
        <f t="shared" si="0"/>
        <v>59.9</v>
      </c>
      <c r="F67" s="199">
        <v>5</v>
      </c>
      <c r="G67" s="200">
        <f t="shared" si="1"/>
        <v>400000</v>
      </c>
      <c r="H67" s="198">
        <f t="shared" si="4"/>
        <v>299.5</v>
      </c>
      <c r="I67" s="185">
        <f t="shared" si="2"/>
        <v>1.8042168674698797E-4</v>
      </c>
      <c r="J67" s="185">
        <f t="shared" si="3"/>
        <v>1.4975000000000001E-4</v>
      </c>
    </row>
    <row r="68" spans="2:10">
      <c r="B68" s="16">
        <v>65</v>
      </c>
      <c r="C68" s="125" t="s">
        <v>784</v>
      </c>
      <c r="D68" s="73">
        <v>59</v>
      </c>
      <c r="E68" s="198">
        <f t="shared" ref="E68:E131" si="5">D68*$M$7</f>
        <v>59</v>
      </c>
      <c r="F68" s="199">
        <v>8</v>
      </c>
      <c r="G68" s="200">
        <f t="shared" ref="G68:G131" si="6">$M$6/F68</f>
        <v>250000</v>
      </c>
      <c r="H68" s="198">
        <f t="shared" ref="H68:H131" si="7">F68*E68</f>
        <v>472</v>
      </c>
      <c r="I68" s="185">
        <f t="shared" ref="I68:I131" si="8">H68/$M$9</f>
        <v>2.8433734939759041E-4</v>
      </c>
      <c r="J68" s="185">
        <f t="shared" ref="J68:J131" si="9">H68/$M$8</f>
        <v>2.3599999999999999E-4</v>
      </c>
    </row>
    <row r="69" spans="2:10">
      <c r="B69" s="16">
        <v>66</v>
      </c>
      <c r="C69" s="111" t="s">
        <v>703</v>
      </c>
      <c r="D69" s="73">
        <v>58.6</v>
      </c>
      <c r="E69" s="198">
        <f t="shared" si="5"/>
        <v>58.6</v>
      </c>
      <c r="F69" s="199">
        <v>10</v>
      </c>
      <c r="G69" s="200">
        <f t="shared" si="6"/>
        <v>200000</v>
      </c>
      <c r="H69" s="198">
        <f t="shared" si="7"/>
        <v>586</v>
      </c>
      <c r="I69" s="185">
        <f t="shared" si="8"/>
        <v>3.5301204819277116E-4</v>
      </c>
      <c r="J69" s="185">
        <f t="shared" si="9"/>
        <v>2.9300000000000002E-4</v>
      </c>
    </row>
    <row r="70" spans="2:10">
      <c r="B70" s="16">
        <v>67</v>
      </c>
      <c r="C70" s="125" t="s">
        <v>584</v>
      </c>
      <c r="D70" s="73">
        <v>58</v>
      </c>
      <c r="E70" s="198">
        <f t="shared" si="5"/>
        <v>58</v>
      </c>
      <c r="F70" s="199">
        <v>4</v>
      </c>
      <c r="G70" s="200">
        <f t="shared" si="6"/>
        <v>500000</v>
      </c>
      <c r="H70" s="198">
        <f t="shared" si="7"/>
        <v>232</v>
      </c>
      <c r="I70" s="185">
        <f t="shared" si="8"/>
        <v>1.3975903614457834E-4</v>
      </c>
      <c r="J70" s="185">
        <f t="shared" si="9"/>
        <v>1.16E-4</v>
      </c>
    </row>
    <row r="71" spans="2:10">
      <c r="B71" s="16">
        <v>68</v>
      </c>
      <c r="C71" s="17" t="s">
        <v>634</v>
      </c>
      <c r="D71" s="73">
        <v>58</v>
      </c>
      <c r="E71" s="198">
        <f t="shared" si="5"/>
        <v>58</v>
      </c>
      <c r="F71" s="199">
        <v>10</v>
      </c>
      <c r="G71" s="200">
        <f t="shared" si="6"/>
        <v>200000</v>
      </c>
      <c r="H71" s="198">
        <f t="shared" si="7"/>
        <v>580</v>
      </c>
      <c r="I71" s="185">
        <f t="shared" si="8"/>
        <v>3.4939759036144581E-4</v>
      </c>
      <c r="J71" s="185">
        <f t="shared" si="9"/>
        <v>2.9E-4</v>
      </c>
    </row>
    <row r="72" spans="2:10">
      <c r="B72" s="16">
        <v>69</v>
      </c>
      <c r="C72" s="125" t="s">
        <v>669</v>
      </c>
      <c r="D72" s="73">
        <v>58</v>
      </c>
      <c r="E72" s="198">
        <f t="shared" si="5"/>
        <v>58</v>
      </c>
      <c r="F72" s="199">
        <v>100</v>
      </c>
      <c r="G72" s="200">
        <f t="shared" si="6"/>
        <v>20000</v>
      </c>
      <c r="H72" s="198">
        <f t="shared" si="7"/>
        <v>5800</v>
      </c>
      <c r="I72" s="185">
        <f t="shared" si="8"/>
        <v>3.4939759036144583E-3</v>
      </c>
      <c r="J72" s="185">
        <f t="shared" si="9"/>
        <v>2.8999999999999998E-3</v>
      </c>
    </row>
    <row r="73" spans="2:10">
      <c r="B73" s="16">
        <v>70</v>
      </c>
      <c r="C73" s="17" t="s">
        <v>754</v>
      </c>
      <c r="D73" s="73">
        <v>57.3</v>
      </c>
      <c r="E73" s="198">
        <f t="shared" si="5"/>
        <v>57.3</v>
      </c>
      <c r="F73" s="199">
        <v>3</v>
      </c>
      <c r="G73" s="200">
        <f t="shared" si="6"/>
        <v>666666.66666666663</v>
      </c>
      <c r="H73" s="198">
        <f t="shared" si="7"/>
        <v>171.89999999999998</v>
      </c>
      <c r="I73" s="185">
        <f t="shared" si="8"/>
        <v>1.0355421686746988E-4</v>
      </c>
      <c r="J73" s="185">
        <f t="shared" si="9"/>
        <v>8.5949999999999989E-5</v>
      </c>
    </row>
    <row r="74" spans="2:10">
      <c r="B74" s="16">
        <v>71</v>
      </c>
      <c r="C74" s="125" t="s">
        <v>660</v>
      </c>
      <c r="D74" s="73">
        <v>57</v>
      </c>
      <c r="E74" s="198">
        <f t="shared" si="5"/>
        <v>57</v>
      </c>
      <c r="F74" s="199">
        <v>100</v>
      </c>
      <c r="G74" s="200">
        <f t="shared" si="6"/>
        <v>20000</v>
      </c>
      <c r="H74" s="198">
        <f t="shared" si="7"/>
        <v>5700</v>
      </c>
      <c r="I74" s="185">
        <f t="shared" si="8"/>
        <v>3.4337349397590366E-3</v>
      </c>
      <c r="J74" s="185">
        <f t="shared" si="9"/>
        <v>2.8500000000000001E-3</v>
      </c>
    </row>
    <row r="75" spans="2:10">
      <c r="B75" s="16">
        <v>72</v>
      </c>
      <c r="C75" s="125" t="s">
        <v>776</v>
      </c>
      <c r="D75" s="73">
        <v>57</v>
      </c>
      <c r="E75" s="198">
        <f t="shared" si="5"/>
        <v>57</v>
      </c>
      <c r="F75" s="199">
        <v>8</v>
      </c>
      <c r="G75" s="200">
        <f t="shared" si="6"/>
        <v>250000</v>
      </c>
      <c r="H75" s="198">
        <f t="shared" si="7"/>
        <v>456</v>
      </c>
      <c r="I75" s="185">
        <f t="shared" si="8"/>
        <v>2.7469879518072295E-4</v>
      </c>
      <c r="J75" s="185">
        <f t="shared" si="9"/>
        <v>2.2800000000000001E-4</v>
      </c>
    </row>
    <row r="76" spans="2:10">
      <c r="B76" s="16">
        <v>73</v>
      </c>
      <c r="C76" s="17" t="s">
        <v>616</v>
      </c>
      <c r="D76" s="73">
        <v>56.5</v>
      </c>
      <c r="E76" s="198">
        <f t="shared" si="5"/>
        <v>56.5</v>
      </c>
      <c r="F76" s="199">
        <v>133</v>
      </c>
      <c r="G76" s="200">
        <f t="shared" si="6"/>
        <v>15037.593984962406</v>
      </c>
      <c r="H76" s="198">
        <f t="shared" si="7"/>
        <v>7514.5</v>
      </c>
      <c r="I76" s="185">
        <f t="shared" si="8"/>
        <v>4.5268072289156632E-3</v>
      </c>
      <c r="J76" s="185">
        <f t="shared" si="9"/>
        <v>3.7572500000000002E-3</v>
      </c>
    </row>
    <row r="77" spans="2:10">
      <c r="B77" s="16">
        <v>74</v>
      </c>
      <c r="C77" s="125" t="s">
        <v>670</v>
      </c>
      <c r="D77" s="73">
        <v>56</v>
      </c>
      <c r="E77" s="198">
        <f t="shared" si="5"/>
        <v>56</v>
      </c>
      <c r="F77" s="199">
        <v>106</v>
      </c>
      <c r="G77" s="200">
        <f t="shared" si="6"/>
        <v>18867.924528301886</v>
      </c>
      <c r="H77" s="198">
        <f t="shared" si="7"/>
        <v>5936</v>
      </c>
      <c r="I77" s="185">
        <f t="shared" si="8"/>
        <v>3.5759036144578319E-3</v>
      </c>
      <c r="J77" s="185">
        <f t="shared" si="9"/>
        <v>2.9680000000000002E-3</v>
      </c>
    </row>
    <row r="78" spans="2:10">
      <c r="B78" s="16">
        <v>75</v>
      </c>
      <c r="C78" s="111" t="s">
        <v>705</v>
      </c>
      <c r="D78" s="73">
        <v>56</v>
      </c>
      <c r="E78" s="198">
        <f t="shared" si="5"/>
        <v>56</v>
      </c>
      <c r="F78" s="199">
        <v>10</v>
      </c>
      <c r="G78" s="200">
        <f t="shared" si="6"/>
        <v>200000</v>
      </c>
      <c r="H78" s="198">
        <f t="shared" si="7"/>
        <v>560</v>
      </c>
      <c r="I78" s="185">
        <f t="shared" si="8"/>
        <v>3.3734939759036148E-4</v>
      </c>
      <c r="J78" s="185">
        <f t="shared" si="9"/>
        <v>2.7999999999999998E-4</v>
      </c>
    </row>
    <row r="79" spans="2:10">
      <c r="B79" s="16">
        <v>76</v>
      </c>
      <c r="C79" s="125" t="s">
        <v>778</v>
      </c>
      <c r="D79" s="73">
        <v>56</v>
      </c>
      <c r="E79" s="198">
        <f t="shared" si="5"/>
        <v>56</v>
      </c>
      <c r="F79" s="199">
        <v>8</v>
      </c>
      <c r="G79" s="200">
        <f t="shared" si="6"/>
        <v>250000</v>
      </c>
      <c r="H79" s="198">
        <f t="shared" si="7"/>
        <v>448</v>
      </c>
      <c r="I79" s="185">
        <f t="shared" si="8"/>
        <v>2.6987951807228922E-4</v>
      </c>
      <c r="J79" s="185">
        <f t="shared" si="9"/>
        <v>2.24E-4</v>
      </c>
    </row>
    <row r="80" spans="2:10">
      <c r="B80" s="16">
        <v>77</v>
      </c>
      <c r="C80" s="17" t="s">
        <v>639</v>
      </c>
      <c r="D80" s="73">
        <v>55.5</v>
      </c>
      <c r="E80" s="198">
        <f t="shared" si="5"/>
        <v>55.5</v>
      </c>
      <c r="F80" s="199">
        <v>10</v>
      </c>
      <c r="G80" s="200">
        <f t="shared" si="6"/>
        <v>200000</v>
      </c>
      <c r="H80" s="198">
        <f t="shared" si="7"/>
        <v>555</v>
      </c>
      <c r="I80" s="185">
        <f t="shared" si="8"/>
        <v>3.3433734939759043E-4</v>
      </c>
      <c r="J80" s="185">
        <f t="shared" si="9"/>
        <v>2.7750000000000002E-4</v>
      </c>
    </row>
    <row r="81" spans="2:10">
      <c r="B81" s="16">
        <v>78</v>
      </c>
      <c r="C81" s="17" t="s">
        <v>747</v>
      </c>
      <c r="D81" s="73">
        <v>55.5</v>
      </c>
      <c r="E81" s="198">
        <f t="shared" si="5"/>
        <v>55.5</v>
      </c>
      <c r="F81" s="199">
        <v>3</v>
      </c>
      <c r="G81" s="200">
        <f t="shared" si="6"/>
        <v>666666.66666666663</v>
      </c>
      <c r="H81" s="198">
        <f t="shared" si="7"/>
        <v>166.5</v>
      </c>
      <c r="I81" s="185">
        <f t="shared" si="8"/>
        <v>1.0030120481927713E-4</v>
      </c>
      <c r="J81" s="185">
        <f t="shared" si="9"/>
        <v>8.3250000000000004E-5</v>
      </c>
    </row>
    <row r="82" spans="2:10">
      <c r="B82" s="16">
        <v>79</v>
      </c>
      <c r="C82" s="125" t="s">
        <v>773</v>
      </c>
      <c r="D82" s="73">
        <v>55.3</v>
      </c>
      <c r="E82" s="198">
        <f t="shared" si="5"/>
        <v>55.3</v>
      </c>
      <c r="F82" s="199">
        <v>8</v>
      </c>
      <c r="G82" s="200">
        <f t="shared" si="6"/>
        <v>250000</v>
      </c>
      <c r="H82" s="198">
        <f t="shared" si="7"/>
        <v>442.4</v>
      </c>
      <c r="I82" s="185">
        <f t="shared" si="8"/>
        <v>2.6650602409638554E-4</v>
      </c>
      <c r="J82" s="185">
        <f t="shared" si="9"/>
        <v>2.2119999999999998E-4</v>
      </c>
    </row>
    <row r="83" spans="2:10">
      <c r="B83" s="16">
        <v>80</v>
      </c>
      <c r="C83" s="125" t="s">
        <v>650</v>
      </c>
      <c r="D83" s="73">
        <v>55</v>
      </c>
      <c r="E83" s="198">
        <f t="shared" si="5"/>
        <v>55</v>
      </c>
      <c r="F83" s="199">
        <v>101</v>
      </c>
      <c r="G83" s="200">
        <f t="shared" si="6"/>
        <v>19801.980198019803</v>
      </c>
      <c r="H83" s="198">
        <f t="shared" si="7"/>
        <v>5555</v>
      </c>
      <c r="I83" s="185">
        <f t="shared" si="8"/>
        <v>3.3463855421686753E-3</v>
      </c>
      <c r="J83" s="185">
        <f t="shared" si="9"/>
        <v>2.7775E-3</v>
      </c>
    </row>
    <row r="84" spans="2:10">
      <c r="B84" s="16">
        <v>81</v>
      </c>
      <c r="C84" s="125" t="s">
        <v>671</v>
      </c>
      <c r="D84" s="73">
        <v>55</v>
      </c>
      <c r="E84" s="198">
        <f t="shared" si="5"/>
        <v>55</v>
      </c>
      <c r="F84" s="199">
        <v>101</v>
      </c>
      <c r="G84" s="200">
        <f t="shared" si="6"/>
        <v>19801.980198019803</v>
      </c>
      <c r="H84" s="198">
        <f t="shared" si="7"/>
        <v>5555</v>
      </c>
      <c r="I84" s="185">
        <f t="shared" si="8"/>
        <v>3.3463855421686753E-3</v>
      </c>
      <c r="J84" s="185">
        <f t="shared" si="9"/>
        <v>2.7775E-3</v>
      </c>
    </row>
    <row r="85" spans="2:10">
      <c r="B85" s="16">
        <v>82</v>
      </c>
      <c r="C85" s="17" t="s">
        <v>732</v>
      </c>
      <c r="D85" s="73">
        <v>55</v>
      </c>
      <c r="E85" s="198">
        <f t="shared" si="5"/>
        <v>55</v>
      </c>
      <c r="F85" s="199">
        <v>8</v>
      </c>
      <c r="G85" s="200">
        <f t="shared" si="6"/>
        <v>250000</v>
      </c>
      <c r="H85" s="198">
        <f t="shared" si="7"/>
        <v>440</v>
      </c>
      <c r="I85" s="185">
        <f t="shared" si="8"/>
        <v>2.6506024096385544E-4</v>
      </c>
      <c r="J85" s="185">
        <f t="shared" si="9"/>
        <v>2.2000000000000001E-4</v>
      </c>
    </row>
    <row r="86" spans="2:10">
      <c r="B86" s="16">
        <v>83</v>
      </c>
      <c r="C86" s="17" t="s">
        <v>632</v>
      </c>
      <c r="D86" s="73">
        <v>54.5</v>
      </c>
      <c r="E86" s="198">
        <f t="shared" si="5"/>
        <v>54.5</v>
      </c>
      <c r="F86" s="199">
        <v>14</v>
      </c>
      <c r="G86" s="200">
        <f t="shared" si="6"/>
        <v>142857.14285714287</v>
      </c>
      <c r="H86" s="198">
        <f t="shared" si="7"/>
        <v>763</v>
      </c>
      <c r="I86" s="185">
        <f t="shared" si="8"/>
        <v>4.5963855421686755E-4</v>
      </c>
      <c r="J86" s="185">
        <f t="shared" si="9"/>
        <v>3.815E-4</v>
      </c>
    </row>
    <row r="87" spans="2:10">
      <c r="B87" s="16">
        <v>84</v>
      </c>
      <c r="C87" s="17" t="s">
        <v>763</v>
      </c>
      <c r="D87" s="73">
        <v>54.5</v>
      </c>
      <c r="E87" s="198">
        <f t="shared" si="5"/>
        <v>54.5</v>
      </c>
      <c r="F87" s="199">
        <v>9</v>
      </c>
      <c r="G87" s="200">
        <f t="shared" si="6"/>
        <v>222222.22222222222</v>
      </c>
      <c r="H87" s="198">
        <f t="shared" si="7"/>
        <v>490.5</v>
      </c>
      <c r="I87" s="185">
        <f t="shared" si="8"/>
        <v>2.9548192771084342E-4</v>
      </c>
      <c r="J87" s="185">
        <f t="shared" si="9"/>
        <v>2.4525000000000003E-4</v>
      </c>
    </row>
    <row r="88" spans="2:10">
      <c r="B88" s="16">
        <v>85</v>
      </c>
      <c r="C88" s="125" t="s">
        <v>672</v>
      </c>
      <c r="D88" s="73">
        <v>53</v>
      </c>
      <c r="E88" s="198">
        <f t="shared" si="5"/>
        <v>53</v>
      </c>
      <c r="F88" s="199">
        <v>113</v>
      </c>
      <c r="G88" s="200">
        <f t="shared" si="6"/>
        <v>17699.115044247788</v>
      </c>
      <c r="H88" s="198">
        <f t="shared" si="7"/>
        <v>5989</v>
      </c>
      <c r="I88" s="185">
        <f t="shared" si="8"/>
        <v>3.6078313253012054E-3</v>
      </c>
      <c r="J88" s="185">
        <f t="shared" si="9"/>
        <v>2.9945000000000002E-3</v>
      </c>
    </row>
    <row r="89" spans="2:10">
      <c r="B89" s="16">
        <v>86</v>
      </c>
      <c r="C89" s="125" t="s">
        <v>793</v>
      </c>
      <c r="D89" s="73">
        <v>52.099999999999994</v>
      </c>
      <c r="E89" s="198">
        <f t="shared" si="5"/>
        <v>52.099999999999994</v>
      </c>
      <c r="F89" s="199">
        <v>9</v>
      </c>
      <c r="G89" s="200">
        <f t="shared" si="6"/>
        <v>222222.22222222222</v>
      </c>
      <c r="H89" s="198">
        <f t="shared" si="7"/>
        <v>468.9</v>
      </c>
      <c r="I89" s="185">
        <f t="shared" si="8"/>
        <v>2.8246987951807234E-4</v>
      </c>
      <c r="J89" s="185">
        <f t="shared" si="9"/>
        <v>2.3444999999999998E-4</v>
      </c>
    </row>
    <row r="90" spans="2:10">
      <c r="B90" s="16">
        <v>87</v>
      </c>
      <c r="C90" s="17" t="s">
        <v>511</v>
      </c>
      <c r="D90" s="73">
        <v>52</v>
      </c>
      <c r="E90" s="198">
        <f t="shared" si="5"/>
        <v>52</v>
      </c>
      <c r="F90" s="199">
        <v>2</v>
      </c>
      <c r="G90" s="200">
        <f t="shared" si="6"/>
        <v>1000000</v>
      </c>
      <c r="H90" s="198">
        <f t="shared" si="7"/>
        <v>104</v>
      </c>
      <c r="I90" s="185">
        <f t="shared" si="8"/>
        <v>6.2650602409638562E-5</v>
      </c>
      <c r="J90" s="185">
        <f t="shared" si="9"/>
        <v>5.1999999999999997E-5</v>
      </c>
    </row>
    <row r="91" spans="2:10">
      <c r="B91" s="16">
        <v>88</v>
      </c>
      <c r="C91" s="17" t="s">
        <v>607</v>
      </c>
      <c r="D91" s="73">
        <v>52</v>
      </c>
      <c r="E91" s="198">
        <f t="shared" si="5"/>
        <v>52</v>
      </c>
      <c r="F91" s="199">
        <v>20</v>
      </c>
      <c r="G91" s="200">
        <f t="shared" si="6"/>
        <v>100000</v>
      </c>
      <c r="H91" s="198">
        <f t="shared" si="7"/>
        <v>1040</v>
      </c>
      <c r="I91" s="185">
        <f t="shared" si="8"/>
        <v>6.2650602409638568E-4</v>
      </c>
      <c r="J91" s="185">
        <f t="shared" si="9"/>
        <v>5.1999999999999995E-4</v>
      </c>
    </row>
    <row r="92" spans="2:10">
      <c r="B92" s="16">
        <v>89</v>
      </c>
      <c r="C92" s="17" t="s">
        <v>635</v>
      </c>
      <c r="D92" s="73">
        <v>52</v>
      </c>
      <c r="E92" s="198">
        <f t="shared" si="5"/>
        <v>52</v>
      </c>
      <c r="F92" s="199">
        <v>10</v>
      </c>
      <c r="G92" s="200">
        <f t="shared" si="6"/>
        <v>200000</v>
      </c>
      <c r="H92" s="198">
        <f t="shared" si="7"/>
        <v>520</v>
      </c>
      <c r="I92" s="185">
        <f t="shared" si="8"/>
        <v>3.1325301204819284E-4</v>
      </c>
      <c r="J92" s="185">
        <f t="shared" si="9"/>
        <v>2.5999999999999998E-4</v>
      </c>
    </row>
    <row r="93" spans="2:10">
      <c r="B93" s="16">
        <v>90</v>
      </c>
      <c r="C93" s="125" t="s">
        <v>676</v>
      </c>
      <c r="D93" s="73">
        <v>52</v>
      </c>
      <c r="E93" s="198">
        <f t="shared" si="5"/>
        <v>52</v>
      </c>
      <c r="F93" s="199">
        <v>116</v>
      </c>
      <c r="G93" s="200">
        <f t="shared" si="6"/>
        <v>17241.379310344826</v>
      </c>
      <c r="H93" s="198">
        <f t="shared" si="7"/>
        <v>6032</v>
      </c>
      <c r="I93" s="185">
        <f t="shared" si="8"/>
        <v>3.6337349397590367E-3</v>
      </c>
      <c r="J93" s="185">
        <f t="shared" si="9"/>
        <v>3.016E-3</v>
      </c>
    </row>
    <row r="94" spans="2:10">
      <c r="B94" s="16">
        <v>91</v>
      </c>
      <c r="C94" s="17" t="s">
        <v>728</v>
      </c>
      <c r="D94" s="73">
        <v>51.9</v>
      </c>
      <c r="E94" s="198">
        <f t="shared" si="5"/>
        <v>51.9</v>
      </c>
      <c r="F94" s="199">
        <v>9</v>
      </c>
      <c r="G94" s="200">
        <f t="shared" si="6"/>
        <v>222222.22222222222</v>
      </c>
      <c r="H94" s="198">
        <f t="shared" si="7"/>
        <v>467.09999999999997</v>
      </c>
      <c r="I94" s="185">
        <f t="shared" si="8"/>
        <v>2.8138554216867469E-4</v>
      </c>
      <c r="J94" s="185">
        <f t="shared" si="9"/>
        <v>2.3354999999999998E-4</v>
      </c>
    </row>
    <row r="95" spans="2:10">
      <c r="B95" s="16">
        <v>92</v>
      </c>
      <c r="C95" s="17" t="s">
        <v>750</v>
      </c>
      <c r="D95" s="73">
        <v>51.599999999999994</v>
      </c>
      <c r="E95" s="198">
        <f t="shared" si="5"/>
        <v>51.599999999999994</v>
      </c>
      <c r="F95" s="199">
        <v>3</v>
      </c>
      <c r="G95" s="200">
        <f t="shared" si="6"/>
        <v>666666.66666666663</v>
      </c>
      <c r="H95" s="198">
        <f t="shared" si="7"/>
        <v>154.79999999999998</v>
      </c>
      <c r="I95" s="185">
        <f t="shared" si="8"/>
        <v>9.3253012048192776E-5</v>
      </c>
      <c r="J95" s="185">
        <f t="shared" si="9"/>
        <v>7.7399999999999998E-5</v>
      </c>
    </row>
    <row r="96" spans="2:10">
      <c r="B96" s="16">
        <v>93</v>
      </c>
      <c r="C96" s="17" t="s">
        <v>623</v>
      </c>
      <c r="D96" s="73">
        <v>51.5</v>
      </c>
      <c r="E96" s="198">
        <f t="shared" si="5"/>
        <v>51.5</v>
      </c>
      <c r="F96" s="199">
        <v>17</v>
      </c>
      <c r="G96" s="200">
        <f t="shared" si="6"/>
        <v>117647.05882352941</v>
      </c>
      <c r="H96" s="198">
        <f t="shared" si="7"/>
        <v>875.5</v>
      </c>
      <c r="I96" s="185">
        <f t="shared" si="8"/>
        <v>5.2740963855421694E-4</v>
      </c>
      <c r="J96" s="185">
        <f t="shared" si="9"/>
        <v>4.3774999999999999E-4</v>
      </c>
    </row>
    <row r="97" spans="2:10">
      <c r="B97" s="16">
        <v>94</v>
      </c>
      <c r="C97" s="125" t="s">
        <v>794</v>
      </c>
      <c r="D97" s="73">
        <v>51.3</v>
      </c>
      <c r="E97" s="198">
        <f t="shared" si="5"/>
        <v>51.3</v>
      </c>
      <c r="F97" s="199">
        <v>9</v>
      </c>
      <c r="G97" s="200">
        <f t="shared" si="6"/>
        <v>222222.22222222222</v>
      </c>
      <c r="H97" s="198">
        <f t="shared" si="7"/>
        <v>461.7</v>
      </c>
      <c r="I97" s="185">
        <f t="shared" si="8"/>
        <v>2.7813253012048196E-4</v>
      </c>
      <c r="J97" s="185">
        <f t="shared" si="9"/>
        <v>2.3085E-4</v>
      </c>
    </row>
    <row r="98" spans="2:10">
      <c r="B98" s="16">
        <v>95</v>
      </c>
      <c r="C98" s="17" t="s">
        <v>606</v>
      </c>
      <c r="D98" s="73">
        <v>51</v>
      </c>
      <c r="E98" s="198">
        <f t="shared" si="5"/>
        <v>51</v>
      </c>
      <c r="F98" s="199">
        <v>20</v>
      </c>
      <c r="G98" s="200">
        <f t="shared" si="6"/>
        <v>100000</v>
      </c>
      <c r="H98" s="198">
        <f t="shared" si="7"/>
        <v>1020</v>
      </c>
      <c r="I98" s="185">
        <f t="shared" si="8"/>
        <v>6.1445783132530124E-4</v>
      </c>
      <c r="J98" s="185">
        <f t="shared" si="9"/>
        <v>5.1000000000000004E-4</v>
      </c>
    </row>
    <row r="99" spans="2:10">
      <c r="B99" s="16">
        <v>96</v>
      </c>
      <c r="C99" s="17" t="s">
        <v>740</v>
      </c>
      <c r="D99" s="73">
        <v>50.599999999999994</v>
      </c>
      <c r="E99" s="198">
        <f t="shared" si="5"/>
        <v>50.599999999999994</v>
      </c>
      <c r="F99" s="199">
        <v>3</v>
      </c>
      <c r="G99" s="200">
        <f t="shared" si="6"/>
        <v>666666.66666666663</v>
      </c>
      <c r="H99" s="198">
        <f t="shared" si="7"/>
        <v>151.79999999999998</v>
      </c>
      <c r="I99" s="185">
        <f t="shared" si="8"/>
        <v>9.1445783132530127E-5</v>
      </c>
      <c r="J99" s="185">
        <f t="shared" si="9"/>
        <v>7.5899999999999988E-5</v>
      </c>
    </row>
    <row r="100" spans="2:10">
      <c r="B100" s="16">
        <v>97</v>
      </c>
      <c r="C100" s="17" t="s">
        <v>472</v>
      </c>
      <c r="D100" s="73">
        <v>50</v>
      </c>
      <c r="E100" s="198">
        <f t="shared" si="5"/>
        <v>50</v>
      </c>
      <c r="F100" s="199">
        <v>10</v>
      </c>
      <c r="G100" s="200">
        <f t="shared" si="6"/>
        <v>200000</v>
      </c>
      <c r="H100" s="198">
        <f t="shared" si="7"/>
        <v>500</v>
      </c>
      <c r="I100" s="185">
        <f t="shared" si="8"/>
        <v>3.0120481927710846E-4</v>
      </c>
      <c r="J100" s="185">
        <f t="shared" si="9"/>
        <v>2.5000000000000001E-4</v>
      </c>
    </row>
    <row r="101" spans="2:10">
      <c r="B101" s="16">
        <v>98</v>
      </c>
      <c r="C101" s="17" t="s">
        <v>481</v>
      </c>
      <c r="D101" s="73">
        <v>50</v>
      </c>
      <c r="E101" s="198">
        <f t="shared" si="5"/>
        <v>50</v>
      </c>
      <c r="F101" s="199">
        <v>10</v>
      </c>
      <c r="G101" s="200">
        <f t="shared" si="6"/>
        <v>200000</v>
      </c>
      <c r="H101" s="198">
        <f t="shared" si="7"/>
        <v>500</v>
      </c>
      <c r="I101" s="185">
        <f t="shared" si="8"/>
        <v>3.0120481927710846E-4</v>
      </c>
      <c r="J101" s="185">
        <f t="shared" si="9"/>
        <v>2.5000000000000001E-4</v>
      </c>
    </row>
    <row r="102" spans="2:10">
      <c r="B102" s="16">
        <v>99</v>
      </c>
      <c r="C102" s="17" t="s">
        <v>490</v>
      </c>
      <c r="D102" s="73">
        <v>50</v>
      </c>
      <c r="E102" s="198">
        <f t="shared" si="5"/>
        <v>50</v>
      </c>
      <c r="F102" s="199">
        <v>10</v>
      </c>
      <c r="G102" s="200">
        <f t="shared" si="6"/>
        <v>200000</v>
      </c>
      <c r="H102" s="198">
        <f t="shared" si="7"/>
        <v>500</v>
      </c>
      <c r="I102" s="185">
        <f t="shared" si="8"/>
        <v>3.0120481927710846E-4</v>
      </c>
      <c r="J102" s="185">
        <f t="shared" si="9"/>
        <v>2.5000000000000001E-4</v>
      </c>
    </row>
    <row r="103" spans="2:10">
      <c r="B103" s="16">
        <v>100</v>
      </c>
      <c r="C103" s="17" t="s">
        <v>534</v>
      </c>
      <c r="D103" s="73">
        <v>50</v>
      </c>
      <c r="E103" s="198">
        <f t="shared" si="5"/>
        <v>50</v>
      </c>
      <c r="F103" s="199">
        <v>10</v>
      </c>
      <c r="G103" s="200">
        <f t="shared" si="6"/>
        <v>200000</v>
      </c>
      <c r="H103" s="198">
        <f t="shared" si="7"/>
        <v>500</v>
      </c>
      <c r="I103" s="185">
        <f t="shared" si="8"/>
        <v>3.0120481927710846E-4</v>
      </c>
      <c r="J103" s="185">
        <f t="shared" si="9"/>
        <v>2.5000000000000001E-4</v>
      </c>
    </row>
    <row r="104" spans="2:10">
      <c r="B104" s="16">
        <v>101</v>
      </c>
      <c r="C104" s="125" t="s">
        <v>574</v>
      </c>
      <c r="D104" s="73">
        <v>50</v>
      </c>
      <c r="E104" s="198">
        <f t="shared" si="5"/>
        <v>50</v>
      </c>
      <c r="F104" s="199">
        <v>5</v>
      </c>
      <c r="G104" s="200">
        <f t="shared" si="6"/>
        <v>400000</v>
      </c>
      <c r="H104" s="198">
        <f t="shared" si="7"/>
        <v>250</v>
      </c>
      <c r="I104" s="185">
        <f t="shared" si="8"/>
        <v>1.5060240963855423E-4</v>
      </c>
      <c r="J104" s="185">
        <f t="shared" si="9"/>
        <v>1.25E-4</v>
      </c>
    </row>
    <row r="105" spans="2:10">
      <c r="B105" s="16">
        <v>102</v>
      </c>
      <c r="C105" s="17" t="s">
        <v>627</v>
      </c>
      <c r="D105" s="73">
        <v>50</v>
      </c>
      <c r="E105" s="198">
        <f t="shared" si="5"/>
        <v>50</v>
      </c>
      <c r="F105" s="199">
        <v>21</v>
      </c>
      <c r="G105" s="200">
        <f t="shared" si="6"/>
        <v>95238.095238095237</v>
      </c>
      <c r="H105" s="198">
        <f t="shared" si="7"/>
        <v>1050</v>
      </c>
      <c r="I105" s="185">
        <f t="shared" si="8"/>
        <v>6.3253012048192778E-4</v>
      </c>
      <c r="J105" s="185">
        <f t="shared" si="9"/>
        <v>5.2499999999999997E-4</v>
      </c>
    </row>
    <row r="106" spans="2:10">
      <c r="B106" s="16">
        <v>103</v>
      </c>
      <c r="C106" s="125" t="s">
        <v>661</v>
      </c>
      <c r="D106" s="73">
        <v>50</v>
      </c>
      <c r="E106" s="198">
        <f t="shared" si="5"/>
        <v>50</v>
      </c>
      <c r="F106" s="199">
        <v>100</v>
      </c>
      <c r="G106" s="200">
        <f t="shared" si="6"/>
        <v>20000</v>
      </c>
      <c r="H106" s="198">
        <f t="shared" si="7"/>
        <v>5000</v>
      </c>
      <c r="I106" s="185">
        <f t="shared" si="8"/>
        <v>3.0120481927710849E-3</v>
      </c>
      <c r="J106" s="185">
        <f t="shared" si="9"/>
        <v>2.5000000000000001E-3</v>
      </c>
    </row>
    <row r="107" spans="2:10">
      <c r="B107" s="16">
        <v>104</v>
      </c>
      <c r="C107" s="121" t="s">
        <v>807</v>
      </c>
      <c r="D107" s="73">
        <v>50</v>
      </c>
      <c r="E107" s="198">
        <f t="shared" si="5"/>
        <v>50</v>
      </c>
      <c r="F107" s="199">
        <v>600</v>
      </c>
      <c r="G107" s="200">
        <f t="shared" si="6"/>
        <v>3333.3333333333335</v>
      </c>
      <c r="H107" s="198">
        <f t="shared" si="7"/>
        <v>30000</v>
      </c>
      <c r="I107" s="185">
        <f t="shared" si="8"/>
        <v>1.8072289156626509E-2</v>
      </c>
      <c r="J107" s="185">
        <f t="shared" si="9"/>
        <v>1.4999999999999999E-2</v>
      </c>
    </row>
    <row r="108" spans="2:10">
      <c r="B108" s="16">
        <v>105</v>
      </c>
      <c r="C108" s="17" t="s">
        <v>762</v>
      </c>
      <c r="D108" s="73">
        <v>49.3</v>
      </c>
      <c r="E108" s="198">
        <f t="shared" si="5"/>
        <v>49.3</v>
      </c>
      <c r="F108" s="199">
        <v>9</v>
      </c>
      <c r="G108" s="200">
        <f t="shared" si="6"/>
        <v>222222.22222222222</v>
      </c>
      <c r="H108" s="198">
        <f t="shared" si="7"/>
        <v>443.7</v>
      </c>
      <c r="I108" s="185">
        <f t="shared" si="8"/>
        <v>2.6728915662650607E-4</v>
      </c>
      <c r="J108" s="185">
        <f t="shared" si="9"/>
        <v>2.2185E-4</v>
      </c>
    </row>
    <row r="109" spans="2:10">
      <c r="B109" s="16">
        <v>106</v>
      </c>
      <c r="C109" s="17" t="s">
        <v>764</v>
      </c>
      <c r="D109" s="73">
        <v>49.1</v>
      </c>
      <c r="E109" s="198">
        <f t="shared" si="5"/>
        <v>49.1</v>
      </c>
      <c r="F109" s="199">
        <v>9</v>
      </c>
      <c r="G109" s="200">
        <f t="shared" si="6"/>
        <v>222222.22222222222</v>
      </c>
      <c r="H109" s="198">
        <f t="shared" si="7"/>
        <v>441.90000000000003</v>
      </c>
      <c r="I109" s="185">
        <f t="shared" si="8"/>
        <v>2.6620481927710848E-4</v>
      </c>
      <c r="J109" s="185">
        <f t="shared" si="9"/>
        <v>2.2095E-4</v>
      </c>
    </row>
    <row r="110" spans="2:10">
      <c r="B110" s="16">
        <v>107</v>
      </c>
      <c r="C110" s="17" t="s">
        <v>716</v>
      </c>
      <c r="D110" s="73">
        <v>49.099999999999994</v>
      </c>
      <c r="E110" s="198">
        <f t="shared" si="5"/>
        <v>49.099999999999994</v>
      </c>
      <c r="F110" s="199">
        <v>9</v>
      </c>
      <c r="G110" s="200">
        <f t="shared" si="6"/>
        <v>222222.22222222222</v>
      </c>
      <c r="H110" s="198">
        <f t="shared" si="7"/>
        <v>441.9</v>
      </c>
      <c r="I110" s="185">
        <f t="shared" si="8"/>
        <v>2.6620481927710848E-4</v>
      </c>
      <c r="J110" s="185">
        <f t="shared" si="9"/>
        <v>2.2094999999999998E-4</v>
      </c>
    </row>
    <row r="111" spans="2:10">
      <c r="B111" s="16">
        <v>108</v>
      </c>
      <c r="C111" s="125" t="s">
        <v>769</v>
      </c>
      <c r="D111" s="73">
        <v>49</v>
      </c>
      <c r="E111" s="198">
        <f t="shared" si="5"/>
        <v>49</v>
      </c>
      <c r="F111" s="199">
        <v>9</v>
      </c>
      <c r="G111" s="200">
        <f t="shared" si="6"/>
        <v>222222.22222222222</v>
      </c>
      <c r="H111" s="198">
        <f t="shared" si="7"/>
        <v>441</v>
      </c>
      <c r="I111" s="185">
        <f t="shared" si="8"/>
        <v>2.6566265060240968E-4</v>
      </c>
      <c r="J111" s="185">
        <f t="shared" si="9"/>
        <v>2.2049999999999999E-4</v>
      </c>
    </row>
    <row r="112" spans="2:10">
      <c r="B112" s="16">
        <v>109</v>
      </c>
      <c r="C112" s="111" t="s">
        <v>697</v>
      </c>
      <c r="D112" s="73">
        <v>48.900000000000006</v>
      </c>
      <c r="E112" s="198">
        <f t="shared" si="5"/>
        <v>48.900000000000006</v>
      </c>
      <c r="F112" s="199">
        <v>100</v>
      </c>
      <c r="G112" s="200">
        <f t="shared" si="6"/>
        <v>20000</v>
      </c>
      <c r="H112" s="198">
        <f t="shared" si="7"/>
        <v>4890.0000000000009</v>
      </c>
      <c r="I112" s="185">
        <f t="shared" si="8"/>
        <v>2.9457831325301214E-3</v>
      </c>
      <c r="J112" s="185">
        <f t="shared" si="9"/>
        <v>2.4450000000000006E-3</v>
      </c>
    </row>
    <row r="113" spans="2:10">
      <c r="B113" s="16">
        <v>110</v>
      </c>
      <c r="C113" s="125" t="s">
        <v>582</v>
      </c>
      <c r="D113" s="73">
        <v>48</v>
      </c>
      <c r="E113" s="198">
        <f t="shared" si="5"/>
        <v>48</v>
      </c>
      <c r="F113" s="199">
        <v>200</v>
      </c>
      <c r="G113" s="200">
        <f t="shared" si="6"/>
        <v>10000</v>
      </c>
      <c r="H113" s="198">
        <f t="shared" si="7"/>
        <v>9600</v>
      </c>
      <c r="I113" s="185">
        <f t="shared" si="8"/>
        <v>5.783132530120483E-3</v>
      </c>
      <c r="J113" s="185">
        <f t="shared" si="9"/>
        <v>4.7999999999999996E-3</v>
      </c>
    </row>
    <row r="114" spans="2:10">
      <c r="B114" s="16">
        <v>111</v>
      </c>
      <c r="C114" s="17" t="s">
        <v>621</v>
      </c>
      <c r="D114" s="73">
        <v>47</v>
      </c>
      <c r="E114" s="198">
        <f t="shared" si="5"/>
        <v>47</v>
      </c>
      <c r="F114" s="199">
        <v>31</v>
      </c>
      <c r="G114" s="200">
        <f t="shared" si="6"/>
        <v>64516.129032258068</v>
      </c>
      <c r="H114" s="198">
        <f t="shared" si="7"/>
        <v>1457</v>
      </c>
      <c r="I114" s="185">
        <f t="shared" si="8"/>
        <v>8.7771084337349406E-4</v>
      </c>
      <c r="J114" s="185">
        <f t="shared" si="9"/>
        <v>7.2849999999999998E-4</v>
      </c>
    </row>
    <row r="115" spans="2:10">
      <c r="B115" s="16">
        <v>112</v>
      </c>
      <c r="C115" s="17" t="s">
        <v>630</v>
      </c>
      <c r="D115" s="73">
        <v>47</v>
      </c>
      <c r="E115" s="198">
        <f t="shared" si="5"/>
        <v>47</v>
      </c>
      <c r="F115" s="199">
        <v>21</v>
      </c>
      <c r="G115" s="200">
        <f t="shared" si="6"/>
        <v>95238.095238095237</v>
      </c>
      <c r="H115" s="198">
        <f t="shared" si="7"/>
        <v>987</v>
      </c>
      <c r="I115" s="185">
        <f t="shared" si="8"/>
        <v>5.9457831325301208E-4</v>
      </c>
      <c r="J115" s="185">
        <f t="shared" si="9"/>
        <v>4.9350000000000002E-4</v>
      </c>
    </row>
    <row r="116" spans="2:10">
      <c r="B116" s="16">
        <v>113</v>
      </c>
      <c r="C116" s="125" t="s">
        <v>790</v>
      </c>
      <c r="D116" s="73">
        <v>47</v>
      </c>
      <c r="E116" s="198">
        <f t="shared" si="5"/>
        <v>47</v>
      </c>
      <c r="F116" s="199">
        <v>100</v>
      </c>
      <c r="G116" s="200">
        <f t="shared" si="6"/>
        <v>20000</v>
      </c>
      <c r="H116" s="198">
        <f t="shared" si="7"/>
        <v>4700</v>
      </c>
      <c r="I116" s="185">
        <f t="shared" si="8"/>
        <v>2.8313253012048198E-3</v>
      </c>
      <c r="J116" s="185">
        <f t="shared" si="9"/>
        <v>2.3500000000000001E-3</v>
      </c>
    </row>
    <row r="117" spans="2:10">
      <c r="B117" s="16">
        <v>114</v>
      </c>
      <c r="C117" s="111" t="s">
        <v>708</v>
      </c>
      <c r="D117" s="73">
        <v>46.9</v>
      </c>
      <c r="E117" s="198">
        <f t="shared" si="5"/>
        <v>46.9</v>
      </c>
      <c r="F117" s="199">
        <v>100</v>
      </c>
      <c r="G117" s="200">
        <f t="shared" si="6"/>
        <v>20000</v>
      </c>
      <c r="H117" s="198">
        <f t="shared" si="7"/>
        <v>4690</v>
      </c>
      <c r="I117" s="185">
        <f t="shared" si="8"/>
        <v>2.8253012048192775E-3</v>
      </c>
      <c r="J117" s="185">
        <f t="shared" si="9"/>
        <v>2.3449999999999999E-3</v>
      </c>
    </row>
    <row r="118" spans="2:10">
      <c r="B118" s="16">
        <v>115</v>
      </c>
      <c r="C118" s="17" t="s">
        <v>756</v>
      </c>
      <c r="D118" s="73">
        <v>46.4</v>
      </c>
      <c r="E118" s="198">
        <f t="shared" si="5"/>
        <v>46.4</v>
      </c>
      <c r="F118" s="199">
        <v>10</v>
      </c>
      <c r="G118" s="200">
        <f t="shared" si="6"/>
        <v>200000</v>
      </c>
      <c r="H118" s="198">
        <f t="shared" si="7"/>
        <v>464</v>
      </c>
      <c r="I118" s="185">
        <f t="shared" si="8"/>
        <v>2.7951807228915668E-4</v>
      </c>
      <c r="J118" s="185">
        <f t="shared" si="9"/>
        <v>2.32E-4</v>
      </c>
    </row>
    <row r="119" spans="2:10">
      <c r="B119" s="16">
        <v>116</v>
      </c>
      <c r="C119" s="17" t="s">
        <v>745</v>
      </c>
      <c r="D119" s="73">
        <v>45.6</v>
      </c>
      <c r="E119" s="198">
        <f t="shared" si="5"/>
        <v>45.6</v>
      </c>
      <c r="F119" s="199">
        <v>50</v>
      </c>
      <c r="G119" s="200">
        <f t="shared" si="6"/>
        <v>40000</v>
      </c>
      <c r="H119" s="198">
        <f t="shared" si="7"/>
        <v>2280</v>
      </c>
      <c r="I119" s="185">
        <f t="shared" si="8"/>
        <v>1.3734939759036146E-3</v>
      </c>
      <c r="J119" s="185">
        <f t="shared" si="9"/>
        <v>1.14E-3</v>
      </c>
    </row>
    <row r="120" spans="2:10">
      <c r="B120" s="16">
        <v>117</v>
      </c>
      <c r="C120" s="17" t="s">
        <v>620</v>
      </c>
      <c r="D120" s="73">
        <v>45</v>
      </c>
      <c r="E120" s="198">
        <f t="shared" si="5"/>
        <v>45</v>
      </c>
      <c r="F120" s="199">
        <v>39</v>
      </c>
      <c r="G120" s="200">
        <f t="shared" si="6"/>
        <v>51282.051282051281</v>
      </c>
      <c r="H120" s="198">
        <f t="shared" si="7"/>
        <v>1755</v>
      </c>
      <c r="I120" s="185">
        <f t="shared" si="8"/>
        <v>1.0572289156626509E-3</v>
      </c>
      <c r="J120" s="185">
        <f t="shared" si="9"/>
        <v>8.7750000000000002E-4</v>
      </c>
    </row>
    <row r="121" spans="2:10">
      <c r="B121" s="16">
        <v>118</v>
      </c>
      <c r="C121" s="125" t="s">
        <v>646</v>
      </c>
      <c r="D121" s="73">
        <v>45</v>
      </c>
      <c r="E121" s="198">
        <f t="shared" si="5"/>
        <v>45</v>
      </c>
      <c r="F121" s="199">
        <v>100</v>
      </c>
      <c r="G121" s="200">
        <f t="shared" si="6"/>
        <v>20000</v>
      </c>
      <c r="H121" s="198">
        <f t="shared" si="7"/>
        <v>4500</v>
      </c>
      <c r="I121" s="185">
        <f t="shared" si="8"/>
        <v>2.7108433734939763E-3</v>
      </c>
      <c r="J121" s="185">
        <f t="shared" si="9"/>
        <v>2.2499999999999998E-3</v>
      </c>
    </row>
    <row r="122" spans="2:10">
      <c r="B122" s="16">
        <v>119</v>
      </c>
      <c r="C122" s="17" t="s">
        <v>765</v>
      </c>
      <c r="D122" s="73">
        <v>45</v>
      </c>
      <c r="E122" s="198">
        <f t="shared" si="5"/>
        <v>45</v>
      </c>
      <c r="F122" s="199">
        <v>10</v>
      </c>
      <c r="G122" s="200">
        <f t="shared" si="6"/>
        <v>200000</v>
      </c>
      <c r="H122" s="198">
        <f t="shared" si="7"/>
        <v>450</v>
      </c>
      <c r="I122" s="185">
        <f t="shared" si="8"/>
        <v>2.7108433734939765E-4</v>
      </c>
      <c r="J122" s="185">
        <f t="shared" si="9"/>
        <v>2.2499999999999999E-4</v>
      </c>
    </row>
    <row r="123" spans="2:10">
      <c r="B123" s="16">
        <v>120</v>
      </c>
      <c r="C123" s="17" t="s">
        <v>738</v>
      </c>
      <c r="D123" s="73">
        <v>44.9</v>
      </c>
      <c r="E123" s="198">
        <f t="shared" si="5"/>
        <v>44.9</v>
      </c>
      <c r="F123" s="199">
        <v>10</v>
      </c>
      <c r="G123" s="200">
        <f t="shared" si="6"/>
        <v>200000</v>
      </c>
      <c r="H123" s="198">
        <f t="shared" si="7"/>
        <v>449</v>
      </c>
      <c r="I123" s="185">
        <f t="shared" si="8"/>
        <v>2.7048192771084341E-4</v>
      </c>
      <c r="J123" s="185">
        <f t="shared" si="9"/>
        <v>2.2450000000000001E-4</v>
      </c>
    </row>
    <row r="124" spans="2:10">
      <c r="B124" s="16">
        <v>121</v>
      </c>
      <c r="C124" s="111" t="s">
        <v>706</v>
      </c>
      <c r="D124" s="73">
        <v>44.1</v>
      </c>
      <c r="E124" s="198">
        <f t="shared" si="5"/>
        <v>44.1</v>
      </c>
      <c r="F124" s="199">
        <v>14</v>
      </c>
      <c r="G124" s="200">
        <f t="shared" si="6"/>
        <v>142857.14285714287</v>
      </c>
      <c r="H124" s="198">
        <f t="shared" si="7"/>
        <v>617.4</v>
      </c>
      <c r="I124" s="185">
        <f t="shared" si="8"/>
        <v>3.7192771084337351E-4</v>
      </c>
      <c r="J124" s="185">
        <f t="shared" si="9"/>
        <v>3.0869999999999997E-4</v>
      </c>
    </row>
    <row r="125" spans="2:10">
      <c r="B125" s="16">
        <v>122</v>
      </c>
      <c r="C125" s="111" t="s">
        <v>687</v>
      </c>
      <c r="D125" s="73">
        <v>44.099999999999994</v>
      </c>
      <c r="E125" s="198">
        <f t="shared" si="5"/>
        <v>44.099999999999994</v>
      </c>
      <c r="F125" s="199">
        <v>100</v>
      </c>
      <c r="G125" s="200">
        <f t="shared" si="6"/>
        <v>20000</v>
      </c>
      <c r="H125" s="198">
        <f t="shared" si="7"/>
        <v>4409.9999999999991</v>
      </c>
      <c r="I125" s="185">
        <f t="shared" si="8"/>
        <v>2.6566265060240964E-3</v>
      </c>
      <c r="J125" s="185">
        <f t="shared" si="9"/>
        <v>2.2049999999999995E-3</v>
      </c>
    </row>
    <row r="126" spans="2:10">
      <c r="B126" s="16">
        <v>123</v>
      </c>
      <c r="C126" s="125" t="s">
        <v>575</v>
      </c>
      <c r="D126" s="73">
        <v>44</v>
      </c>
      <c r="E126" s="198">
        <f t="shared" si="5"/>
        <v>44</v>
      </c>
      <c r="F126" s="199">
        <v>110</v>
      </c>
      <c r="G126" s="200">
        <f t="shared" si="6"/>
        <v>18181.81818181818</v>
      </c>
      <c r="H126" s="198">
        <f t="shared" si="7"/>
        <v>4840</v>
      </c>
      <c r="I126" s="185">
        <f t="shared" si="8"/>
        <v>2.9156626506024099E-3</v>
      </c>
      <c r="J126" s="185">
        <f t="shared" si="9"/>
        <v>2.4199999999999998E-3</v>
      </c>
    </row>
    <row r="127" spans="2:10">
      <c r="B127" s="16">
        <v>124</v>
      </c>
      <c r="C127" s="17" t="s">
        <v>714</v>
      </c>
      <c r="D127" s="73">
        <v>43.4</v>
      </c>
      <c r="E127" s="198">
        <f t="shared" si="5"/>
        <v>43.4</v>
      </c>
      <c r="F127" s="199">
        <v>11</v>
      </c>
      <c r="G127" s="200">
        <f t="shared" si="6"/>
        <v>181818.18181818182</v>
      </c>
      <c r="H127" s="198">
        <f t="shared" si="7"/>
        <v>477.4</v>
      </c>
      <c r="I127" s="185">
        <f t="shared" si="8"/>
        <v>2.8759036144578314E-4</v>
      </c>
      <c r="J127" s="185">
        <f t="shared" si="9"/>
        <v>2.387E-4</v>
      </c>
    </row>
    <row r="128" spans="2:10">
      <c r="B128" s="16">
        <v>125</v>
      </c>
      <c r="C128" s="17" t="s">
        <v>641</v>
      </c>
      <c r="D128" s="73">
        <v>43</v>
      </c>
      <c r="E128" s="198">
        <f t="shared" si="5"/>
        <v>43</v>
      </c>
      <c r="F128" s="199">
        <v>17</v>
      </c>
      <c r="G128" s="200">
        <f t="shared" si="6"/>
        <v>117647.05882352941</v>
      </c>
      <c r="H128" s="198">
        <f t="shared" si="7"/>
        <v>731</v>
      </c>
      <c r="I128" s="185">
        <f t="shared" si="8"/>
        <v>4.4036144578313258E-4</v>
      </c>
      <c r="J128" s="185">
        <f t="shared" si="9"/>
        <v>3.6549999999999999E-4</v>
      </c>
    </row>
    <row r="129" spans="2:10">
      <c r="B129" s="16">
        <v>126</v>
      </c>
      <c r="C129" s="17" t="s">
        <v>759</v>
      </c>
      <c r="D129" s="73">
        <v>43</v>
      </c>
      <c r="E129" s="198">
        <f t="shared" si="5"/>
        <v>43</v>
      </c>
      <c r="F129" s="199">
        <v>11</v>
      </c>
      <c r="G129" s="200">
        <f t="shared" si="6"/>
        <v>181818.18181818182</v>
      </c>
      <c r="H129" s="198">
        <f t="shared" si="7"/>
        <v>473</v>
      </c>
      <c r="I129" s="185">
        <f t="shared" si="8"/>
        <v>2.849397590361446E-4</v>
      </c>
      <c r="J129" s="185">
        <f t="shared" si="9"/>
        <v>2.365E-4</v>
      </c>
    </row>
    <row r="130" spans="2:10">
      <c r="B130" s="16">
        <v>127</v>
      </c>
      <c r="C130" s="17" t="s">
        <v>524</v>
      </c>
      <c r="D130" s="73">
        <v>42</v>
      </c>
      <c r="E130" s="198">
        <f t="shared" si="5"/>
        <v>42</v>
      </c>
      <c r="F130" s="199">
        <v>16</v>
      </c>
      <c r="G130" s="200">
        <f t="shared" si="6"/>
        <v>125000</v>
      </c>
      <c r="H130" s="198">
        <f t="shared" si="7"/>
        <v>672</v>
      </c>
      <c r="I130" s="185">
        <f t="shared" si="8"/>
        <v>4.048192771084338E-4</v>
      </c>
      <c r="J130" s="185">
        <f t="shared" si="9"/>
        <v>3.3599999999999998E-4</v>
      </c>
    </row>
    <row r="131" spans="2:10">
      <c r="B131" s="16">
        <v>128</v>
      </c>
      <c r="C131" s="125" t="s">
        <v>658</v>
      </c>
      <c r="D131" s="73">
        <v>42</v>
      </c>
      <c r="E131" s="198">
        <f t="shared" si="5"/>
        <v>42</v>
      </c>
      <c r="F131" s="199">
        <v>100</v>
      </c>
      <c r="G131" s="200">
        <f t="shared" si="6"/>
        <v>20000</v>
      </c>
      <c r="H131" s="198">
        <f t="shared" si="7"/>
        <v>4200</v>
      </c>
      <c r="I131" s="185">
        <f t="shared" si="8"/>
        <v>2.5301204819277111E-3</v>
      </c>
      <c r="J131" s="185">
        <f t="shared" si="9"/>
        <v>2.0999999999999999E-3</v>
      </c>
    </row>
    <row r="132" spans="2:10">
      <c r="B132" s="16">
        <v>129</v>
      </c>
      <c r="C132" s="125" t="s">
        <v>674</v>
      </c>
      <c r="D132" s="73">
        <v>42</v>
      </c>
      <c r="E132" s="198">
        <f t="shared" ref="E132:E195" si="10">D132*$M$7</f>
        <v>42</v>
      </c>
      <c r="F132" s="199">
        <v>151</v>
      </c>
      <c r="G132" s="200">
        <f t="shared" ref="G132:G195" si="11">$M$6/F132</f>
        <v>13245.033112582782</v>
      </c>
      <c r="H132" s="198">
        <f t="shared" ref="H132:H195" si="12">F132*E132</f>
        <v>6342</v>
      </c>
      <c r="I132" s="185">
        <f t="shared" ref="I132:I195" si="13">H132/$M$9</f>
        <v>3.820481927710844E-3</v>
      </c>
      <c r="J132" s="185">
        <f t="shared" ref="J132:J195" si="14">H132/$M$8</f>
        <v>3.1710000000000002E-3</v>
      </c>
    </row>
    <row r="133" spans="2:10">
      <c r="B133" s="16">
        <v>130</v>
      </c>
      <c r="C133" s="111" t="s">
        <v>685</v>
      </c>
      <c r="D133" s="73">
        <v>41.9</v>
      </c>
      <c r="E133" s="198">
        <f t="shared" si="10"/>
        <v>41.9</v>
      </c>
      <c r="F133" s="199">
        <v>100</v>
      </c>
      <c r="G133" s="200">
        <f t="shared" si="11"/>
        <v>20000</v>
      </c>
      <c r="H133" s="198">
        <f t="shared" si="12"/>
        <v>4190</v>
      </c>
      <c r="I133" s="185">
        <f t="shared" si="13"/>
        <v>2.5240963855421689E-3</v>
      </c>
      <c r="J133" s="185">
        <f t="shared" si="14"/>
        <v>2.0950000000000001E-3</v>
      </c>
    </row>
    <row r="134" spans="2:10">
      <c r="B134" s="16">
        <v>131</v>
      </c>
      <c r="C134" s="17" t="s">
        <v>751</v>
      </c>
      <c r="D134" s="73">
        <v>41</v>
      </c>
      <c r="E134" s="198">
        <f t="shared" si="10"/>
        <v>41</v>
      </c>
      <c r="F134" s="199">
        <v>11</v>
      </c>
      <c r="G134" s="200">
        <f t="shared" si="11"/>
        <v>181818.18181818182</v>
      </c>
      <c r="H134" s="198">
        <f t="shared" si="12"/>
        <v>451</v>
      </c>
      <c r="I134" s="185">
        <f t="shared" si="13"/>
        <v>2.7168674698795184E-4</v>
      </c>
      <c r="J134" s="185">
        <f t="shared" si="14"/>
        <v>2.2550000000000001E-4</v>
      </c>
    </row>
    <row r="135" spans="2:10">
      <c r="B135" s="16">
        <v>132</v>
      </c>
      <c r="C135" s="125" t="s">
        <v>782</v>
      </c>
      <c r="D135" s="73">
        <v>41</v>
      </c>
      <c r="E135" s="198">
        <f t="shared" si="10"/>
        <v>41</v>
      </c>
      <c r="F135" s="199">
        <v>10</v>
      </c>
      <c r="G135" s="200">
        <f t="shared" si="11"/>
        <v>200000</v>
      </c>
      <c r="H135" s="198">
        <f t="shared" si="12"/>
        <v>410</v>
      </c>
      <c r="I135" s="185">
        <f t="shared" si="13"/>
        <v>2.4698795180722895E-4</v>
      </c>
      <c r="J135" s="185">
        <f t="shared" si="14"/>
        <v>2.05E-4</v>
      </c>
    </row>
    <row r="136" spans="2:10">
      <c r="B136" s="16">
        <v>133</v>
      </c>
      <c r="C136" s="111" t="s">
        <v>696</v>
      </c>
      <c r="D136" s="73">
        <v>40.9</v>
      </c>
      <c r="E136" s="198">
        <f t="shared" si="10"/>
        <v>40.9</v>
      </c>
      <c r="F136" s="199">
        <v>100</v>
      </c>
      <c r="G136" s="200">
        <f t="shared" si="11"/>
        <v>20000</v>
      </c>
      <c r="H136" s="198">
        <f t="shared" si="12"/>
        <v>4090</v>
      </c>
      <c r="I136" s="185">
        <f t="shared" si="13"/>
        <v>2.4638554216867472E-3</v>
      </c>
      <c r="J136" s="185">
        <f t="shared" si="14"/>
        <v>2.0449999999999999E-3</v>
      </c>
    </row>
    <row r="137" spans="2:10">
      <c r="B137" s="16">
        <v>134</v>
      </c>
      <c r="C137" s="125" t="s">
        <v>800</v>
      </c>
      <c r="D137" s="73">
        <v>40.6</v>
      </c>
      <c r="E137" s="198">
        <f t="shared" si="10"/>
        <v>40.6</v>
      </c>
      <c r="F137" s="199">
        <v>12</v>
      </c>
      <c r="G137" s="200">
        <f t="shared" si="11"/>
        <v>166666.66666666666</v>
      </c>
      <c r="H137" s="198">
        <f t="shared" si="12"/>
        <v>487.20000000000005</v>
      </c>
      <c r="I137" s="185">
        <f t="shared" si="13"/>
        <v>2.9349397590361452E-4</v>
      </c>
      <c r="J137" s="185">
        <f t="shared" si="14"/>
        <v>2.4360000000000001E-4</v>
      </c>
    </row>
    <row r="138" spans="2:10">
      <c r="B138" s="16">
        <v>135</v>
      </c>
      <c r="C138" s="125" t="s">
        <v>554</v>
      </c>
      <c r="D138" s="73">
        <v>40</v>
      </c>
      <c r="E138" s="198">
        <f t="shared" si="10"/>
        <v>40</v>
      </c>
      <c r="F138" s="199">
        <v>200</v>
      </c>
      <c r="G138" s="200">
        <f t="shared" si="11"/>
        <v>10000</v>
      </c>
      <c r="H138" s="198">
        <f t="shared" si="12"/>
        <v>8000</v>
      </c>
      <c r="I138" s="185">
        <f t="shared" si="13"/>
        <v>4.8192771084337354E-3</v>
      </c>
      <c r="J138" s="185">
        <f t="shared" si="14"/>
        <v>4.0000000000000001E-3</v>
      </c>
    </row>
    <row r="139" spans="2:10">
      <c r="B139" s="16">
        <v>136</v>
      </c>
      <c r="C139" s="125" t="s">
        <v>557</v>
      </c>
      <c r="D139" s="73">
        <v>40</v>
      </c>
      <c r="E139" s="198">
        <f t="shared" si="10"/>
        <v>40</v>
      </c>
      <c r="F139" s="199">
        <v>12</v>
      </c>
      <c r="G139" s="200">
        <f t="shared" si="11"/>
        <v>166666.66666666666</v>
      </c>
      <c r="H139" s="198">
        <f t="shared" si="12"/>
        <v>480</v>
      </c>
      <c r="I139" s="185">
        <f t="shared" si="13"/>
        <v>2.8915662650602414E-4</v>
      </c>
      <c r="J139" s="185">
        <f t="shared" si="14"/>
        <v>2.4000000000000001E-4</v>
      </c>
    </row>
    <row r="140" spans="2:10">
      <c r="B140" s="16">
        <v>137</v>
      </c>
      <c r="C140" s="125" t="s">
        <v>560</v>
      </c>
      <c r="D140" s="73">
        <v>40</v>
      </c>
      <c r="E140" s="198">
        <f t="shared" si="10"/>
        <v>40</v>
      </c>
      <c r="F140" s="199">
        <v>24</v>
      </c>
      <c r="G140" s="200">
        <f t="shared" si="11"/>
        <v>83333.333333333328</v>
      </c>
      <c r="H140" s="198">
        <f t="shared" si="12"/>
        <v>960</v>
      </c>
      <c r="I140" s="185">
        <f t="shared" si="13"/>
        <v>5.7831325301204827E-4</v>
      </c>
      <c r="J140" s="185">
        <f t="shared" si="14"/>
        <v>4.8000000000000001E-4</v>
      </c>
    </row>
    <row r="141" spans="2:10">
      <c r="B141" s="16">
        <v>138</v>
      </c>
      <c r="C141" s="125" t="s">
        <v>561</v>
      </c>
      <c r="D141" s="73">
        <v>40</v>
      </c>
      <c r="E141" s="198">
        <f t="shared" si="10"/>
        <v>40</v>
      </c>
      <c r="F141" s="199">
        <v>24</v>
      </c>
      <c r="G141" s="200">
        <f t="shared" si="11"/>
        <v>83333.333333333328</v>
      </c>
      <c r="H141" s="198">
        <f t="shared" si="12"/>
        <v>960</v>
      </c>
      <c r="I141" s="185">
        <f t="shared" si="13"/>
        <v>5.7831325301204827E-4</v>
      </c>
      <c r="J141" s="185">
        <f t="shared" si="14"/>
        <v>4.8000000000000001E-4</v>
      </c>
    </row>
    <row r="142" spans="2:10">
      <c r="B142" s="16">
        <v>139</v>
      </c>
      <c r="C142" s="125" t="s">
        <v>568</v>
      </c>
      <c r="D142" s="73">
        <v>40</v>
      </c>
      <c r="E142" s="198">
        <f t="shared" si="10"/>
        <v>40</v>
      </c>
      <c r="F142" s="199">
        <v>12</v>
      </c>
      <c r="G142" s="200">
        <f t="shared" si="11"/>
        <v>166666.66666666666</v>
      </c>
      <c r="H142" s="198">
        <f t="shared" si="12"/>
        <v>480</v>
      </c>
      <c r="I142" s="185">
        <f t="shared" si="13"/>
        <v>2.8915662650602414E-4</v>
      </c>
      <c r="J142" s="185">
        <f t="shared" si="14"/>
        <v>2.4000000000000001E-4</v>
      </c>
    </row>
    <row r="143" spans="2:10">
      <c r="B143" s="16">
        <v>140</v>
      </c>
      <c r="C143" s="125" t="s">
        <v>578</v>
      </c>
      <c r="D143" s="73">
        <v>40</v>
      </c>
      <c r="E143" s="198">
        <f t="shared" si="10"/>
        <v>40</v>
      </c>
      <c r="F143" s="199">
        <v>200</v>
      </c>
      <c r="G143" s="200">
        <f t="shared" si="11"/>
        <v>10000</v>
      </c>
      <c r="H143" s="198">
        <f t="shared" si="12"/>
        <v>8000</v>
      </c>
      <c r="I143" s="185">
        <f t="shared" si="13"/>
        <v>4.8192771084337354E-3</v>
      </c>
      <c r="J143" s="185">
        <f t="shared" si="14"/>
        <v>4.0000000000000001E-3</v>
      </c>
    </row>
    <row r="144" spans="2:10">
      <c r="B144" s="16">
        <v>141</v>
      </c>
      <c r="C144" s="17" t="s">
        <v>605</v>
      </c>
      <c r="D144" s="73">
        <v>40</v>
      </c>
      <c r="E144" s="198">
        <f t="shared" si="10"/>
        <v>40</v>
      </c>
      <c r="F144" s="199">
        <v>20</v>
      </c>
      <c r="G144" s="200">
        <f t="shared" si="11"/>
        <v>100000</v>
      </c>
      <c r="H144" s="198">
        <f t="shared" si="12"/>
        <v>800</v>
      </c>
      <c r="I144" s="185">
        <f t="shared" si="13"/>
        <v>4.8192771084337358E-4</v>
      </c>
      <c r="J144" s="185">
        <f t="shared" si="14"/>
        <v>4.0000000000000002E-4</v>
      </c>
    </row>
    <row r="145" spans="2:10">
      <c r="B145" s="16">
        <v>142</v>
      </c>
      <c r="C145" s="17" t="s">
        <v>633</v>
      </c>
      <c r="D145" s="73">
        <v>40</v>
      </c>
      <c r="E145" s="198">
        <f t="shared" si="10"/>
        <v>40</v>
      </c>
      <c r="F145" s="199">
        <v>16</v>
      </c>
      <c r="G145" s="200">
        <f t="shared" si="11"/>
        <v>125000</v>
      </c>
      <c r="H145" s="198">
        <f t="shared" si="12"/>
        <v>640</v>
      </c>
      <c r="I145" s="185">
        <f t="shared" si="13"/>
        <v>3.8554216867469883E-4</v>
      </c>
      <c r="J145" s="185">
        <f t="shared" si="14"/>
        <v>3.2000000000000003E-4</v>
      </c>
    </row>
    <row r="146" spans="2:10">
      <c r="B146" s="16">
        <v>143</v>
      </c>
      <c r="C146" s="125" t="s">
        <v>652</v>
      </c>
      <c r="D146" s="73">
        <v>40</v>
      </c>
      <c r="E146" s="198">
        <f t="shared" si="10"/>
        <v>40</v>
      </c>
      <c r="F146" s="199">
        <v>103</v>
      </c>
      <c r="G146" s="200">
        <f t="shared" si="11"/>
        <v>19417.475728155339</v>
      </c>
      <c r="H146" s="198">
        <f t="shared" si="12"/>
        <v>4120</v>
      </c>
      <c r="I146" s="185">
        <f t="shared" si="13"/>
        <v>2.4819277108433738E-3</v>
      </c>
      <c r="J146" s="185">
        <f t="shared" si="14"/>
        <v>2.0600000000000002E-3</v>
      </c>
    </row>
    <row r="147" spans="2:10">
      <c r="B147" s="16">
        <v>144</v>
      </c>
      <c r="C147" s="17" t="s">
        <v>724</v>
      </c>
      <c r="D147" s="73">
        <v>40</v>
      </c>
      <c r="E147" s="198">
        <f t="shared" si="10"/>
        <v>40</v>
      </c>
      <c r="F147" s="199">
        <v>50</v>
      </c>
      <c r="G147" s="200">
        <f t="shared" si="11"/>
        <v>40000</v>
      </c>
      <c r="H147" s="198">
        <f t="shared" si="12"/>
        <v>2000</v>
      </c>
      <c r="I147" s="185">
        <f t="shared" si="13"/>
        <v>1.2048192771084338E-3</v>
      </c>
      <c r="J147" s="185">
        <f t="shared" si="14"/>
        <v>1E-3</v>
      </c>
    </row>
    <row r="148" spans="2:10">
      <c r="B148" s="16">
        <v>145</v>
      </c>
      <c r="C148" s="125" t="s">
        <v>789</v>
      </c>
      <c r="D148" s="73">
        <v>39.299999999999997</v>
      </c>
      <c r="E148" s="198">
        <f t="shared" si="10"/>
        <v>39.299999999999997</v>
      </c>
      <c r="F148" s="199">
        <v>100</v>
      </c>
      <c r="G148" s="200">
        <f t="shared" si="11"/>
        <v>20000</v>
      </c>
      <c r="H148" s="198">
        <f t="shared" si="12"/>
        <v>3929.9999999999995</v>
      </c>
      <c r="I148" s="185">
        <f t="shared" si="13"/>
        <v>2.3674698795180722E-3</v>
      </c>
      <c r="J148" s="185">
        <f t="shared" si="14"/>
        <v>1.9649999999999997E-3</v>
      </c>
    </row>
    <row r="149" spans="2:10">
      <c r="B149" s="16">
        <v>146</v>
      </c>
      <c r="C149" s="125" t="s">
        <v>665</v>
      </c>
      <c r="D149" s="73">
        <v>39</v>
      </c>
      <c r="E149" s="198">
        <f t="shared" si="10"/>
        <v>39</v>
      </c>
      <c r="F149" s="199">
        <v>100</v>
      </c>
      <c r="G149" s="200">
        <f t="shared" si="11"/>
        <v>20000</v>
      </c>
      <c r="H149" s="198">
        <f t="shared" si="12"/>
        <v>3900</v>
      </c>
      <c r="I149" s="185">
        <f t="shared" si="13"/>
        <v>2.349397590361446E-3</v>
      </c>
      <c r="J149" s="185">
        <f t="shared" si="14"/>
        <v>1.9499999999999999E-3</v>
      </c>
    </row>
    <row r="150" spans="2:10">
      <c r="B150" s="16">
        <v>147</v>
      </c>
      <c r="C150" s="125" t="s">
        <v>779</v>
      </c>
      <c r="D150" s="73">
        <v>39</v>
      </c>
      <c r="E150" s="198">
        <f t="shared" si="10"/>
        <v>39</v>
      </c>
      <c r="F150" s="199">
        <v>100</v>
      </c>
      <c r="G150" s="200">
        <f t="shared" si="11"/>
        <v>20000</v>
      </c>
      <c r="H150" s="198">
        <f t="shared" si="12"/>
        <v>3900</v>
      </c>
      <c r="I150" s="185">
        <f t="shared" si="13"/>
        <v>2.349397590361446E-3</v>
      </c>
      <c r="J150" s="185">
        <f t="shared" si="14"/>
        <v>1.9499999999999999E-3</v>
      </c>
    </row>
    <row r="151" spans="2:10">
      <c r="B151" s="16">
        <v>148</v>
      </c>
      <c r="C151" s="17" t="s">
        <v>733</v>
      </c>
      <c r="D151" s="73">
        <v>38.6</v>
      </c>
      <c r="E151" s="198">
        <f t="shared" si="10"/>
        <v>38.6</v>
      </c>
      <c r="F151" s="199">
        <v>50</v>
      </c>
      <c r="G151" s="200">
        <f t="shared" si="11"/>
        <v>40000</v>
      </c>
      <c r="H151" s="198">
        <f t="shared" si="12"/>
        <v>1930</v>
      </c>
      <c r="I151" s="185">
        <f t="shared" si="13"/>
        <v>1.1626506024096388E-3</v>
      </c>
      <c r="J151" s="185">
        <f t="shared" si="14"/>
        <v>9.6500000000000004E-4</v>
      </c>
    </row>
    <row r="152" spans="2:10">
      <c r="B152" s="16">
        <v>149</v>
      </c>
      <c r="C152" s="17" t="s">
        <v>753</v>
      </c>
      <c r="D152" s="73">
        <v>38.6</v>
      </c>
      <c r="E152" s="198">
        <f t="shared" si="10"/>
        <v>38.6</v>
      </c>
      <c r="F152" s="199">
        <v>50</v>
      </c>
      <c r="G152" s="200">
        <f t="shared" si="11"/>
        <v>40000</v>
      </c>
      <c r="H152" s="198">
        <f t="shared" si="12"/>
        <v>1930</v>
      </c>
      <c r="I152" s="185">
        <f t="shared" si="13"/>
        <v>1.1626506024096388E-3</v>
      </c>
      <c r="J152" s="185">
        <f t="shared" si="14"/>
        <v>9.6500000000000004E-4</v>
      </c>
    </row>
    <row r="153" spans="2:10">
      <c r="B153" s="16">
        <v>150</v>
      </c>
      <c r="C153" s="125" t="s">
        <v>772</v>
      </c>
      <c r="D153" s="73">
        <v>38.6</v>
      </c>
      <c r="E153" s="198">
        <f t="shared" si="10"/>
        <v>38.6</v>
      </c>
      <c r="F153" s="199">
        <v>100</v>
      </c>
      <c r="G153" s="200">
        <f t="shared" si="11"/>
        <v>20000</v>
      </c>
      <c r="H153" s="198">
        <f t="shared" si="12"/>
        <v>3860</v>
      </c>
      <c r="I153" s="185">
        <f t="shared" si="13"/>
        <v>2.3253012048192775E-3</v>
      </c>
      <c r="J153" s="185">
        <f t="shared" si="14"/>
        <v>1.9300000000000001E-3</v>
      </c>
    </row>
    <row r="154" spans="2:10">
      <c r="B154" s="16">
        <v>151</v>
      </c>
      <c r="C154" s="111" t="s">
        <v>694</v>
      </c>
      <c r="D154" s="73">
        <v>37.299999999999997</v>
      </c>
      <c r="E154" s="198">
        <f t="shared" si="10"/>
        <v>37.299999999999997</v>
      </c>
      <c r="F154" s="199">
        <v>130</v>
      </c>
      <c r="G154" s="200">
        <f t="shared" si="11"/>
        <v>15384.615384615385</v>
      </c>
      <c r="H154" s="198">
        <f t="shared" si="12"/>
        <v>4849</v>
      </c>
      <c r="I154" s="185">
        <f t="shared" si="13"/>
        <v>2.921084337349398E-3</v>
      </c>
      <c r="J154" s="185">
        <f t="shared" si="14"/>
        <v>2.4245E-3</v>
      </c>
    </row>
    <row r="155" spans="2:10">
      <c r="B155" s="16">
        <v>152</v>
      </c>
      <c r="C155" s="17" t="s">
        <v>640</v>
      </c>
      <c r="D155" s="73">
        <v>37.200000000000003</v>
      </c>
      <c r="E155" s="198">
        <f t="shared" si="10"/>
        <v>37.200000000000003</v>
      </c>
      <c r="F155" s="199">
        <v>17</v>
      </c>
      <c r="G155" s="200">
        <f t="shared" si="11"/>
        <v>117647.05882352941</v>
      </c>
      <c r="H155" s="198">
        <f t="shared" si="12"/>
        <v>632.40000000000009</v>
      </c>
      <c r="I155" s="185">
        <f t="shared" si="13"/>
        <v>3.8096385542168683E-4</v>
      </c>
      <c r="J155" s="185">
        <f t="shared" si="14"/>
        <v>3.1620000000000004E-4</v>
      </c>
    </row>
    <row r="156" spans="2:10">
      <c r="B156" s="16">
        <v>153</v>
      </c>
      <c r="C156" s="17" t="s">
        <v>619</v>
      </c>
      <c r="D156" s="73">
        <v>37</v>
      </c>
      <c r="E156" s="198">
        <f t="shared" si="10"/>
        <v>37</v>
      </c>
      <c r="F156" s="199">
        <v>79</v>
      </c>
      <c r="G156" s="200">
        <f t="shared" si="11"/>
        <v>25316.455696202531</v>
      </c>
      <c r="H156" s="198">
        <f t="shared" si="12"/>
        <v>2923</v>
      </c>
      <c r="I156" s="185">
        <f t="shared" si="13"/>
        <v>1.7608433734939762E-3</v>
      </c>
      <c r="J156" s="185">
        <f t="shared" si="14"/>
        <v>1.4614999999999999E-3</v>
      </c>
    </row>
    <row r="157" spans="2:10">
      <c r="B157" s="16">
        <v>154</v>
      </c>
      <c r="C157" s="125" t="s">
        <v>659</v>
      </c>
      <c r="D157" s="73">
        <v>37</v>
      </c>
      <c r="E157" s="198">
        <f t="shared" si="10"/>
        <v>37</v>
      </c>
      <c r="F157" s="199">
        <v>400</v>
      </c>
      <c r="G157" s="200">
        <f t="shared" si="11"/>
        <v>5000</v>
      </c>
      <c r="H157" s="198">
        <f t="shared" si="12"/>
        <v>14800</v>
      </c>
      <c r="I157" s="185">
        <f t="shared" si="13"/>
        <v>8.91566265060241E-3</v>
      </c>
      <c r="J157" s="185">
        <f t="shared" si="14"/>
        <v>7.4000000000000003E-3</v>
      </c>
    </row>
    <row r="158" spans="2:10">
      <c r="B158" s="16">
        <v>155</v>
      </c>
      <c r="C158" s="17" t="s">
        <v>729</v>
      </c>
      <c r="D158" s="73">
        <v>37</v>
      </c>
      <c r="E158" s="198">
        <f t="shared" si="10"/>
        <v>37</v>
      </c>
      <c r="F158" s="199">
        <v>100</v>
      </c>
      <c r="G158" s="200">
        <f t="shared" si="11"/>
        <v>20000</v>
      </c>
      <c r="H158" s="198">
        <f t="shared" si="12"/>
        <v>3700</v>
      </c>
      <c r="I158" s="185">
        <f t="shared" si="13"/>
        <v>2.2289156626506025E-3</v>
      </c>
      <c r="J158" s="185">
        <f t="shared" si="14"/>
        <v>1.8500000000000001E-3</v>
      </c>
    </row>
    <row r="159" spans="2:10">
      <c r="B159" s="16">
        <v>156</v>
      </c>
      <c r="C159" s="17" t="s">
        <v>757</v>
      </c>
      <c r="D159" s="73">
        <v>37</v>
      </c>
      <c r="E159" s="198">
        <f t="shared" si="10"/>
        <v>37</v>
      </c>
      <c r="F159" s="199">
        <v>131</v>
      </c>
      <c r="G159" s="200">
        <f t="shared" si="11"/>
        <v>15267.175572519083</v>
      </c>
      <c r="H159" s="198">
        <f t="shared" si="12"/>
        <v>4847</v>
      </c>
      <c r="I159" s="185">
        <f t="shared" si="13"/>
        <v>2.9198795180722897E-3</v>
      </c>
      <c r="J159" s="185">
        <f t="shared" si="14"/>
        <v>2.4234999999999999E-3</v>
      </c>
    </row>
    <row r="160" spans="2:10">
      <c r="B160" s="16">
        <v>157</v>
      </c>
      <c r="C160" s="125" t="s">
        <v>766</v>
      </c>
      <c r="D160" s="73">
        <v>37</v>
      </c>
      <c r="E160" s="198">
        <f t="shared" si="10"/>
        <v>37</v>
      </c>
      <c r="F160" s="199">
        <v>100</v>
      </c>
      <c r="G160" s="200">
        <f t="shared" si="11"/>
        <v>20000</v>
      </c>
      <c r="H160" s="198">
        <f t="shared" si="12"/>
        <v>3700</v>
      </c>
      <c r="I160" s="185">
        <f t="shared" si="13"/>
        <v>2.2289156626506025E-3</v>
      </c>
      <c r="J160" s="185">
        <f t="shared" si="14"/>
        <v>1.8500000000000001E-3</v>
      </c>
    </row>
    <row r="161" spans="2:10">
      <c r="B161" s="16">
        <v>158</v>
      </c>
      <c r="C161" s="125" t="s">
        <v>797</v>
      </c>
      <c r="D161" s="73">
        <v>37</v>
      </c>
      <c r="E161" s="198">
        <f t="shared" si="10"/>
        <v>37</v>
      </c>
      <c r="F161" s="199">
        <v>13</v>
      </c>
      <c r="G161" s="200">
        <f t="shared" si="11"/>
        <v>153846.15384615384</v>
      </c>
      <c r="H161" s="198">
        <f t="shared" si="12"/>
        <v>481</v>
      </c>
      <c r="I161" s="185">
        <f t="shared" si="13"/>
        <v>2.8975903614457838E-4</v>
      </c>
      <c r="J161" s="185">
        <f t="shared" si="14"/>
        <v>2.4049999999999999E-4</v>
      </c>
    </row>
    <row r="162" spans="2:10">
      <c r="B162" s="16">
        <v>159</v>
      </c>
      <c r="C162" s="17" t="s">
        <v>521</v>
      </c>
      <c r="D162" s="73">
        <v>36</v>
      </c>
      <c r="E162" s="198">
        <f t="shared" si="10"/>
        <v>36</v>
      </c>
      <c r="F162" s="199">
        <v>13</v>
      </c>
      <c r="G162" s="200">
        <f t="shared" si="11"/>
        <v>153846.15384615384</v>
      </c>
      <c r="H162" s="198">
        <f t="shared" si="12"/>
        <v>468</v>
      </c>
      <c r="I162" s="185">
        <f t="shared" si="13"/>
        <v>2.8192771084337354E-4</v>
      </c>
      <c r="J162" s="185">
        <f t="shared" si="14"/>
        <v>2.34E-4</v>
      </c>
    </row>
    <row r="163" spans="2:10">
      <c r="B163" s="16">
        <v>160</v>
      </c>
      <c r="C163" s="17" t="s">
        <v>719</v>
      </c>
      <c r="D163" s="73">
        <v>35.400000000000006</v>
      </c>
      <c r="E163" s="198">
        <f t="shared" si="10"/>
        <v>35.400000000000006</v>
      </c>
      <c r="F163" s="199">
        <v>100</v>
      </c>
      <c r="G163" s="200">
        <f t="shared" si="11"/>
        <v>20000</v>
      </c>
      <c r="H163" s="198">
        <f t="shared" si="12"/>
        <v>3540.0000000000005</v>
      </c>
      <c r="I163" s="185">
        <f t="shared" si="13"/>
        <v>2.1325301204819284E-3</v>
      </c>
      <c r="J163" s="185">
        <f t="shared" si="14"/>
        <v>1.7700000000000003E-3</v>
      </c>
    </row>
    <row r="164" spans="2:10">
      <c r="B164" s="16">
        <v>161</v>
      </c>
      <c r="C164" s="125" t="s">
        <v>768</v>
      </c>
      <c r="D164" s="73">
        <v>35.299999999999997</v>
      </c>
      <c r="E164" s="198">
        <f t="shared" si="10"/>
        <v>35.299999999999997</v>
      </c>
      <c r="F164" s="199">
        <v>100</v>
      </c>
      <c r="G164" s="200">
        <f t="shared" si="11"/>
        <v>20000</v>
      </c>
      <c r="H164" s="198">
        <f t="shared" si="12"/>
        <v>3529.9999999999995</v>
      </c>
      <c r="I164" s="185">
        <f t="shared" si="13"/>
        <v>2.1265060240963857E-3</v>
      </c>
      <c r="J164" s="185">
        <f t="shared" si="14"/>
        <v>1.7649999999999999E-3</v>
      </c>
    </row>
    <row r="165" spans="2:10">
      <c r="B165" s="16">
        <v>162</v>
      </c>
      <c r="C165" s="17" t="s">
        <v>710</v>
      </c>
      <c r="D165" s="73">
        <v>35.1</v>
      </c>
      <c r="E165" s="198">
        <f t="shared" si="10"/>
        <v>35.1</v>
      </c>
      <c r="F165" s="199">
        <v>100</v>
      </c>
      <c r="G165" s="200">
        <f t="shared" si="11"/>
        <v>20000</v>
      </c>
      <c r="H165" s="198">
        <f t="shared" si="12"/>
        <v>3510</v>
      </c>
      <c r="I165" s="185">
        <f t="shared" si="13"/>
        <v>2.1144578313253017E-3</v>
      </c>
      <c r="J165" s="185">
        <f t="shared" si="14"/>
        <v>1.755E-3</v>
      </c>
    </row>
    <row r="166" spans="2:10">
      <c r="B166" s="16">
        <v>163</v>
      </c>
      <c r="C166" s="17" t="s">
        <v>604</v>
      </c>
      <c r="D166" s="73">
        <v>35</v>
      </c>
      <c r="E166" s="198">
        <f t="shared" si="10"/>
        <v>35</v>
      </c>
      <c r="F166" s="199">
        <v>194</v>
      </c>
      <c r="G166" s="200">
        <f t="shared" si="11"/>
        <v>10309.278350515464</v>
      </c>
      <c r="H166" s="198">
        <f t="shared" si="12"/>
        <v>6790</v>
      </c>
      <c r="I166" s="185">
        <f t="shared" si="13"/>
        <v>4.0903614457831333E-3</v>
      </c>
      <c r="J166" s="185">
        <f t="shared" si="14"/>
        <v>3.395E-3</v>
      </c>
    </row>
    <row r="167" spans="2:10">
      <c r="B167" s="16">
        <v>164</v>
      </c>
      <c r="C167" s="17" t="s">
        <v>629</v>
      </c>
      <c r="D167" s="73">
        <v>35</v>
      </c>
      <c r="E167" s="198">
        <f t="shared" si="10"/>
        <v>35</v>
      </c>
      <c r="F167" s="199">
        <v>73</v>
      </c>
      <c r="G167" s="200">
        <f t="shared" si="11"/>
        <v>27397.260273972603</v>
      </c>
      <c r="H167" s="198">
        <f t="shared" si="12"/>
        <v>2555</v>
      </c>
      <c r="I167" s="185">
        <f t="shared" si="13"/>
        <v>1.5391566265060242E-3</v>
      </c>
      <c r="J167" s="185">
        <f t="shared" si="14"/>
        <v>1.2775E-3</v>
      </c>
    </row>
    <row r="168" spans="2:10">
      <c r="B168" s="16">
        <v>165</v>
      </c>
      <c r="C168" s="17" t="s">
        <v>637</v>
      </c>
      <c r="D168" s="73">
        <v>35</v>
      </c>
      <c r="E168" s="198">
        <f t="shared" si="10"/>
        <v>35</v>
      </c>
      <c r="F168" s="199">
        <v>19</v>
      </c>
      <c r="G168" s="200">
        <f t="shared" si="11"/>
        <v>105263.15789473684</v>
      </c>
      <c r="H168" s="198">
        <f t="shared" si="12"/>
        <v>665</v>
      </c>
      <c r="I168" s="185">
        <f t="shared" si="13"/>
        <v>4.0060240963855426E-4</v>
      </c>
      <c r="J168" s="185">
        <f t="shared" si="14"/>
        <v>3.325E-4</v>
      </c>
    </row>
    <row r="169" spans="2:10">
      <c r="B169" s="16">
        <v>166</v>
      </c>
      <c r="C169" s="125" t="s">
        <v>644</v>
      </c>
      <c r="D169" s="73">
        <v>35</v>
      </c>
      <c r="E169" s="198">
        <f t="shared" si="10"/>
        <v>35</v>
      </c>
      <c r="F169" s="199">
        <v>94</v>
      </c>
      <c r="G169" s="200">
        <f t="shared" si="11"/>
        <v>21276.59574468085</v>
      </c>
      <c r="H169" s="198">
        <f t="shared" si="12"/>
        <v>3290</v>
      </c>
      <c r="I169" s="185">
        <f t="shared" si="13"/>
        <v>1.9819277108433738E-3</v>
      </c>
      <c r="J169" s="185">
        <f t="shared" si="14"/>
        <v>1.645E-3</v>
      </c>
    </row>
    <row r="170" spans="2:10">
      <c r="B170" s="16">
        <v>167</v>
      </c>
      <c r="C170" s="125" t="s">
        <v>645</v>
      </c>
      <c r="D170" s="73">
        <v>35</v>
      </c>
      <c r="E170" s="198">
        <f t="shared" si="10"/>
        <v>35</v>
      </c>
      <c r="F170" s="199">
        <v>73</v>
      </c>
      <c r="G170" s="200">
        <f t="shared" si="11"/>
        <v>27397.260273972603</v>
      </c>
      <c r="H170" s="198">
        <f t="shared" si="12"/>
        <v>2555</v>
      </c>
      <c r="I170" s="185">
        <f t="shared" si="13"/>
        <v>1.5391566265060242E-3</v>
      </c>
      <c r="J170" s="185">
        <f t="shared" si="14"/>
        <v>1.2775E-3</v>
      </c>
    </row>
    <row r="171" spans="2:10">
      <c r="B171" s="16">
        <v>168</v>
      </c>
      <c r="C171" s="111" t="s">
        <v>681</v>
      </c>
      <c r="D171" s="73">
        <v>35</v>
      </c>
      <c r="E171" s="198">
        <f t="shared" si="10"/>
        <v>35</v>
      </c>
      <c r="F171" s="199">
        <v>100</v>
      </c>
      <c r="G171" s="200">
        <f t="shared" si="11"/>
        <v>20000</v>
      </c>
      <c r="H171" s="198">
        <f t="shared" si="12"/>
        <v>3500</v>
      </c>
      <c r="I171" s="185">
        <f t="shared" si="13"/>
        <v>2.1084337349397595E-3</v>
      </c>
      <c r="J171" s="185">
        <f t="shared" si="14"/>
        <v>1.75E-3</v>
      </c>
    </row>
    <row r="172" spans="2:10">
      <c r="B172" s="16">
        <v>169</v>
      </c>
      <c r="C172" s="111" t="s">
        <v>690</v>
      </c>
      <c r="D172" s="73">
        <v>34.900000000000006</v>
      </c>
      <c r="E172" s="198">
        <f t="shared" si="10"/>
        <v>34.900000000000006</v>
      </c>
      <c r="F172" s="199">
        <v>100</v>
      </c>
      <c r="G172" s="200">
        <f t="shared" si="11"/>
        <v>20000</v>
      </c>
      <c r="H172" s="198">
        <f t="shared" si="12"/>
        <v>3490.0000000000005</v>
      </c>
      <c r="I172" s="185">
        <f t="shared" si="13"/>
        <v>2.1024096385542173E-3</v>
      </c>
      <c r="J172" s="185">
        <f t="shared" si="14"/>
        <v>1.7450000000000002E-3</v>
      </c>
    </row>
    <row r="173" spans="2:10">
      <c r="B173" s="16">
        <v>170</v>
      </c>
      <c r="C173" s="17" t="s">
        <v>722</v>
      </c>
      <c r="D173" s="73">
        <v>34.700000000000003</v>
      </c>
      <c r="E173" s="198">
        <f t="shared" si="10"/>
        <v>34.700000000000003</v>
      </c>
      <c r="F173" s="199">
        <v>50</v>
      </c>
      <c r="G173" s="200">
        <f t="shared" si="11"/>
        <v>40000</v>
      </c>
      <c r="H173" s="198">
        <f t="shared" si="12"/>
        <v>1735.0000000000002</v>
      </c>
      <c r="I173" s="185">
        <f t="shared" si="13"/>
        <v>1.0451807228915666E-3</v>
      </c>
      <c r="J173" s="185">
        <f t="shared" si="14"/>
        <v>8.6750000000000011E-4</v>
      </c>
    </row>
    <row r="174" spans="2:10">
      <c r="B174" s="16">
        <v>171</v>
      </c>
      <c r="C174" s="17" t="s">
        <v>638</v>
      </c>
      <c r="D174" s="73">
        <v>34</v>
      </c>
      <c r="E174" s="198">
        <f t="shared" si="10"/>
        <v>34</v>
      </c>
      <c r="F174" s="199">
        <v>16</v>
      </c>
      <c r="G174" s="200">
        <f t="shared" si="11"/>
        <v>125000</v>
      </c>
      <c r="H174" s="198">
        <f t="shared" si="12"/>
        <v>544</v>
      </c>
      <c r="I174" s="185">
        <f t="shared" si="13"/>
        <v>3.2771084337349403E-4</v>
      </c>
      <c r="J174" s="185">
        <f t="shared" si="14"/>
        <v>2.72E-4</v>
      </c>
    </row>
    <row r="175" spans="2:10">
      <c r="B175" s="16">
        <v>172</v>
      </c>
      <c r="C175" s="17" t="s">
        <v>725</v>
      </c>
      <c r="D175" s="73">
        <v>33.6</v>
      </c>
      <c r="E175" s="198">
        <f t="shared" si="10"/>
        <v>33.6</v>
      </c>
      <c r="F175" s="199">
        <v>50</v>
      </c>
      <c r="G175" s="200">
        <f t="shared" si="11"/>
        <v>40000</v>
      </c>
      <c r="H175" s="198">
        <f t="shared" si="12"/>
        <v>1680</v>
      </c>
      <c r="I175" s="185">
        <f t="shared" si="13"/>
        <v>1.0120481927710845E-3</v>
      </c>
      <c r="J175" s="185">
        <f t="shared" si="14"/>
        <v>8.4000000000000003E-4</v>
      </c>
    </row>
    <row r="176" spans="2:10">
      <c r="B176" s="16">
        <v>173</v>
      </c>
      <c r="C176" s="125" t="s">
        <v>781</v>
      </c>
      <c r="D176" s="73">
        <v>33.299999999999997</v>
      </c>
      <c r="E176" s="198">
        <f t="shared" si="10"/>
        <v>33.299999999999997</v>
      </c>
      <c r="F176" s="199">
        <v>100</v>
      </c>
      <c r="G176" s="200">
        <f t="shared" si="11"/>
        <v>20000</v>
      </c>
      <c r="H176" s="198">
        <f t="shared" si="12"/>
        <v>3329.9999999999995</v>
      </c>
      <c r="I176" s="185">
        <f t="shared" si="13"/>
        <v>2.0060240963855423E-3</v>
      </c>
      <c r="J176" s="185">
        <f t="shared" si="14"/>
        <v>1.6649999999999998E-3</v>
      </c>
    </row>
    <row r="177" spans="2:10">
      <c r="B177" s="16">
        <v>174</v>
      </c>
      <c r="C177" s="17" t="s">
        <v>742</v>
      </c>
      <c r="D177" s="73">
        <v>33.200000000000003</v>
      </c>
      <c r="E177" s="198">
        <f t="shared" si="10"/>
        <v>33.200000000000003</v>
      </c>
      <c r="F177" s="199">
        <v>50</v>
      </c>
      <c r="G177" s="200">
        <f t="shared" si="11"/>
        <v>40000</v>
      </c>
      <c r="H177" s="198">
        <f t="shared" si="12"/>
        <v>1660.0000000000002</v>
      </c>
      <c r="I177" s="185">
        <f t="shared" si="13"/>
        <v>1.0000000000000002E-3</v>
      </c>
      <c r="J177" s="185">
        <f t="shared" si="14"/>
        <v>8.3000000000000012E-4</v>
      </c>
    </row>
    <row r="178" spans="2:10">
      <c r="B178" s="16">
        <v>175</v>
      </c>
      <c r="C178" s="17" t="s">
        <v>603</v>
      </c>
      <c r="D178" s="73">
        <v>32.5</v>
      </c>
      <c r="E178" s="198">
        <f t="shared" si="10"/>
        <v>32.5</v>
      </c>
      <c r="F178" s="199">
        <v>100</v>
      </c>
      <c r="G178" s="200">
        <f t="shared" si="11"/>
        <v>20000</v>
      </c>
      <c r="H178" s="198">
        <f t="shared" si="12"/>
        <v>3250</v>
      </c>
      <c r="I178" s="185">
        <f t="shared" si="13"/>
        <v>1.957831325301205E-3</v>
      </c>
      <c r="J178" s="185">
        <f t="shared" si="14"/>
        <v>1.6249999999999999E-3</v>
      </c>
    </row>
    <row r="179" spans="2:10">
      <c r="B179" s="16">
        <v>176</v>
      </c>
      <c r="C179" s="17" t="s">
        <v>615</v>
      </c>
      <c r="D179" s="73">
        <v>32.5</v>
      </c>
      <c r="E179" s="198">
        <f t="shared" si="10"/>
        <v>32.5</v>
      </c>
      <c r="F179" s="199">
        <v>152</v>
      </c>
      <c r="G179" s="200">
        <f t="shared" si="11"/>
        <v>13157.894736842105</v>
      </c>
      <c r="H179" s="198">
        <f t="shared" si="12"/>
        <v>4940</v>
      </c>
      <c r="I179" s="185">
        <f t="shared" si="13"/>
        <v>2.9759036144578316E-3</v>
      </c>
      <c r="J179" s="185">
        <f t="shared" si="14"/>
        <v>2.47E-3</v>
      </c>
    </row>
    <row r="180" spans="2:10">
      <c r="B180" s="16">
        <v>177</v>
      </c>
      <c r="C180" s="17" t="s">
        <v>533</v>
      </c>
      <c r="D180" s="73">
        <v>32</v>
      </c>
      <c r="E180" s="198">
        <f t="shared" si="10"/>
        <v>32</v>
      </c>
      <c r="F180" s="199">
        <v>15</v>
      </c>
      <c r="G180" s="200">
        <f t="shared" si="11"/>
        <v>133333.33333333334</v>
      </c>
      <c r="H180" s="198">
        <f t="shared" si="12"/>
        <v>480</v>
      </c>
      <c r="I180" s="185">
        <f t="shared" si="13"/>
        <v>2.8915662650602414E-4</v>
      </c>
      <c r="J180" s="185">
        <f t="shared" si="14"/>
        <v>2.4000000000000001E-4</v>
      </c>
    </row>
    <row r="181" spans="2:10">
      <c r="B181" s="16">
        <v>178</v>
      </c>
      <c r="C181" s="125" t="s">
        <v>567</v>
      </c>
      <c r="D181" s="73">
        <v>32</v>
      </c>
      <c r="E181" s="198">
        <f t="shared" si="10"/>
        <v>32</v>
      </c>
      <c r="F181" s="199">
        <v>300</v>
      </c>
      <c r="G181" s="200">
        <f t="shared" si="11"/>
        <v>6666.666666666667</v>
      </c>
      <c r="H181" s="198">
        <f t="shared" si="12"/>
        <v>9600</v>
      </c>
      <c r="I181" s="185">
        <f t="shared" si="13"/>
        <v>5.783132530120483E-3</v>
      </c>
      <c r="J181" s="185">
        <f t="shared" si="14"/>
        <v>4.7999999999999996E-3</v>
      </c>
    </row>
    <row r="182" spans="2:10">
      <c r="B182" s="16">
        <v>179</v>
      </c>
      <c r="C182" s="17" t="s">
        <v>602</v>
      </c>
      <c r="D182" s="73">
        <v>31.5</v>
      </c>
      <c r="E182" s="198">
        <f t="shared" si="10"/>
        <v>31.5</v>
      </c>
      <c r="F182" s="199">
        <v>100</v>
      </c>
      <c r="G182" s="200">
        <f t="shared" si="11"/>
        <v>20000</v>
      </c>
      <c r="H182" s="198">
        <f t="shared" si="12"/>
        <v>3150</v>
      </c>
      <c r="I182" s="185">
        <f t="shared" si="13"/>
        <v>1.8975903614457835E-3</v>
      </c>
      <c r="J182" s="185">
        <f t="shared" si="14"/>
        <v>1.575E-3</v>
      </c>
    </row>
    <row r="183" spans="2:10">
      <c r="B183" s="16">
        <v>180</v>
      </c>
      <c r="C183" s="17" t="s">
        <v>727</v>
      </c>
      <c r="D183" s="73">
        <v>31.5</v>
      </c>
      <c r="E183" s="198">
        <f t="shared" si="10"/>
        <v>31.5</v>
      </c>
      <c r="F183" s="199">
        <v>50</v>
      </c>
      <c r="G183" s="200">
        <f t="shared" si="11"/>
        <v>40000</v>
      </c>
      <c r="H183" s="198">
        <f t="shared" si="12"/>
        <v>1575</v>
      </c>
      <c r="I183" s="185">
        <f t="shared" si="13"/>
        <v>9.4879518072289173E-4</v>
      </c>
      <c r="J183" s="185">
        <f t="shared" si="14"/>
        <v>7.8750000000000001E-4</v>
      </c>
    </row>
    <row r="184" spans="2:10">
      <c r="B184" s="16">
        <v>181</v>
      </c>
      <c r="C184" s="17" t="s">
        <v>734</v>
      </c>
      <c r="D184" s="73">
        <v>31.3</v>
      </c>
      <c r="E184" s="198">
        <f t="shared" si="10"/>
        <v>31.3</v>
      </c>
      <c r="F184" s="199">
        <v>50</v>
      </c>
      <c r="G184" s="200">
        <f t="shared" si="11"/>
        <v>40000</v>
      </c>
      <c r="H184" s="198">
        <f t="shared" si="12"/>
        <v>1565</v>
      </c>
      <c r="I184" s="185">
        <f t="shared" si="13"/>
        <v>9.4277108433734951E-4</v>
      </c>
      <c r="J184" s="185">
        <f t="shared" si="14"/>
        <v>7.8249999999999999E-4</v>
      </c>
    </row>
    <row r="185" spans="2:10">
      <c r="B185" s="16">
        <v>182</v>
      </c>
      <c r="C185" s="125" t="s">
        <v>656</v>
      </c>
      <c r="D185" s="73">
        <v>31</v>
      </c>
      <c r="E185" s="198">
        <f t="shared" si="10"/>
        <v>31</v>
      </c>
      <c r="F185" s="199">
        <v>200</v>
      </c>
      <c r="G185" s="200">
        <f t="shared" si="11"/>
        <v>10000</v>
      </c>
      <c r="H185" s="198">
        <f t="shared" si="12"/>
        <v>6200</v>
      </c>
      <c r="I185" s="185">
        <f t="shared" si="13"/>
        <v>3.7349397590361452E-3</v>
      </c>
      <c r="J185" s="185">
        <f t="shared" si="14"/>
        <v>3.0999999999999999E-3</v>
      </c>
    </row>
    <row r="186" spans="2:10">
      <c r="B186" s="16">
        <v>183</v>
      </c>
      <c r="C186" s="125" t="s">
        <v>798</v>
      </c>
      <c r="D186" s="73">
        <v>30.6</v>
      </c>
      <c r="E186" s="198">
        <f t="shared" si="10"/>
        <v>30.6</v>
      </c>
      <c r="F186" s="199">
        <v>100</v>
      </c>
      <c r="G186" s="200">
        <f t="shared" si="11"/>
        <v>20000</v>
      </c>
      <c r="H186" s="198">
        <f t="shared" si="12"/>
        <v>3060</v>
      </c>
      <c r="I186" s="185">
        <f t="shared" si="13"/>
        <v>1.8433734939759039E-3</v>
      </c>
      <c r="J186" s="185">
        <f t="shared" si="14"/>
        <v>1.5299999999999999E-3</v>
      </c>
    </row>
    <row r="187" spans="2:10">
      <c r="B187" s="16">
        <v>184</v>
      </c>
      <c r="C187" s="17" t="s">
        <v>737</v>
      </c>
      <c r="D187" s="73">
        <v>30.5</v>
      </c>
      <c r="E187" s="198">
        <f t="shared" si="10"/>
        <v>30.5</v>
      </c>
      <c r="F187" s="199">
        <v>50</v>
      </c>
      <c r="G187" s="200">
        <f t="shared" si="11"/>
        <v>40000</v>
      </c>
      <c r="H187" s="198">
        <f t="shared" si="12"/>
        <v>1525</v>
      </c>
      <c r="I187" s="185">
        <f t="shared" si="13"/>
        <v>9.1867469879518087E-4</v>
      </c>
      <c r="J187" s="185">
        <f t="shared" si="14"/>
        <v>7.6250000000000005E-4</v>
      </c>
    </row>
    <row r="188" spans="2:10">
      <c r="B188" s="16">
        <v>185</v>
      </c>
      <c r="C188" s="17" t="s">
        <v>718</v>
      </c>
      <c r="D188" s="73">
        <v>30.400000000000002</v>
      </c>
      <c r="E188" s="198">
        <f t="shared" si="10"/>
        <v>30.400000000000002</v>
      </c>
      <c r="F188" s="199">
        <v>50</v>
      </c>
      <c r="G188" s="200">
        <f t="shared" si="11"/>
        <v>40000</v>
      </c>
      <c r="H188" s="198">
        <f t="shared" si="12"/>
        <v>1520</v>
      </c>
      <c r="I188" s="185">
        <f t="shared" si="13"/>
        <v>9.1566265060240976E-4</v>
      </c>
      <c r="J188" s="185">
        <f t="shared" si="14"/>
        <v>7.6000000000000004E-4</v>
      </c>
    </row>
    <row r="189" spans="2:10">
      <c r="B189" s="16">
        <v>186</v>
      </c>
      <c r="C189" s="17" t="s">
        <v>746</v>
      </c>
      <c r="D189" s="73">
        <v>30.299999999999997</v>
      </c>
      <c r="E189" s="198">
        <f t="shared" si="10"/>
        <v>30.299999999999997</v>
      </c>
      <c r="F189" s="199">
        <v>50</v>
      </c>
      <c r="G189" s="200">
        <f t="shared" si="11"/>
        <v>40000</v>
      </c>
      <c r="H189" s="198">
        <f t="shared" si="12"/>
        <v>1514.9999999999998</v>
      </c>
      <c r="I189" s="185">
        <f t="shared" si="13"/>
        <v>9.1265060240963854E-4</v>
      </c>
      <c r="J189" s="185">
        <f t="shared" si="14"/>
        <v>7.5749999999999993E-4</v>
      </c>
    </row>
    <row r="190" spans="2:10">
      <c r="B190" s="16">
        <v>187</v>
      </c>
      <c r="C190" s="17" t="s">
        <v>497</v>
      </c>
      <c r="D190" s="73">
        <v>30</v>
      </c>
      <c r="E190" s="198">
        <f t="shared" si="10"/>
        <v>30</v>
      </c>
      <c r="F190" s="199">
        <v>100</v>
      </c>
      <c r="G190" s="200">
        <f t="shared" si="11"/>
        <v>20000</v>
      </c>
      <c r="H190" s="198">
        <f t="shared" si="12"/>
        <v>3000</v>
      </c>
      <c r="I190" s="185">
        <f t="shared" si="13"/>
        <v>1.8072289156626509E-3</v>
      </c>
      <c r="J190" s="185">
        <f t="shared" si="14"/>
        <v>1.5E-3</v>
      </c>
    </row>
    <row r="191" spans="2:10">
      <c r="B191" s="16">
        <v>188</v>
      </c>
      <c r="C191" s="125" t="s">
        <v>553</v>
      </c>
      <c r="D191" s="73">
        <v>30</v>
      </c>
      <c r="E191" s="198">
        <f t="shared" si="10"/>
        <v>30</v>
      </c>
      <c r="F191" s="199">
        <v>162</v>
      </c>
      <c r="G191" s="200">
        <f t="shared" si="11"/>
        <v>12345.679012345679</v>
      </c>
      <c r="H191" s="198">
        <f t="shared" si="12"/>
        <v>4860</v>
      </c>
      <c r="I191" s="185">
        <f t="shared" si="13"/>
        <v>2.9277108433734943E-3</v>
      </c>
      <c r="J191" s="185">
        <f t="shared" si="14"/>
        <v>2.4299999999999999E-3</v>
      </c>
    </row>
    <row r="192" spans="2:10">
      <c r="B192" s="16">
        <v>189</v>
      </c>
      <c r="C192" s="125" t="s">
        <v>556</v>
      </c>
      <c r="D192" s="73">
        <v>30</v>
      </c>
      <c r="E192" s="198">
        <f t="shared" si="10"/>
        <v>30</v>
      </c>
      <c r="F192" s="199">
        <v>162</v>
      </c>
      <c r="G192" s="200">
        <f t="shared" si="11"/>
        <v>12345.679012345679</v>
      </c>
      <c r="H192" s="198">
        <f t="shared" si="12"/>
        <v>4860</v>
      </c>
      <c r="I192" s="185">
        <f t="shared" si="13"/>
        <v>2.9277108433734943E-3</v>
      </c>
      <c r="J192" s="185">
        <f t="shared" si="14"/>
        <v>2.4299999999999999E-3</v>
      </c>
    </row>
    <row r="193" spans="2:10">
      <c r="B193" s="16">
        <v>190</v>
      </c>
      <c r="C193" s="125" t="s">
        <v>559</v>
      </c>
      <c r="D193" s="73">
        <v>30</v>
      </c>
      <c r="E193" s="198">
        <f t="shared" si="10"/>
        <v>30</v>
      </c>
      <c r="F193" s="199">
        <v>162</v>
      </c>
      <c r="G193" s="200">
        <f t="shared" si="11"/>
        <v>12345.679012345679</v>
      </c>
      <c r="H193" s="198">
        <f t="shared" si="12"/>
        <v>4860</v>
      </c>
      <c r="I193" s="185">
        <f t="shared" si="13"/>
        <v>2.9277108433734943E-3</v>
      </c>
      <c r="J193" s="185">
        <f t="shared" si="14"/>
        <v>2.4299999999999999E-3</v>
      </c>
    </row>
    <row r="194" spans="2:10">
      <c r="B194" s="16">
        <v>191</v>
      </c>
      <c r="C194" s="17" t="s">
        <v>600</v>
      </c>
      <c r="D194" s="73">
        <v>30</v>
      </c>
      <c r="E194" s="198">
        <f t="shared" si="10"/>
        <v>30</v>
      </c>
      <c r="F194" s="199">
        <v>100</v>
      </c>
      <c r="G194" s="200">
        <f t="shared" si="11"/>
        <v>20000</v>
      </c>
      <c r="H194" s="198">
        <f t="shared" si="12"/>
        <v>3000</v>
      </c>
      <c r="I194" s="185">
        <f t="shared" si="13"/>
        <v>1.8072289156626509E-3</v>
      </c>
      <c r="J194" s="185">
        <f t="shared" si="14"/>
        <v>1.5E-3</v>
      </c>
    </row>
    <row r="195" spans="2:10">
      <c r="B195" s="16">
        <v>192</v>
      </c>
      <c r="C195" s="125" t="s">
        <v>648</v>
      </c>
      <c r="D195" s="73">
        <v>30</v>
      </c>
      <c r="E195" s="198">
        <f t="shared" si="10"/>
        <v>30</v>
      </c>
      <c r="F195" s="199">
        <v>100</v>
      </c>
      <c r="G195" s="200">
        <f t="shared" si="11"/>
        <v>20000</v>
      </c>
      <c r="H195" s="198">
        <f t="shared" si="12"/>
        <v>3000</v>
      </c>
      <c r="I195" s="185">
        <f t="shared" si="13"/>
        <v>1.8072289156626509E-3</v>
      </c>
      <c r="J195" s="185">
        <f t="shared" si="14"/>
        <v>1.5E-3</v>
      </c>
    </row>
    <row r="196" spans="2:10">
      <c r="B196" s="16">
        <v>193</v>
      </c>
      <c r="C196" s="121" t="s">
        <v>806</v>
      </c>
      <c r="D196" s="73">
        <v>30</v>
      </c>
      <c r="E196" s="198">
        <f t="shared" ref="E196:E259" si="15">D196*$M$7</f>
        <v>30</v>
      </c>
      <c r="F196" s="199">
        <v>800</v>
      </c>
      <c r="G196" s="200">
        <f t="shared" ref="G196:G259" si="16">$M$6/F196</f>
        <v>2500</v>
      </c>
      <c r="H196" s="198">
        <f t="shared" ref="H196:H259" si="17">F196*E196</f>
        <v>24000</v>
      </c>
      <c r="I196" s="185">
        <f t="shared" ref="I196:I259" si="18">H196/$M$9</f>
        <v>1.4457831325301207E-2</v>
      </c>
      <c r="J196" s="185">
        <f t="shared" ref="J196:J259" si="19">H196/$M$8</f>
        <v>1.2E-2</v>
      </c>
    </row>
    <row r="197" spans="2:10">
      <c r="B197" s="16">
        <v>194</v>
      </c>
      <c r="C197" s="17" t="s">
        <v>739</v>
      </c>
      <c r="D197" s="73">
        <v>29.5</v>
      </c>
      <c r="E197" s="198">
        <f t="shared" si="15"/>
        <v>29.5</v>
      </c>
      <c r="F197" s="199">
        <v>50</v>
      </c>
      <c r="G197" s="200">
        <f t="shared" si="16"/>
        <v>40000</v>
      </c>
      <c r="H197" s="198">
        <f t="shared" si="17"/>
        <v>1475</v>
      </c>
      <c r="I197" s="185">
        <f t="shared" si="18"/>
        <v>8.8855421686747E-4</v>
      </c>
      <c r="J197" s="185">
        <f t="shared" si="19"/>
        <v>7.3749999999999998E-4</v>
      </c>
    </row>
    <row r="198" spans="2:10">
      <c r="B198" s="16">
        <v>195</v>
      </c>
      <c r="C198" s="17" t="s">
        <v>713</v>
      </c>
      <c r="D198" s="73">
        <v>29.2</v>
      </c>
      <c r="E198" s="198">
        <f t="shared" si="15"/>
        <v>29.2</v>
      </c>
      <c r="F198" s="199">
        <v>100</v>
      </c>
      <c r="G198" s="200">
        <f t="shared" si="16"/>
        <v>20000</v>
      </c>
      <c r="H198" s="198">
        <f t="shared" si="17"/>
        <v>2920</v>
      </c>
      <c r="I198" s="185">
        <f t="shared" si="18"/>
        <v>1.7590361445783136E-3</v>
      </c>
      <c r="J198" s="185">
        <f t="shared" si="19"/>
        <v>1.4599999999999999E-3</v>
      </c>
    </row>
    <row r="199" spans="2:10">
      <c r="B199" s="16">
        <v>196</v>
      </c>
      <c r="C199" s="125" t="s">
        <v>643</v>
      </c>
      <c r="D199" s="73">
        <v>29</v>
      </c>
      <c r="E199" s="198">
        <f t="shared" si="15"/>
        <v>29</v>
      </c>
      <c r="F199" s="199">
        <v>200</v>
      </c>
      <c r="G199" s="200">
        <f t="shared" si="16"/>
        <v>10000</v>
      </c>
      <c r="H199" s="198">
        <f t="shared" si="17"/>
        <v>5800</v>
      </c>
      <c r="I199" s="185">
        <f t="shared" si="18"/>
        <v>3.4939759036144583E-3</v>
      </c>
      <c r="J199" s="185">
        <f t="shared" si="19"/>
        <v>2.8999999999999998E-3</v>
      </c>
    </row>
    <row r="200" spans="2:10">
      <c r="B200" s="16">
        <v>197</v>
      </c>
      <c r="C200" s="111" t="s">
        <v>684</v>
      </c>
      <c r="D200" s="73">
        <v>29</v>
      </c>
      <c r="E200" s="198">
        <f t="shared" si="15"/>
        <v>29</v>
      </c>
      <c r="F200" s="199">
        <v>100</v>
      </c>
      <c r="G200" s="200">
        <f t="shared" si="16"/>
        <v>20000</v>
      </c>
      <c r="H200" s="198">
        <f t="shared" si="17"/>
        <v>2900</v>
      </c>
      <c r="I200" s="185">
        <f t="shared" si="18"/>
        <v>1.7469879518072291E-3</v>
      </c>
      <c r="J200" s="185">
        <f t="shared" si="19"/>
        <v>1.4499999999999999E-3</v>
      </c>
    </row>
    <row r="201" spans="2:10">
      <c r="B201" s="16">
        <v>198</v>
      </c>
      <c r="C201" s="17" t="s">
        <v>715</v>
      </c>
      <c r="D201" s="73">
        <v>29</v>
      </c>
      <c r="E201" s="198">
        <f t="shared" si="15"/>
        <v>29</v>
      </c>
      <c r="F201" s="199">
        <v>167</v>
      </c>
      <c r="G201" s="200">
        <f t="shared" si="16"/>
        <v>11976.047904191617</v>
      </c>
      <c r="H201" s="198">
        <f t="shared" si="17"/>
        <v>4843</v>
      </c>
      <c r="I201" s="185">
        <f t="shared" si="18"/>
        <v>2.9174698795180727E-3</v>
      </c>
      <c r="J201" s="185">
        <f t="shared" si="19"/>
        <v>2.4215E-3</v>
      </c>
    </row>
    <row r="202" spans="2:10">
      <c r="B202" s="16">
        <v>199</v>
      </c>
      <c r="C202" s="17" t="s">
        <v>761</v>
      </c>
      <c r="D202" s="73">
        <v>28.6</v>
      </c>
      <c r="E202" s="198">
        <f t="shared" si="15"/>
        <v>28.6</v>
      </c>
      <c r="F202" s="199">
        <v>100</v>
      </c>
      <c r="G202" s="200">
        <f t="shared" si="16"/>
        <v>20000</v>
      </c>
      <c r="H202" s="198">
        <f t="shared" si="17"/>
        <v>2860</v>
      </c>
      <c r="I202" s="185">
        <f t="shared" si="18"/>
        <v>1.7228915662650605E-3</v>
      </c>
      <c r="J202" s="185">
        <f t="shared" si="19"/>
        <v>1.4300000000000001E-3</v>
      </c>
    </row>
    <row r="203" spans="2:10">
      <c r="B203" s="16">
        <v>200</v>
      </c>
      <c r="C203" s="17" t="s">
        <v>541</v>
      </c>
      <c r="D203" s="73">
        <v>28.5</v>
      </c>
      <c r="E203" s="198">
        <f t="shared" si="15"/>
        <v>28.5</v>
      </c>
      <c r="F203" s="199">
        <v>17</v>
      </c>
      <c r="G203" s="200">
        <f t="shared" si="16"/>
        <v>117647.05882352941</v>
      </c>
      <c r="H203" s="198">
        <f t="shared" si="17"/>
        <v>484.5</v>
      </c>
      <c r="I203" s="185">
        <f t="shared" si="18"/>
        <v>2.9186746987951812E-4</v>
      </c>
      <c r="J203" s="185">
        <f t="shared" si="19"/>
        <v>2.4225000000000001E-4</v>
      </c>
    </row>
    <row r="204" spans="2:10">
      <c r="B204" s="16">
        <v>201</v>
      </c>
      <c r="C204" s="17" t="s">
        <v>743</v>
      </c>
      <c r="D204" s="73">
        <v>28.4</v>
      </c>
      <c r="E204" s="198">
        <f t="shared" si="15"/>
        <v>28.4</v>
      </c>
      <c r="F204" s="199">
        <v>50</v>
      </c>
      <c r="G204" s="200">
        <f t="shared" si="16"/>
        <v>40000</v>
      </c>
      <c r="H204" s="198">
        <f t="shared" si="17"/>
        <v>1420</v>
      </c>
      <c r="I204" s="185">
        <f t="shared" si="18"/>
        <v>8.5542168674698803E-4</v>
      </c>
      <c r="J204" s="185">
        <f t="shared" si="19"/>
        <v>7.1000000000000002E-4</v>
      </c>
    </row>
    <row r="205" spans="2:10">
      <c r="B205" s="16">
        <v>202</v>
      </c>
      <c r="C205" s="17" t="s">
        <v>537</v>
      </c>
      <c r="D205" s="73">
        <v>28</v>
      </c>
      <c r="E205" s="198">
        <f t="shared" si="15"/>
        <v>28</v>
      </c>
      <c r="F205" s="199">
        <v>17</v>
      </c>
      <c r="G205" s="200">
        <f t="shared" si="16"/>
        <v>117647.05882352941</v>
      </c>
      <c r="H205" s="198">
        <f t="shared" si="17"/>
        <v>476</v>
      </c>
      <c r="I205" s="185">
        <f t="shared" si="18"/>
        <v>2.8674698795180727E-4</v>
      </c>
      <c r="J205" s="185">
        <f t="shared" si="19"/>
        <v>2.3800000000000001E-4</v>
      </c>
    </row>
    <row r="206" spans="2:10">
      <c r="B206" s="16">
        <v>203</v>
      </c>
      <c r="C206" s="125" t="s">
        <v>579</v>
      </c>
      <c r="D206" s="73">
        <v>28</v>
      </c>
      <c r="E206" s="198">
        <f t="shared" si="15"/>
        <v>28</v>
      </c>
      <c r="F206" s="199">
        <v>900</v>
      </c>
      <c r="G206" s="200">
        <f t="shared" si="16"/>
        <v>2222.2222222222222</v>
      </c>
      <c r="H206" s="198">
        <f t="shared" si="17"/>
        <v>25200</v>
      </c>
      <c r="I206" s="185">
        <f t="shared" si="18"/>
        <v>1.5180722891566268E-2</v>
      </c>
      <c r="J206" s="185">
        <f t="shared" si="19"/>
        <v>1.26E-2</v>
      </c>
    </row>
    <row r="207" spans="2:10">
      <c r="B207" s="16">
        <v>204</v>
      </c>
      <c r="C207" s="17" t="s">
        <v>597</v>
      </c>
      <c r="D207" s="73">
        <v>28</v>
      </c>
      <c r="E207" s="198">
        <f t="shared" si="15"/>
        <v>28</v>
      </c>
      <c r="F207" s="199">
        <v>100</v>
      </c>
      <c r="G207" s="200">
        <f t="shared" si="16"/>
        <v>20000</v>
      </c>
      <c r="H207" s="198">
        <f t="shared" si="17"/>
        <v>2800</v>
      </c>
      <c r="I207" s="185">
        <f t="shared" si="18"/>
        <v>1.6867469879518074E-3</v>
      </c>
      <c r="J207" s="185">
        <f t="shared" si="19"/>
        <v>1.4E-3</v>
      </c>
    </row>
    <row r="208" spans="2:10">
      <c r="B208" s="16">
        <v>205</v>
      </c>
      <c r="C208" s="17" t="s">
        <v>614</v>
      </c>
      <c r="D208" s="73">
        <v>28</v>
      </c>
      <c r="E208" s="198">
        <f t="shared" si="15"/>
        <v>28</v>
      </c>
      <c r="F208" s="199">
        <v>162</v>
      </c>
      <c r="G208" s="200">
        <f t="shared" si="16"/>
        <v>12345.679012345679</v>
      </c>
      <c r="H208" s="198">
        <f t="shared" si="17"/>
        <v>4536</v>
      </c>
      <c r="I208" s="185">
        <f t="shared" si="18"/>
        <v>2.7325301204819282E-3</v>
      </c>
      <c r="J208" s="185">
        <f t="shared" si="19"/>
        <v>2.2680000000000001E-3</v>
      </c>
    </row>
    <row r="209" spans="2:10">
      <c r="B209" s="16">
        <v>206</v>
      </c>
      <c r="C209" s="125" t="s">
        <v>666</v>
      </c>
      <c r="D209" s="73">
        <v>28</v>
      </c>
      <c r="E209" s="198">
        <f t="shared" si="15"/>
        <v>28</v>
      </c>
      <c r="F209" s="199">
        <v>100</v>
      </c>
      <c r="G209" s="200">
        <f t="shared" si="16"/>
        <v>20000</v>
      </c>
      <c r="H209" s="198">
        <f t="shared" si="17"/>
        <v>2800</v>
      </c>
      <c r="I209" s="185">
        <f t="shared" si="18"/>
        <v>1.6867469879518074E-3</v>
      </c>
      <c r="J209" s="185">
        <f t="shared" si="19"/>
        <v>1.4E-3</v>
      </c>
    </row>
    <row r="210" spans="2:10">
      <c r="B210" s="16">
        <v>207</v>
      </c>
      <c r="C210" s="17" t="s">
        <v>712</v>
      </c>
      <c r="D210" s="73">
        <v>27.299999999999997</v>
      </c>
      <c r="E210" s="198">
        <f t="shared" si="15"/>
        <v>27.299999999999997</v>
      </c>
      <c r="F210" s="199">
        <v>100</v>
      </c>
      <c r="G210" s="200">
        <f t="shared" si="16"/>
        <v>20000</v>
      </c>
      <c r="H210" s="198">
        <f t="shared" si="17"/>
        <v>2729.9999999999995</v>
      </c>
      <c r="I210" s="185">
        <f t="shared" si="18"/>
        <v>1.6445783132530119E-3</v>
      </c>
      <c r="J210" s="185">
        <f t="shared" si="19"/>
        <v>1.3649999999999997E-3</v>
      </c>
    </row>
    <row r="211" spans="2:10">
      <c r="B211" s="16">
        <v>208</v>
      </c>
      <c r="C211" s="17" t="s">
        <v>736</v>
      </c>
      <c r="D211" s="73">
        <v>27.299999999999997</v>
      </c>
      <c r="E211" s="198">
        <f t="shared" si="15"/>
        <v>27.299999999999997</v>
      </c>
      <c r="F211" s="199">
        <v>50</v>
      </c>
      <c r="G211" s="200">
        <f t="shared" si="16"/>
        <v>40000</v>
      </c>
      <c r="H211" s="198">
        <f t="shared" si="17"/>
        <v>1364.9999999999998</v>
      </c>
      <c r="I211" s="185">
        <f t="shared" si="18"/>
        <v>8.2228915662650596E-4</v>
      </c>
      <c r="J211" s="185">
        <f t="shared" si="19"/>
        <v>6.8249999999999984E-4</v>
      </c>
    </row>
    <row r="212" spans="2:10">
      <c r="B212" s="16">
        <v>209</v>
      </c>
      <c r="C212" s="17" t="s">
        <v>517</v>
      </c>
      <c r="D212" s="73">
        <v>27</v>
      </c>
      <c r="E212" s="198">
        <f t="shared" si="15"/>
        <v>27</v>
      </c>
      <c r="F212" s="199">
        <v>17</v>
      </c>
      <c r="G212" s="200">
        <f t="shared" si="16"/>
        <v>117647.05882352941</v>
      </c>
      <c r="H212" s="198">
        <f t="shared" si="17"/>
        <v>459</v>
      </c>
      <c r="I212" s="185">
        <f t="shared" si="18"/>
        <v>2.7650602409638557E-4</v>
      </c>
      <c r="J212" s="185">
        <f t="shared" si="19"/>
        <v>2.2949999999999999E-4</v>
      </c>
    </row>
    <row r="213" spans="2:10">
      <c r="B213" s="16">
        <v>210</v>
      </c>
      <c r="C213" s="17" t="s">
        <v>538</v>
      </c>
      <c r="D213" s="73">
        <v>27</v>
      </c>
      <c r="E213" s="198">
        <f t="shared" si="15"/>
        <v>27</v>
      </c>
      <c r="F213" s="199">
        <v>19</v>
      </c>
      <c r="G213" s="200">
        <f t="shared" si="16"/>
        <v>105263.15789473684</v>
      </c>
      <c r="H213" s="198">
        <f t="shared" si="17"/>
        <v>513</v>
      </c>
      <c r="I213" s="185">
        <f t="shared" si="18"/>
        <v>3.090361445783133E-4</v>
      </c>
      <c r="J213" s="185">
        <f t="shared" si="19"/>
        <v>2.565E-4</v>
      </c>
    </row>
    <row r="214" spans="2:10">
      <c r="B214" s="16">
        <v>211</v>
      </c>
      <c r="C214" s="17" t="s">
        <v>596</v>
      </c>
      <c r="D214" s="73">
        <v>27</v>
      </c>
      <c r="E214" s="198">
        <f t="shared" si="15"/>
        <v>27</v>
      </c>
      <c r="F214" s="199">
        <v>100</v>
      </c>
      <c r="G214" s="200">
        <f t="shared" si="16"/>
        <v>20000</v>
      </c>
      <c r="H214" s="198">
        <f t="shared" si="17"/>
        <v>2700</v>
      </c>
      <c r="I214" s="185">
        <f t="shared" si="18"/>
        <v>1.6265060240963857E-3</v>
      </c>
      <c r="J214" s="185">
        <f t="shared" si="19"/>
        <v>1.3500000000000001E-3</v>
      </c>
    </row>
    <row r="215" spans="2:10">
      <c r="B215" s="16">
        <v>212</v>
      </c>
      <c r="C215" s="17" t="s">
        <v>612</v>
      </c>
      <c r="D215" s="73">
        <v>27</v>
      </c>
      <c r="E215" s="198">
        <f t="shared" si="15"/>
        <v>27</v>
      </c>
      <c r="F215" s="199">
        <v>20</v>
      </c>
      <c r="G215" s="200">
        <f t="shared" si="16"/>
        <v>100000</v>
      </c>
      <c r="H215" s="198">
        <f t="shared" si="17"/>
        <v>540</v>
      </c>
      <c r="I215" s="185">
        <f t="shared" si="18"/>
        <v>3.2530120481927716E-4</v>
      </c>
      <c r="J215" s="185">
        <f t="shared" si="19"/>
        <v>2.7E-4</v>
      </c>
    </row>
    <row r="216" spans="2:10">
      <c r="B216" s="16">
        <v>213</v>
      </c>
      <c r="C216" s="125" t="s">
        <v>642</v>
      </c>
      <c r="D216" s="73">
        <v>27</v>
      </c>
      <c r="E216" s="198">
        <f t="shared" si="15"/>
        <v>27</v>
      </c>
      <c r="F216" s="199">
        <v>200</v>
      </c>
      <c r="G216" s="200">
        <f t="shared" si="16"/>
        <v>10000</v>
      </c>
      <c r="H216" s="198">
        <f t="shared" si="17"/>
        <v>5400</v>
      </c>
      <c r="I216" s="185">
        <f t="shared" si="18"/>
        <v>3.2530120481927714E-3</v>
      </c>
      <c r="J216" s="185">
        <f t="shared" si="19"/>
        <v>2.7000000000000001E-3</v>
      </c>
    </row>
    <row r="217" spans="2:10">
      <c r="B217" s="16">
        <v>214</v>
      </c>
      <c r="C217" s="111" t="s">
        <v>686</v>
      </c>
      <c r="D217" s="73">
        <v>27</v>
      </c>
      <c r="E217" s="198">
        <f t="shared" si="15"/>
        <v>27</v>
      </c>
      <c r="F217" s="199">
        <v>400</v>
      </c>
      <c r="G217" s="200">
        <f t="shared" si="16"/>
        <v>5000</v>
      </c>
      <c r="H217" s="198">
        <f t="shared" si="17"/>
        <v>10800</v>
      </c>
      <c r="I217" s="185">
        <f t="shared" si="18"/>
        <v>6.5060240963855428E-3</v>
      </c>
      <c r="J217" s="185">
        <f t="shared" si="19"/>
        <v>5.4000000000000003E-3</v>
      </c>
    </row>
    <row r="218" spans="2:10">
      <c r="B218" s="16">
        <v>215</v>
      </c>
      <c r="C218" s="17" t="s">
        <v>726</v>
      </c>
      <c r="D218" s="73">
        <v>26.799999999999997</v>
      </c>
      <c r="E218" s="198">
        <f t="shared" si="15"/>
        <v>26.799999999999997</v>
      </c>
      <c r="F218" s="199">
        <v>50</v>
      </c>
      <c r="G218" s="200">
        <f t="shared" si="16"/>
        <v>40000</v>
      </c>
      <c r="H218" s="198">
        <f t="shared" si="17"/>
        <v>1339.9999999999998</v>
      </c>
      <c r="I218" s="185">
        <f t="shared" si="18"/>
        <v>8.0722891566265063E-4</v>
      </c>
      <c r="J218" s="185">
        <f t="shared" si="19"/>
        <v>6.6999999999999991E-4</v>
      </c>
    </row>
    <row r="219" spans="2:10">
      <c r="B219" s="16">
        <v>216</v>
      </c>
      <c r="C219" s="111" t="s">
        <v>695</v>
      </c>
      <c r="D219" s="73">
        <v>26.7</v>
      </c>
      <c r="E219" s="198">
        <f t="shared" si="15"/>
        <v>26.7</v>
      </c>
      <c r="F219" s="199">
        <v>400</v>
      </c>
      <c r="G219" s="200">
        <f t="shared" si="16"/>
        <v>5000</v>
      </c>
      <c r="H219" s="198">
        <f t="shared" si="17"/>
        <v>10680</v>
      </c>
      <c r="I219" s="185">
        <f t="shared" si="18"/>
        <v>6.4337349397590371E-3</v>
      </c>
      <c r="J219" s="185">
        <f t="shared" si="19"/>
        <v>5.3400000000000001E-3</v>
      </c>
    </row>
    <row r="220" spans="2:10">
      <c r="B220" s="16">
        <v>217</v>
      </c>
      <c r="C220" s="17" t="s">
        <v>519</v>
      </c>
      <c r="D220" s="73">
        <v>26.5</v>
      </c>
      <c r="E220" s="198">
        <f t="shared" si="15"/>
        <v>26.5</v>
      </c>
      <c r="F220" s="199">
        <v>18</v>
      </c>
      <c r="G220" s="200">
        <f t="shared" si="16"/>
        <v>111111.11111111111</v>
      </c>
      <c r="H220" s="198">
        <f t="shared" si="17"/>
        <v>477</v>
      </c>
      <c r="I220" s="185">
        <f t="shared" si="18"/>
        <v>2.8734939759036146E-4</v>
      </c>
      <c r="J220" s="185">
        <f t="shared" si="19"/>
        <v>2.385E-4</v>
      </c>
    </row>
    <row r="221" spans="2:10">
      <c r="B221" s="16">
        <v>218</v>
      </c>
      <c r="C221" s="17" t="s">
        <v>526</v>
      </c>
      <c r="D221" s="73">
        <v>26</v>
      </c>
      <c r="E221" s="198">
        <f t="shared" si="15"/>
        <v>26</v>
      </c>
      <c r="F221" s="199">
        <v>18</v>
      </c>
      <c r="G221" s="200">
        <f t="shared" si="16"/>
        <v>111111.11111111111</v>
      </c>
      <c r="H221" s="198">
        <f t="shared" si="17"/>
        <v>468</v>
      </c>
      <c r="I221" s="185">
        <f t="shared" si="18"/>
        <v>2.8192771084337354E-4</v>
      </c>
      <c r="J221" s="185">
        <f t="shared" si="19"/>
        <v>2.34E-4</v>
      </c>
    </row>
    <row r="222" spans="2:10">
      <c r="B222" s="16">
        <v>219</v>
      </c>
      <c r="C222" s="17" t="s">
        <v>547</v>
      </c>
      <c r="D222" s="73">
        <v>26</v>
      </c>
      <c r="E222" s="198">
        <f t="shared" si="15"/>
        <v>26</v>
      </c>
      <c r="F222" s="199">
        <v>18</v>
      </c>
      <c r="G222" s="200">
        <f t="shared" si="16"/>
        <v>111111.11111111111</v>
      </c>
      <c r="H222" s="198">
        <f t="shared" si="17"/>
        <v>468</v>
      </c>
      <c r="I222" s="185">
        <f t="shared" si="18"/>
        <v>2.8192771084337354E-4</v>
      </c>
      <c r="J222" s="185">
        <f t="shared" si="19"/>
        <v>2.34E-4</v>
      </c>
    </row>
    <row r="223" spans="2:10">
      <c r="B223" s="16">
        <v>220</v>
      </c>
      <c r="C223" s="125" t="s">
        <v>577</v>
      </c>
      <c r="D223" s="73">
        <v>26</v>
      </c>
      <c r="E223" s="198">
        <f t="shared" si="15"/>
        <v>26</v>
      </c>
      <c r="F223" s="199">
        <v>900</v>
      </c>
      <c r="G223" s="200">
        <f t="shared" si="16"/>
        <v>2222.2222222222222</v>
      </c>
      <c r="H223" s="198">
        <f t="shared" si="17"/>
        <v>23400</v>
      </c>
      <c r="I223" s="185">
        <f t="shared" si="18"/>
        <v>1.4096385542168677E-2</v>
      </c>
      <c r="J223" s="185">
        <f t="shared" si="19"/>
        <v>1.17E-2</v>
      </c>
    </row>
    <row r="224" spans="2:10">
      <c r="B224" s="16">
        <v>221</v>
      </c>
      <c r="C224" s="17" t="s">
        <v>730</v>
      </c>
      <c r="D224" s="73">
        <v>25.7</v>
      </c>
      <c r="E224" s="198">
        <f>D224*$M$7</f>
        <v>25.7</v>
      </c>
      <c r="F224" s="199">
        <v>100</v>
      </c>
      <c r="G224" s="200">
        <f t="shared" si="16"/>
        <v>20000</v>
      </c>
      <c r="H224" s="198">
        <f t="shared" si="17"/>
        <v>2570</v>
      </c>
      <c r="I224" s="185">
        <f t="shared" si="18"/>
        <v>1.5481927710843375E-3</v>
      </c>
      <c r="J224" s="185">
        <f t="shared" si="19"/>
        <v>1.2849999999999999E-3</v>
      </c>
    </row>
    <row r="225" spans="2:11">
      <c r="B225" s="16">
        <v>222</v>
      </c>
      <c r="C225" s="17" t="s">
        <v>544</v>
      </c>
      <c r="D225" s="73">
        <v>25.5</v>
      </c>
      <c r="E225" s="198">
        <f t="shared" si="15"/>
        <v>25.5</v>
      </c>
      <c r="F225" s="199">
        <v>19</v>
      </c>
      <c r="G225" s="200">
        <f t="shared" si="16"/>
        <v>105263.15789473684</v>
      </c>
      <c r="H225" s="198">
        <f t="shared" si="17"/>
        <v>484.5</v>
      </c>
      <c r="I225" s="185">
        <f t="shared" si="18"/>
        <v>2.9186746987951812E-4</v>
      </c>
      <c r="J225" s="185">
        <f t="shared" si="19"/>
        <v>2.4225000000000001E-4</v>
      </c>
    </row>
    <row r="226" spans="2:11">
      <c r="B226" s="16">
        <v>223</v>
      </c>
      <c r="C226" s="17" t="s">
        <v>595</v>
      </c>
      <c r="D226" s="73">
        <v>25.5</v>
      </c>
      <c r="E226" s="198">
        <f t="shared" si="15"/>
        <v>25.5</v>
      </c>
      <c r="F226" s="199">
        <v>100</v>
      </c>
      <c r="G226" s="200">
        <f t="shared" si="16"/>
        <v>20000</v>
      </c>
      <c r="H226" s="198">
        <f t="shared" si="17"/>
        <v>2550</v>
      </c>
      <c r="I226" s="185">
        <f t="shared" si="18"/>
        <v>1.5361445783132533E-3</v>
      </c>
      <c r="J226" s="185">
        <f t="shared" si="19"/>
        <v>1.2750000000000001E-3</v>
      </c>
    </row>
    <row r="227" spans="2:11">
      <c r="B227" s="16">
        <v>224</v>
      </c>
      <c r="C227" s="111" t="s">
        <v>689</v>
      </c>
      <c r="D227" s="73">
        <v>25.400000000000002</v>
      </c>
      <c r="E227" s="198">
        <f t="shared" si="15"/>
        <v>25.400000000000002</v>
      </c>
      <c r="F227" s="199">
        <v>400</v>
      </c>
      <c r="G227" s="200">
        <f t="shared" si="16"/>
        <v>5000</v>
      </c>
      <c r="H227" s="198">
        <f t="shared" si="17"/>
        <v>10160</v>
      </c>
      <c r="I227" s="185">
        <f t="shared" si="18"/>
        <v>6.1204819277108444E-3</v>
      </c>
      <c r="J227" s="185">
        <f t="shared" si="19"/>
        <v>5.0800000000000003E-3</v>
      </c>
    </row>
    <row r="228" spans="2:11">
      <c r="B228" s="16">
        <v>225</v>
      </c>
      <c r="C228" s="17" t="s">
        <v>720</v>
      </c>
      <c r="D228" s="73">
        <v>25.3</v>
      </c>
      <c r="E228" s="198">
        <f t="shared" si="15"/>
        <v>25.3</v>
      </c>
      <c r="F228" s="199">
        <v>100</v>
      </c>
      <c r="G228" s="200">
        <f t="shared" si="16"/>
        <v>20000</v>
      </c>
      <c r="H228" s="198">
        <f t="shared" si="17"/>
        <v>2530</v>
      </c>
      <c r="I228" s="185">
        <f t="shared" si="18"/>
        <v>1.5240963855421689E-3</v>
      </c>
      <c r="J228" s="185">
        <f t="shared" si="19"/>
        <v>1.2650000000000001E-3</v>
      </c>
    </row>
    <row r="229" spans="2:11">
      <c r="B229" s="16">
        <v>226</v>
      </c>
      <c r="C229" s="111" t="s">
        <v>683</v>
      </c>
      <c r="D229" s="73">
        <v>25.299999999999997</v>
      </c>
      <c r="E229" s="198">
        <f t="shared" si="15"/>
        <v>25.299999999999997</v>
      </c>
      <c r="F229" s="199">
        <v>400</v>
      </c>
      <c r="G229" s="200">
        <f t="shared" si="16"/>
        <v>5000</v>
      </c>
      <c r="H229" s="198">
        <f t="shared" si="17"/>
        <v>10119.999999999998</v>
      </c>
      <c r="I229" s="185">
        <f t="shared" si="18"/>
        <v>6.0963855421686747E-3</v>
      </c>
      <c r="J229" s="185">
        <f t="shared" si="19"/>
        <v>5.0599999999999994E-3</v>
      </c>
    </row>
    <row r="230" spans="2:11">
      <c r="B230" s="16">
        <v>227</v>
      </c>
      <c r="C230" s="17" t="s">
        <v>516</v>
      </c>
      <c r="D230" s="73">
        <v>25</v>
      </c>
      <c r="E230" s="198">
        <f t="shared" si="15"/>
        <v>25</v>
      </c>
      <c r="F230" s="199">
        <v>19</v>
      </c>
      <c r="G230" s="200">
        <f t="shared" si="16"/>
        <v>105263.15789473684</v>
      </c>
      <c r="H230" s="198">
        <f t="shared" si="17"/>
        <v>475</v>
      </c>
      <c r="I230" s="185">
        <f t="shared" si="18"/>
        <v>2.8614457831325303E-4</v>
      </c>
      <c r="J230" s="185">
        <f t="shared" si="19"/>
        <v>2.375E-4</v>
      </c>
    </row>
    <row r="231" spans="2:11">
      <c r="B231" s="16">
        <v>228</v>
      </c>
      <c r="C231" s="17" t="s">
        <v>523</v>
      </c>
      <c r="D231" s="73">
        <v>25</v>
      </c>
      <c r="E231" s="198">
        <f t="shared" si="15"/>
        <v>25</v>
      </c>
      <c r="F231" s="199">
        <v>19</v>
      </c>
      <c r="G231" s="200">
        <f t="shared" si="16"/>
        <v>105263.15789473684</v>
      </c>
      <c r="H231" s="198">
        <f t="shared" si="17"/>
        <v>475</v>
      </c>
      <c r="I231" s="185">
        <f t="shared" si="18"/>
        <v>2.8614457831325303E-4</v>
      </c>
      <c r="J231" s="185">
        <f t="shared" si="19"/>
        <v>2.375E-4</v>
      </c>
    </row>
    <row r="232" spans="2:11" ht="13.8" customHeight="1">
      <c r="B232" s="16">
        <v>229</v>
      </c>
      <c r="C232" s="17" t="s">
        <v>592</v>
      </c>
      <c r="D232" s="73">
        <v>25</v>
      </c>
      <c r="E232" s="198">
        <f t="shared" si="15"/>
        <v>25</v>
      </c>
      <c r="F232" s="199">
        <v>100</v>
      </c>
      <c r="G232" s="200">
        <f t="shared" si="16"/>
        <v>20000</v>
      </c>
      <c r="H232" s="198">
        <f t="shared" si="17"/>
        <v>2500</v>
      </c>
      <c r="I232" s="185">
        <f t="shared" si="18"/>
        <v>1.5060240963855425E-3</v>
      </c>
      <c r="J232" s="185">
        <f t="shared" si="19"/>
        <v>1.25E-3</v>
      </c>
    </row>
    <row r="233" spans="2:11" ht="13.8" customHeight="1">
      <c r="B233" s="16">
        <v>230</v>
      </c>
      <c r="C233" s="17" t="s">
        <v>593</v>
      </c>
      <c r="D233" s="73">
        <v>25</v>
      </c>
      <c r="E233" s="198">
        <f t="shared" si="15"/>
        <v>25</v>
      </c>
      <c r="F233" s="199">
        <v>100</v>
      </c>
      <c r="G233" s="200">
        <f t="shared" si="16"/>
        <v>20000</v>
      </c>
      <c r="H233" s="198">
        <f t="shared" si="17"/>
        <v>2500</v>
      </c>
      <c r="I233" s="185">
        <f t="shared" si="18"/>
        <v>1.5060240963855425E-3</v>
      </c>
      <c r="J233" s="185">
        <f t="shared" si="19"/>
        <v>1.25E-3</v>
      </c>
    </row>
    <row r="234" spans="2:11" ht="13.8" customHeight="1">
      <c r="B234" s="16">
        <v>231</v>
      </c>
      <c r="C234" s="17" t="s">
        <v>594</v>
      </c>
      <c r="D234" s="73">
        <v>25</v>
      </c>
      <c r="E234" s="198">
        <f t="shared" si="15"/>
        <v>25</v>
      </c>
      <c r="F234" s="199">
        <v>100</v>
      </c>
      <c r="G234" s="200">
        <f t="shared" si="16"/>
        <v>20000</v>
      </c>
      <c r="H234" s="198">
        <f t="shared" si="17"/>
        <v>2500</v>
      </c>
      <c r="I234" s="185">
        <f t="shared" si="18"/>
        <v>1.5060240963855425E-3</v>
      </c>
      <c r="J234" s="185">
        <f t="shared" si="19"/>
        <v>1.25E-3</v>
      </c>
    </row>
    <row r="235" spans="2:11" ht="13.8" customHeight="1">
      <c r="B235" s="16">
        <v>232</v>
      </c>
      <c r="C235" s="17" t="s">
        <v>598</v>
      </c>
      <c r="D235" s="73">
        <v>25</v>
      </c>
      <c r="E235" s="198">
        <f t="shared" si="15"/>
        <v>25</v>
      </c>
      <c r="F235" s="199">
        <v>100</v>
      </c>
      <c r="G235" s="200">
        <f t="shared" si="16"/>
        <v>20000</v>
      </c>
      <c r="H235" s="198">
        <f t="shared" si="17"/>
        <v>2500</v>
      </c>
      <c r="I235" s="185">
        <f t="shared" si="18"/>
        <v>1.5060240963855425E-3</v>
      </c>
      <c r="J235" s="185">
        <f t="shared" si="19"/>
        <v>1.25E-3</v>
      </c>
    </row>
    <row r="236" spans="2:11" ht="13.8" customHeight="1">
      <c r="B236" s="16">
        <v>233</v>
      </c>
      <c r="C236" s="17" t="s">
        <v>599</v>
      </c>
      <c r="D236" s="73">
        <v>25</v>
      </c>
      <c r="E236" s="198">
        <f t="shared" si="15"/>
        <v>25</v>
      </c>
      <c r="F236" s="199">
        <v>100</v>
      </c>
      <c r="G236" s="200">
        <f t="shared" si="16"/>
        <v>20000</v>
      </c>
      <c r="H236" s="198">
        <f t="shared" si="17"/>
        <v>2500</v>
      </c>
      <c r="I236" s="185">
        <f t="shared" si="18"/>
        <v>1.5060240963855425E-3</v>
      </c>
      <c r="J236" s="185">
        <f t="shared" si="19"/>
        <v>1.25E-3</v>
      </c>
      <c r="K236" s="147"/>
    </row>
    <row r="237" spans="2:11" ht="13.8" customHeight="1">
      <c r="B237" s="16">
        <v>234</v>
      </c>
      <c r="C237" s="17" t="s">
        <v>601</v>
      </c>
      <c r="D237" s="73">
        <v>25</v>
      </c>
      <c r="E237" s="198">
        <f t="shared" si="15"/>
        <v>25</v>
      </c>
      <c r="F237" s="199">
        <v>40</v>
      </c>
      <c r="G237" s="200">
        <f t="shared" si="16"/>
        <v>50000</v>
      </c>
      <c r="H237" s="198">
        <f t="shared" si="17"/>
        <v>1000</v>
      </c>
      <c r="I237" s="185">
        <f t="shared" si="18"/>
        <v>6.0240963855421692E-4</v>
      </c>
      <c r="J237" s="185">
        <f t="shared" si="19"/>
        <v>5.0000000000000001E-4</v>
      </c>
      <c r="K237" s="147"/>
    </row>
    <row r="238" spans="2:11" ht="13.8" customHeight="1">
      <c r="B238" s="16">
        <v>235</v>
      </c>
      <c r="C238" s="17" t="s">
        <v>622</v>
      </c>
      <c r="D238" s="73">
        <v>25</v>
      </c>
      <c r="E238" s="198">
        <f t="shared" si="15"/>
        <v>25</v>
      </c>
      <c r="F238" s="199">
        <v>100</v>
      </c>
      <c r="G238" s="200">
        <f t="shared" si="16"/>
        <v>20000</v>
      </c>
      <c r="H238" s="198">
        <f t="shared" si="17"/>
        <v>2500</v>
      </c>
      <c r="I238" s="185">
        <f t="shared" si="18"/>
        <v>1.5060240963855425E-3</v>
      </c>
      <c r="J238" s="185">
        <f t="shared" si="19"/>
        <v>1.25E-3</v>
      </c>
      <c r="K238" s="147"/>
    </row>
    <row r="239" spans="2:11" ht="13.8" customHeight="1">
      <c r="B239" s="16">
        <v>236</v>
      </c>
      <c r="C239" s="121" t="s">
        <v>805</v>
      </c>
      <c r="D239" s="73">
        <v>25</v>
      </c>
      <c r="E239" s="198">
        <f t="shared" si="15"/>
        <v>25</v>
      </c>
      <c r="F239" s="199">
        <v>1500</v>
      </c>
      <c r="G239" s="200">
        <f t="shared" si="16"/>
        <v>1333.3333333333333</v>
      </c>
      <c r="H239" s="198">
        <f t="shared" si="17"/>
        <v>37500</v>
      </c>
      <c r="I239" s="185">
        <f t="shared" si="18"/>
        <v>2.2590361445783136E-2</v>
      </c>
      <c r="J239" s="185">
        <f t="shared" si="19"/>
        <v>1.8749999999999999E-2</v>
      </c>
      <c r="K239" s="147"/>
    </row>
    <row r="240" spans="2:11" ht="13.8" customHeight="1">
      <c r="B240" s="16">
        <v>237</v>
      </c>
      <c r="C240" s="111" t="s">
        <v>679</v>
      </c>
      <c r="D240" s="73">
        <v>24.7</v>
      </c>
      <c r="E240" s="198">
        <f t="shared" si="15"/>
        <v>24.7</v>
      </c>
      <c r="F240" s="199">
        <v>400</v>
      </c>
      <c r="G240" s="200">
        <f t="shared" si="16"/>
        <v>5000</v>
      </c>
      <c r="H240" s="198">
        <f t="shared" si="17"/>
        <v>9880</v>
      </c>
      <c r="I240" s="185">
        <f t="shared" si="18"/>
        <v>5.9518072289156633E-3</v>
      </c>
      <c r="J240" s="185">
        <f t="shared" si="19"/>
        <v>4.9399999999999999E-3</v>
      </c>
      <c r="K240" s="147"/>
    </row>
    <row r="241" spans="2:24" ht="13.8" customHeight="1">
      <c r="B241" s="16">
        <v>238</v>
      </c>
      <c r="C241" s="125" t="s">
        <v>780</v>
      </c>
      <c r="D241" s="73">
        <v>24.6</v>
      </c>
      <c r="E241" s="198">
        <f t="shared" si="15"/>
        <v>24.6</v>
      </c>
      <c r="F241" s="199">
        <v>300</v>
      </c>
      <c r="G241" s="200">
        <f t="shared" si="16"/>
        <v>6666.666666666667</v>
      </c>
      <c r="H241" s="198">
        <f t="shared" si="17"/>
        <v>7380</v>
      </c>
      <c r="I241" s="185">
        <f t="shared" si="18"/>
        <v>4.4457831325301215E-3</v>
      </c>
      <c r="J241" s="185">
        <f t="shared" si="19"/>
        <v>3.6900000000000001E-3</v>
      </c>
      <c r="K241" s="147"/>
    </row>
    <row r="242" spans="2:24" ht="13.8" customHeight="1">
      <c r="B242" s="16">
        <v>239</v>
      </c>
      <c r="C242" s="17" t="s">
        <v>548</v>
      </c>
      <c r="D242" s="73">
        <v>24.5</v>
      </c>
      <c r="E242" s="198">
        <f t="shared" si="15"/>
        <v>24.5</v>
      </c>
      <c r="F242" s="199">
        <v>19</v>
      </c>
      <c r="G242" s="200">
        <f t="shared" si="16"/>
        <v>105263.15789473684</v>
      </c>
      <c r="H242" s="198">
        <f t="shared" si="17"/>
        <v>465.5</v>
      </c>
      <c r="I242" s="185">
        <f t="shared" si="18"/>
        <v>2.8042168674698799E-4</v>
      </c>
      <c r="J242" s="185">
        <f t="shared" si="19"/>
        <v>2.3274999999999999E-4</v>
      </c>
      <c r="K242" s="147"/>
    </row>
    <row r="243" spans="2:24" ht="13.8" customHeight="1" thickBot="1">
      <c r="B243" s="16">
        <v>240</v>
      </c>
      <c r="C243" s="17" t="s">
        <v>520</v>
      </c>
      <c r="D243" s="73">
        <v>24</v>
      </c>
      <c r="E243" s="198">
        <f t="shared" si="15"/>
        <v>24</v>
      </c>
      <c r="F243" s="199">
        <v>22</v>
      </c>
      <c r="G243" s="200">
        <f t="shared" si="16"/>
        <v>90909.090909090912</v>
      </c>
      <c r="H243" s="198">
        <f t="shared" si="17"/>
        <v>528</v>
      </c>
      <c r="I243" s="185">
        <f t="shared" si="18"/>
        <v>3.1807228915662657E-4</v>
      </c>
      <c r="J243" s="185">
        <f t="shared" si="19"/>
        <v>2.6400000000000002E-4</v>
      </c>
      <c r="K243" s="284"/>
      <c r="M243" s="147"/>
    </row>
    <row r="244" spans="2:24" ht="13.8" customHeight="1" thickBot="1">
      <c r="B244" s="16">
        <v>241</v>
      </c>
      <c r="C244" s="17" t="s">
        <v>543</v>
      </c>
      <c r="D244" s="73">
        <v>24</v>
      </c>
      <c r="E244" s="198">
        <f t="shared" si="15"/>
        <v>24</v>
      </c>
      <c r="F244" s="199">
        <v>20</v>
      </c>
      <c r="G244" s="200">
        <f t="shared" si="16"/>
        <v>100000</v>
      </c>
      <c r="H244" s="198">
        <f t="shared" si="17"/>
        <v>480</v>
      </c>
      <c r="I244" s="185">
        <f t="shared" si="18"/>
        <v>2.8915662650602414E-4</v>
      </c>
      <c r="J244" s="185">
        <f t="shared" si="19"/>
        <v>2.4000000000000001E-4</v>
      </c>
      <c r="K244" s="285"/>
      <c r="M244" s="204"/>
      <c r="N244" s="150"/>
      <c r="O244" s="150"/>
      <c r="P244" s="150"/>
      <c r="Q244" s="150"/>
      <c r="R244" s="150"/>
      <c r="S244" s="150"/>
      <c r="T244" s="150"/>
      <c r="U244" s="150"/>
      <c r="V244" s="150"/>
      <c r="W244" s="150"/>
      <c r="X244" s="153"/>
    </row>
    <row r="245" spans="2:24" ht="13.8" customHeight="1">
      <c r="B245" s="16">
        <v>242</v>
      </c>
      <c r="C245" s="17" t="s">
        <v>618</v>
      </c>
      <c r="D245" s="73">
        <v>23.5</v>
      </c>
      <c r="E245" s="198">
        <f t="shared" si="15"/>
        <v>23.5</v>
      </c>
      <c r="F245" s="199">
        <v>100</v>
      </c>
      <c r="G245" s="200">
        <f t="shared" si="16"/>
        <v>20000</v>
      </c>
      <c r="H245" s="198">
        <f t="shared" si="17"/>
        <v>2350</v>
      </c>
      <c r="I245" s="185">
        <f t="shared" si="18"/>
        <v>1.4156626506024099E-3</v>
      </c>
      <c r="J245" s="185">
        <f t="shared" si="19"/>
        <v>1.175E-3</v>
      </c>
      <c r="K245" s="286"/>
      <c r="M245" s="205"/>
      <c r="N245" s="206"/>
      <c r="O245" s="206"/>
      <c r="P245" s="161"/>
      <c r="Q245" s="207"/>
      <c r="R245" s="207"/>
      <c r="S245" s="207"/>
      <c r="T245" s="207"/>
      <c r="U245" s="207"/>
      <c r="V245" s="207"/>
      <c r="W245" s="208"/>
      <c r="X245" s="209"/>
    </row>
    <row r="246" spans="2:24" ht="13.8" customHeight="1" thickBot="1">
      <c r="B246" s="16">
        <v>243</v>
      </c>
      <c r="C246" s="111" t="s">
        <v>691</v>
      </c>
      <c r="D246" s="73">
        <v>23.3</v>
      </c>
      <c r="E246" s="198">
        <f t="shared" si="15"/>
        <v>23.3</v>
      </c>
      <c r="F246" s="199">
        <v>400</v>
      </c>
      <c r="G246" s="200">
        <f t="shared" si="16"/>
        <v>5000</v>
      </c>
      <c r="H246" s="198">
        <f t="shared" si="17"/>
        <v>9320</v>
      </c>
      <c r="I246" s="185">
        <f t="shared" si="18"/>
        <v>5.6144578313253018E-3</v>
      </c>
      <c r="J246" s="185">
        <f t="shared" si="19"/>
        <v>4.6600000000000001E-3</v>
      </c>
      <c r="K246" s="286"/>
      <c r="M246" s="210"/>
      <c r="N246" s="211"/>
      <c r="O246" s="211"/>
      <c r="P246" s="172"/>
      <c r="Q246" s="212"/>
      <c r="R246" s="212"/>
      <c r="S246" s="212"/>
      <c r="T246" s="212"/>
      <c r="U246" s="212"/>
      <c r="V246" s="212"/>
      <c r="W246" s="213"/>
      <c r="X246" s="214"/>
    </row>
    <row r="247" spans="2:24" ht="13.8" customHeight="1">
      <c r="B247" s="16">
        <v>244</v>
      </c>
      <c r="C247" s="17" t="s">
        <v>617</v>
      </c>
      <c r="D247" s="73">
        <v>23</v>
      </c>
      <c r="E247" s="198">
        <f t="shared" si="15"/>
        <v>23</v>
      </c>
      <c r="F247" s="199">
        <v>237</v>
      </c>
      <c r="G247" s="200">
        <f t="shared" si="16"/>
        <v>8438.818565400843</v>
      </c>
      <c r="H247" s="198">
        <f t="shared" si="17"/>
        <v>5451</v>
      </c>
      <c r="I247" s="185">
        <f t="shared" si="18"/>
        <v>3.2837349397590366E-3</v>
      </c>
      <c r="J247" s="185">
        <f t="shared" si="19"/>
        <v>2.7255000000000001E-3</v>
      </c>
      <c r="K247" s="286"/>
      <c r="M247" s="207"/>
      <c r="N247" s="177"/>
      <c r="O247" s="177"/>
      <c r="P247" s="1"/>
      <c r="Q247" s="207"/>
      <c r="R247" s="207"/>
      <c r="S247" s="177"/>
      <c r="T247" s="207"/>
      <c r="U247" s="207"/>
      <c r="V247" s="207"/>
      <c r="W247" s="1"/>
      <c r="X247" s="207"/>
    </row>
    <row r="248" spans="2:24" ht="13.8" customHeight="1">
      <c r="B248" s="16">
        <v>245</v>
      </c>
      <c r="C248" s="125" t="s">
        <v>767</v>
      </c>
      <c r="D248" s="73">
        <v>22.6</v>
      </c>
      <c r="E248" s="198">
        <f t="shared" si="15"/>
        <v>22.6</v>
      </c>
      <c r="F248" s="199">
        <v>100</v>
      </c>
      <c r="G248" s="200">
        <f t="shared" si="16"/>
        <v>20000</v>
      </c>
      <c r="H248" s="198">
        <f t="shared" si="17"/>
        <v>2260</v>
      </c>
      <c r="I248" s="185">
        <f t="shared" si="18"/>
        <v>1.3614457831325304E-3</v>
      </c>
      <c r="J248" s="185">
        <f t="shared" si="19"/>
        <v>1.1299999999999999E-3</v>
      </c>
      <c r="K248" s="285"/>
      <c r="M248" s="1"/>
      <c r="N248" s="1"/>
      <c r="O248" s="177"/>
      <c r="P248" s="177"/>
      <c r="Q248" s="1"/>
      <c r="R248" s="1"/>
      <c r="S248" s="177"/>
      <c r="T248" s="1"/>
      <c r="U248" s="177"/>
      <c r="V248" s="1"/>
      <c r="W248" s="177"/>
      <c r="X248" s="177"/>
    </row>
    <row r="249" spans="2:24" ht="13.8" customHeight="1">
      <c r="B249" s="16">
        <v>246</v>
      </c>
      <c r="C249" s="17" t="s">
        <v>529</v>
      </c>
      <c r="D249" s="73">
        <v>22.2</v>
      </c>
      <c r="E249" s="198">
        <f t="shared" si="15"/>
        <v>22.2</v>
      </c>
      <c r="F249" s="199">
        <v>21</v>
      </c>
      <c r="G249" s="200">
        <f t="shared" si="16"/>
        <v>95238.095238095237</v>
      </c>
      <c r="H249" s="198">
        <f t="shared" si="17"/>
        <v>466.2</v>
      </c>
      <c r="I249" s="185">
        <f t="shared" si="18"/>
        <v>2.8084337349397595E-4</v>
      </c>
      <c r="J249" s="185">
        <f t="shared" si="19"/>
        <v>2.331E-4</v>
      </c>
      <c r="K249" s="147"/>
      <c r="M249" s="147"/>
      <c r="N249" s="1"/>
    </row>
    <row r="250" spans="2:24" ht="13.8" customHeight="1">
      <c r="B250" s="16">
        <v>247</v>
      </c>
      <c r="C250" s="17" t="s">
        <v>510</v>
      </c>
      <c r="D250" s="73">
        <v>22</v>
      </c>
      <c r="E250" s="198">
        <f t="shared" si="15"/>
        <v>22</v>
      </c>
      <c r="F250" s="199">
        <v>22</v>
      </c>
      <c r="G250" s="200">
        <f t="shared" si="16"/>
        <v>90909.090909090912</v>
      </c>
      <c r="H250" s="198">
        <f t="shared" si="17"/>
        <v>484</v>
      </c>
      <c r="I250" s="185">
        <f t="shared" si="18"/>
        <v>2.91566265060241E-4</v>
      </c>
      <c r="J250" s="185">
        <f t="shared" si="19"/>
        <v>2.42E-4</v>
      </c>
      <c r="K250" s="284"/>
      <c r="M250" s="147"/>
      <c r="N250" s="1"/>
      <c r="O250" s="215"/>
      <c r="P250" s="15"/>
      <c r="Q250" s="64"/>
      <c r="R250" s="147"/>
      <c r="T250" s="15"/>
      <c r="V250" s="15"/>
    </row>
    <row r="251" spans="2:24" ht="13.8" customHeight="1">
      <c r="B251" s="16">
        <v>248</v>
      </c>
      <c r="C251" s="125" t="s">
        <v>566</v>
      </c>
      <c r="D251" s="73">
        <v>22</v>
      </c>
      <c r="E251" s="198">
        <f t="shared" si="15"/>
        <v>22</v>
      </c>
      <c r="F251" s="199">
        <v>900</v>
      </c>
      <c r="G251" s="200">
        <f t="shared" si="16"/>
        <v>2222.2222222222222</v>
      </c>
      <c r="H251" s="198">
        <f t="shared" si="17"/>
        <v>19800</v>
      </c>
      <c r="I251" s="185">
        <f t="shared" si="18"/>
        <v>1.1927710843373495E-2</v>
      </c>
      <c r="J251" s="185">
        <f t="shared" si="19"/>
        <v>9.9000000000000008E-3</v>
      </c>
      <c r="K251" s="285"/>
      <c r="M251" s="147"/>
      <c r="N251" s="1"/>
      <c r="O251" s="215"/>
      <c r="P251" s="64"/>
      <c r="Q251" s="147"/>
      <c r="R251" s="147"/>
      <c r="S251" s="147"/>
      <c r="T251" s="147"/>
      <c r="U251" s="147"/>
    </row>
    <row r="252" spans="2:24" ht="13.8" customHeight="1">
      <c r="B252" s="16">
        <v>249</v>
      </c>
      <c r="C252" s="125" t="s">
        <v>583</v>
      </c>
      <c r="D252" s="73">
        <v>22</v>
      </c>
      <c r="E252" s="198">
        <f t="shared" si="15"/>
        <v>22</v>
      </c>
      <c r="F252" s="199">
        <v>900</v>
      </c>
      <c r="G252" s="200">
        <f t="shared" si="16"/>
        <v>2222.2222222222222</v>
      </c>
      <c r="H252" s="198">
        <f t="shared" si="17"/>
        <v>19800</v>
      </c>
      <c r="I252" s="185">
        <f t="shared" si="18"/>
        <v>1.1927710843373495E-2</v>
      </c>
      <c r="J252" s="185">
        <f t="shared" si="19"/>
        <v>9.9000000000000008E-3</v>
      </c>
      <c r="K252" s="286"/>
      <c r="M252" s="147"/>
      <c r="N252" s="1"/>
      <c r="O252" s="215"/>
      <c r="P252" s="64"/>
      <c r="Q252" s="147"/>
      <c r="R252" s="147"/>
      <c r="S252" s="147"/>
      <c r="T252" s="147"/>
      <c r="U252" s="147"/>
    </row>
    <row r="253" spans="2:24" ht="13.8" customHeight="1">
      <c r="B253" s="16">
        <v>250</v>
      </c>
      <c r="C253" s="17" t="s">
        <v>591</v>
      </c>
      <c r="D253" s="73">
        <v>22</v>
      </c>
      <c r="E253" s="198">
        <f t="shared" si="15"/>
        <v>22</v>
      </c>
      <c r="F253" s="199">
        <v>100</v>
      </c>
      <c r="G253" s="200">
        <f t="shared" si="16"/>
        <v>20000</v>
      </c>
      <c r="H253" s="198">
        <f t="shared" si="17"/>
        <v>2200</v>
      </c>
      <c r="I253" s="185">
        <f t="shared" si="18"/>
        <v>1.3253012048192773E-3</v>
      </c>
      <c r="J253" s="185">
        <f t="shared" si="19"/>
        <v>1.1000000000000001E-3</v>
      </c>
      <c r="K253" s="286"/>
    </row>
    <row r="254" spans="2:24" ht="13.8" customHeight="1">
      <c r="B254" s="16">
        <v>251</v>
      </c>
      <c r="C254" s="17" t="s">
        <v>590</v>
      </c>
      <c r="D254" s="73">
        <v>21.5</v>
      </c>
      <c r="E254" s="198">
        <f t="shared" si="15"/>
        <v>21.5</v>
      </c>
      <c r="F254" s="199">
        <v>100</v>
      </c>
      <c r="G254" s="200">
        <f t="shared" si="16"/>
        <v>20000</v>
      </c>
      <c r="H254" s="198">
        <f t="shared" si="17"/>
        <v>2150</v>
      </c>
      <c r="I254" s="185">
        <f t="shared" si="18"/>
        <v>1.2951807228915664E-3</v>
      </c>
      <c r="J254" s="185">
        <f t="shared" si="19"/>
        <v>1.075E-3</v>
      </c>
      <c r="K254" s="287"/>
      <c r="M254" s="147"/>
      <c r="N254" s="1"/>
    </row>
    <row r="255" spans="2:24" ht="13.8" customHeight="1">
      <c r="B255" s="16">
        <v>252</v>
      </c>
      <c r="C255" s="17" t="s">
        <v>723</v>
      </c>
      <c r="D255" s="73">
        <v>21.4</v>
      </c>
      <c r="E255" s="198">
        <f t="shared" si="15"/>
        <v>21.4</v>
      </c>
      <c r="F255" s="199">
        <v>100</v>
      </c>
      <c r="G255" s="200">
        <f t="shared" si="16"/>
        <v>20000</v>
      </c>
      <c r="H255" s="198">
        <f t="shared" si="17"/>
        <v>2140</v>
      </c>
      <c r="I255" s="185">
        <f t="shared" si="18"/>
        <v>1.2891566265060242E-3</v>
      </c>
      <c r="J255" s="185">
        <f t="shared" si="19"/>
        <v>1.07E-3</v>
      </c>
      <c r="K255" s="285"/>
    </row>
    <row r="256" spans="2:24" ht="13.8" customHeight="1">
      <c r="B256" s="16">
        <v>253</v>
      </c>
      <c r="C256" s="111" t="s">
        <v>693</v>
      </c>
      <c r="D256" s="73">
        <v>21.3</v>
      </c>
      <c r="E256" s="198">
        <f t="shared" si="15"/>
        <v>21.3</v>
      </c>
      <c r="F256" s="199">
        <v>400</v>
      </c>
      <c r="G256" s="200">
        <f t="shared" si="16"/>
        <v>5000</v>
      </c>
      <c r="H256" s="198">
        <f t="shared" si="17"/>
        <v>8520</v>
      </c>
      <c r="I256" s="185">
        <f t="shared" si="18"/>
        <v>5.1325301204819289E-3</v>
      </c>
      <c r="J256" s="185">
        <f t="shared" si="19"/>
        <v>4.2599999999999999E-3</v>
      </c>
    </row>
    <row r="257" spans="2:10" ht="13.8" customHeight="1">
      <c r="B257" s="16">
        <v>254</v>
      </c>
      <c r="C257" s="17" t="s">
        <v>540</v>
      </c>
      <c r="D257" s="73">
        <v>21</v>
      </c>
      <c r="E257" s="198">
        <f t="shared" si="15"/>
        <v>21</v>
      </c>
      <c r="F257" s="199">
        <v>23</v>
      </c>
      <c r="G257" s="200">
        <f t="shared" si="16"/>
        <v>86956.521739130432</v>
      </c>
      <c r="H257" s="198">
        <f t="shared" si="17"/>
        <v>483</v>
      </c>
      <c r="I257" s="185">
        <f t="shared" si="18"/>
        <v>2.9096385542168681E-4</v>
      </c>
      <c r="J257" s="185">
        <f t="shared" si="19"/>
        <v>2.4149999999999999E-4</v>
      </c>
    </row>
    <row r="258" spans="2:10" ht="13.8" customHeight="1">
      <c r="B258" s="16">
        <v>255</v>
      </c>
      <c r="C258" s="17" t="s">
        <v>717</v>
      </c>
      <c r="D258" s="73">
        <v>21</v>
      </c>
      <c r="E258" s="198">
        <f t="shared" si="15"/>
        <v>21</v>
      </c>
      <c r="F258" s="199">
        <v>300</v>
      </c>
      <c r="G258" s="200">
        <f t="shared" si="16"/>
        <v>6666.666666666667</v>
      </c>
      <c r="H258" s="198">
        <f t="shared" si="17"/>
        <v>6300</v>
      </c>
      <c r="I258" s="185">
        <f t="shared" si="18"/>
        <v>3.7951807228915669E-3</v>
      </c>
      <c r="J258" s="185">
        <f t="shared" si="19"/>
        <v>3.15E-3</v>
      </c>
    </row>
    <row r="259" spans="2:10" ht="13.8" customHeight="1">
      <c r="B259" s="16">
        <v>256</v>
      </c>
      <c r="C259" s="17" t="s">
        <v>589</v>
      </c>
      <c r="D259" s="73">
        <v>20.2</v>
      </c>
      <c r="E259" s="198">
        <f t="shared" si="15"/>
        <v>20.2</v>
      </c>
      <c r="F259" s="199">
        <v>100</v>
      </c>
      <c r="G259" s="200">
        <f t="shared" si="16"/>
        <v>20000</v>
      </c>
      <c r="H259" s="198">
        <f t="shared" si="17"/>
        <v>2020</v>
      </c>
      <c r="I259" s="185">
        <f t="shared" si="18"/>
        <v>1.2168674698795183E-3</v>
      </c>
      <c r="J259" s="185">
        <f t="shared" si="19"/>
        <v>1.01E-3</v>
      </c>
    </row>
    <row r="260" spans="2:10" ht="13.8" customHeight="1">
      <c r="B260" s="16">
        <v>257</v>
      </c>
      <c r="C260" s="17" t="s">
        <v>711</v>
      </c>
      <c r="D260" s="73">
        <v>20.100000000000001</v>
      </c>
      <c r="E260" s="198">
        <f t="shared" ref="E260:E323" si="20">D260*$M$7</f>
        <v>20.100000000000001</v>
      </c>
      <c r="F260" s="199">
        <v>100</v>
      </c>
      <c r="G260" s="200">
        <f t="shared" ref="G260:G323" si="21">$M$6/F260</f>
        <v>20000</v>
      </c>
      <c r="H260" s="198">
        <f t="shared" ref="H260:H323" si="22">F260*E260</f>
        <v>2010.0000000000002</v>
      </c>
      <c r="I260" s="185">
        <f t="shared" ref="I260:I323" si="23">H260/$M$9</f>
        <v>1.2108433734939763E-3</v>
      </c>
      <c r="J260" s="185">
        <f t="shared" ref="J260:J323" si="24">H260/$M$8</f>
        <v>1.005E-3</v>
      </c>
    </row>
    <row r="261" spans="2:10" ht="13.8" customHeight="1">
      <c r="B261" s="16">
        <v>258</v>
      </c>
      <c r="C261" s="17" t="s">
        <v>471</v>
      </c>
      <c r="D261" s="73">
        <v>20</v>
      </c>
      <c r="E261" s="198">
        <f t="shared" si="20"/>
        <v>20</v>
      </c>
      <c r="F261" s="199">
        <v>145</v>
      </c>
      <c r="G261" s="200">
        <f t="shared" si="21"/>
        <v>13793.103448275862</v>
      </c>
      <c r="H261" s="198">
        <f t="shared" si="22"/>
        <v>2900</v>
      </c>
      <c r="I261" s="185">
        <f t="shared" si="23"/>
        <v>1.7469879518072291E-3</v>
      </c>
      <c r="J261" s="185">
        <f t="shared" si="24"/>
        <v>1.4499999999999999E-3</v>
      </c>
    </row>
    <row r="262" spans="2:10" ht="13.8" customHeight="1">
      <c r="B262" s="16">
        <v>259</v>
      </c>
      <c r="C262" s="17" t="s">
        <v>480</v>
      </c>
      <c r="D262" s="73">
        <v>20</v>
      </c>
      <c r="E262" s="198">
        <f t="shared" si="20"/>
        <v>20</v>
      </c>
      <c r="F262" s="199">
        <v>142</v>
      </c>
      <c r="G262" s="200">
        <f t="shared" si="21"/>
        <v>14084.507042253521</v>
      </c>
      <c r="H262" s="198">
        <f t="shared" si="22"/>
        <v>2840</v>
      </c>
      <c r="I262" s="185">
        <f t="shared" si="23"/>
        <v>1.7108433734939761E-3</v>
      </c>
      <c r="J262" s="185">
        <f t="shared" si="24"/>
        <v>1.42E-3</v>
      </c>
    </row>
    <row r="263" spans="2:10" ht="13.8" customHeight="1">
      <c r="B263" s="16">
        <v>260</v>
      </c>
      <c r="C263" s="17" t="s">
        <v>489</v>
      </c>
      <c r="D263" s="73">
        <v>20</v>
      </c>
      <c r="E263" s="198">
        <f t="shared" si="20"/>
        <v>20</v>
      </c>
      <c r="F263" s="199">
        <v>142</v>
      </c>
      <c r="G263" s="200">
        <f t="shared" si="21"/>
        <v>14084.507042253521</v>
      </c>
      <c r="H263" s="198">
        <f t="shared" si="22"/>
        <v>2840</v>
      </c>
      <c r="I263" s="185">
        <f t="shared" si="23"/>
        <v>1.7108433734939761E-3</v>
      </c>
      <c r="J263" s="185">
        <f t="shared" si="24"/>
        <v>1.42E-3</v>
      </c>
    </row>
    <row r="264" spans="2:10" ht="13.8" customHeight="1">
      <c r="B264" s="16">
        <v>261</v>
      </c>
      <c r="C264" s="17" t="s">
        <v>496</v>
      </c>
      <c r="D264" s="73">
        <v>20</v>
      </c>
      <c r="E264" s="198">
        <f t="shared" si="20"/>
        <v>20</v>
      </c>
      <c r="F264" s="199">
        <v>100</v>
      </c>
      <c r="G264" s="200">
        <f t="shared" si="21"/>
        <v>20000</v>
      </c>
      <c r="H264" s="198">
        <f t="shared" si="22"/>
        <v>2000</v>
      </c>
      <c r="I264" s="185">
        <f t="shared" si="23"/>
        <v>1.2048192771084338E-3</v>
      </c>
      <c r="J264" s="185">
        <f t="shared" si="24"/>
        <v>1E-3</v>
      </c>
    </row>
    <row r="265" spans="2:10" ht="13.8" customHeight="1">
      <c r="B265" s="16">
        <v>262</v>
      </c>
      <c r="C265" s="17" t="s">
        <v>532</v>
      </c>
      <c r="D265" s="73">
        <v>20</v>
      </c>
      <c r="E265" s="198">
        <f t="shared" si="20"/>
        <v>20</v>
      </c>
      <c r="F265" s="199">
        <v>24</v>
      </c>
      <c r="G265" s="200">
        <f t="shared" si="21"/>
        <v>83333.333333333328</v>
      </c>
      <c r="H265" s="198">
        <f t="shared" si="22"/>
        <v>480</v>
      </c>
      <c r="I265" s="185">
        <f t="shared" si="23"/>
        <v>2.8915662650602414E-4</v>
      </c>
      <c r="J265" s="185">
        <f t="shared" si="24"/>
        <v>2.4000000000000001E-4</v>
      </c>
    </row>
    <row r="266" spans="2:10" ht="13.8" customHeight="1">
      <c r="B266" s="16">
        <v>263</v>
      </c>
      <c r="C266" s="125" t="s">
        <v>552</v>
      </c>
      <c r="D266" s="73">
        <v>20</v>
      </c>
      <c r="E266" s="198">
        <f t="shared" si="20"/>
        <v>20</v>
      </c>
      <c r="F266" s="199">
        <v>900</v>
      </c>
      <c r="G266" s="200">
        <f t="shared" si="21"/>
        <v>2222.2222222222222</v>
      </c>
      <c r="H266" s="198">
        <f t="shared" si="22"/>
        <v>18000</v>
      </c>
      <c r="I266" s="185">
        <f t="shared" si="23"/>
        <v>1.0843373493975905E-2</v>
      </c>
      <c r="J266" s="185">
        <f t="shared" si="24"/>
        <v>8.9999999999999993E-3</v>
      </c>
    </row>
    <row r="267" spans="2:10" ht="13.8" customHeight="1">
      <c r="B267" s="16">
        <v>264</v>
      </c>
      <c r="C267" s="125" t="s">
        <v>555</v>
      </c>
      <c r="D267" s="73">
        <v>20</v>
      </c>
      <c r="E267" s="198">
        <f t="shared" si="20"/>
        <v>20</v>
      </c>
      <c r="F267" s="199">
        <v>900</v>
      </c>
      <c r="G267" s="200">
        <f t="shared" si="21"/>
        <v>2222.2222222222222</v>
      </c>
      <c r="H267" s="198">
        <f t="shared" si="22"/>
        <v>18000</v>
      </c>
      <c r="I267" s="185">
        <f t="shared" si="23"/>
        <v>1.0843373493975905E-2</v>
      </c>
      <c r="J267" s="185">
        <f t="shared" si="24"/>
        <v>8.9999999999999993E-3</v>
      </c>
    </row>
    <row r="268" spans="2:10" ht="13.8" customHeight="1">
      <c r="B268" s="16">
        <v>265</v>
      </c>
      <c r="C268" s="125" t="s">
        <v>673</v>
      </c>
      <c r="D268" s="73">
        <v>20</v>
      </c>
      <c r="E268" s="198">
        <f t="shared" si="20"/>
        <v>20</v>
      </c>
      <c r="F268" s="199">
        <v>900</v>
      </c>
      <c r="G268" s="200">
        <f t="shared" si="21"/>
        <v>2222.2222222222222</v>
      </c>
      <c r="H268" s="198">
        <f t="shared" si="22"/>
        <v>18000</v>
      </c>
      <c r="I268" s="185">
        <f t="shared" si="23"/>
        <v>1.0843373493975905E-2</v>
      </c>
      <c r="J268" s="185">
        <f t="shared" si="24"/>
        <v>8.9999999999999993E-3</v>
      </c>
    </row>
    <row r="269" spans="2:10" ht="13.8" customHeight="1">
      <c r="B269" s="16">
        <v>266</v>
      </c>
      <c r="C269" s="121" t="s">
        <v>804</v>
      </c>
      <c r="D269" s="73">
        <v>20</v>
      </c>
      <c r="E269" s="198">
        <f t="shared" si="20"/>
        <v>20</v>
      </c>
      <c r="F269" s="199">
        <v>3000</v>
      </c>
      <c r="G269" s="200">
        <f t="shared" si="21"/>
        <v>666.66666666666663</v>
      </c>
      <c r="H269" s="198">
        <f t="shared" si="22"/>
        <v>60000</v>
      </c>
      <c r="I269" s="185">
        <f t="shared" si="23"/>
        <v>3.6144578313253017E-2</v>
      </c>
      <c r="J269" s="185">
        <f t="shared" si="24"/>
        <v>0.03</v>
      </c>
    </row>
    <row r="270" spans="2:10" ht="13.8" customHeight="1">
      <c r="B270" s="16">
        <v>267</v>
      </c>
      <c r="C270" s="17" t="s">
        <v>721</v>
      </c>
      <c r="D270" s="73">
        <v>19.3</v>
      </c>
      <c r="E270" s="198">
        <f t="shared" si="20"/>
        <v>19.3</v>
      </c>
      <c r="F270" s="199">
        <v>25</v>
      </c>
      <c r="G270" s="200">
        <f t="shared" si="21"/>
        <v>80000</v>
      </c>
      <c r="H270" s="198">
        <f t="shared" si="22"/>
        <v>482.5</v>
      </c>
      <c r="I270" s="185">
        <f t="shared" si="23"/>
        <v>2.9066265060240969E-4</v>
      </c>
      <c r="J270" s="185">
        <f t="shared" si="24"/>
        <v>2.4125000000000001E-4</v>
      </c>
    </row>
    <row r="271" spans="2:10" ht="13.8" customHeight="1">
      <c r="B271" s="16">
        <v>268</v>
      </c>
      <c r="C271" s="17" t="s">
        <v>735</v>
      </c>
      <c r="D271" s="73">
        <v>19.200000000000003</v>
      </c>
      <c r="E271" s="198">
        <f t="shared" si="20"/>
        <v>19.200000000000003</v>
      </c>
      <c r="F271" s="199">
        <v>50</v>
      </c>
      <c r="G271" s="200">
        <f t="shared" si="21"/>
        <v>40000</v>
      </c>
      <c r="H271" s="198">
        <f t="shared" si="22"/>
        <v>960.00000000000011</v>
      </c>
      <c r="I271" s="185">
        <f t="shared" si="23"/>
        <v>5.7831325301204838E-4</v>
      </c>
      <c r="J271" s="185">
        <f t="shared" si="24"/>
        <v>4.8000000000000007E-4</v>
      </c>
    </row>
    <row r="272" spans="2:10" ht="13.8" customHeight="1">
      <c r="B272" s="16">
        <v>269</v>
      </c>
      <c r="C272" s="125" t="s">
        <v>655</v>
      </c>
      <c r="D272" s="73">
        <v>19</v>
      </c>
      <c r="E272" s="198">
        <f t="shared" si="20"/>
        <v>19</v>
      </c>
      <c r="F272" s="199">
        <v>1200</v>
      </c>
      <c r="G272" s="200">
        <f t="shared" si="21"/>
        <v>1666.6666666666667</v>
      </c>
      <c r="H272" s="198">
        <f t="shared" si="22"/>
        <v>22800</v>
      </c>
      <c r="I272" s="185">
        <f t="shared" si="23"/>
        <v>1.3734939759036146E-2</v>
      </c>
      <c r="J272" s="185">
        <f t="shared" si="24"/>
        <v>1.14E-2</v>
      </c>
    </row>
    <row r="273" spans="2:10" ht="13.8" customHeight="1">
      <c r="B273" s="16">
        <v>270</v>
      </c>
      <c r="C273" s="17" t="s">
        <v>741</v>
      </c>
      <c r="D273" s="73">
        <v>19</v>
      </c>
      <c r="E273" s="198">
        <f t="shared" si="20"/>
        <v>19</v>
      </c>
      <c r="F273" s="199">
        <v>50</v>
      </c>
      <c r="G273" s="200">
        <f t="shared" si="21"/>
        <v>40000</v>
      </c>
      <c r="H273" s="198">
        <f t="shared" si="22"/>
        <v>950</v>
      </c>
      <c r="I273" s="185">
        <f t="shared" si="23"/>
        <v>5.7228915662650606E-4</v>
      </c>
      <c r="J273" s="185">
        <f t="shared" si="24"/>
        <v>4.75E-4</v>
      </c>
    </row>
    <row r="274" spans="2:10" ht="13.8" customHeight="1">
      <c r="B274" s="16">
        <v>271</v>
      </c>
      <c r="C274" s="111" t="s">
        <v>682</v>
      </c>
      <c r="D274" s="73">
        <v>18.600000000000001</v>
      </c>
      <c r="E274" s="198">
        <f t="shared" si="20"/>
        <v>18.600000000000001</v>
      </c>
      <c r="F274" s="199">
        <v>400</v>
      </c>
      <c r="G274" s="200">
        <f t="shared" si="21"/>
        <v>5000</v>
      </c>
      <c r="H274" s="198">
        <f t="shared" si="22"/>
        <v>7440.0000000000009</v>
      </c>
      <c r="I274" s="185">
        <f t="shared" si="23"/>
        <v>4.4819277108433747E-3</v>
      </c>
      <c r="J274" s="185">
        <f t="shared" si="24"/>
        <v>3.7200000000000006E-3</v>
      </c>
    </row>
    <row r="275" spans="2:10" ht="13.8" customHeight="1">
      <c r="B275" s="16">
        <v>272</v>
      </c>
      <c r="C275" s="17" t="s">
        <v>546</v>
      </c>
      <c r="D275" s="73">
        <v>18</v>
      </c>
      <c r="E275" s="198">
        <f t="shared" si="20"/>
        <v>18</v>
      </c>
      <c r="F275" s="199">
        <v>3</v>
      </c>
      <c r="G275" s="200">
        <f t="shared" si="21"/>
        <v>666666.66666666663</v>
      </c>
      <c r="H275" s="198">
        <f t="shared" si="22"/>
        <v>54</v>
      </c>
      <c r="I275" s="185">
        <f t="shared" si="23"/>
        <v>3.2530120481927713E-5</v>
      </c>
      <c r="J275" s="185">
        <f t="shared" si="24"/>
        <v>2.6999999999999999E-5</v>
      </c>
    </row>
    <row r="276" spans="2:10" ht="13.8" customHeight="1">
      <c r="B276" s="16">
        <v>273</v>
      </c>
      <c r="C276" s="125" t="s">
        <v>573</v>
      </c>
      <c r="D276" s="73">
        <v>18</v>
      </c>
      <c r="E276" s="198">
        <f t="shared" si="20"/>
        <v>18</v>
      </c>
      <c r="F276" s="199">
        <v>900</v>
      </c>
      <c r="G276" s="200">
        <f t="shared" si="21"/>
        <v>2222.2222222222222</v>
      </c>
      <c r="H276" s="198">
        <f t="shared" si="22"/>
        <v>16200</v>
      </c>
      <c r="I276" s="185">
        <f t="shared" si="23"/>
        <v>9.759036144578315E-3</v>
      </c>
      <c r="J276" s="185">
        <f t="shared" si="24"/>
        <v>8.0999999999999996E-3</v>
      </c>
    </row>
    <row r="277" spans="2:10" ht="13.8" customHeight="1">
      <c r="B277" s="16">
        <v>274</v>
      </c>
      <c r="C277" s="125" t="s">
        <v>657</v>
      </c>
      <c r="D277" s="73">
        <v>18</v>
      </c>
      <c r="E277" s="198">
        <f t="shared" si="20"/>
        <v>18</v>
      </c>
      <c r="F277" s="199">
        <v>1200</v>
      </c>
      <c r="G277" s="200">
        <f t="shared" si="21"/>
        <v>1666.6666666666667</v>
      </c>
      <c r="H277" s="198">
        <f t="shared" si="22"/>
        <v>21600</v>
      </c>
      <c r="I277" s="185">
        <f t="shared" si="23"/>
        <v>1.3012048192771086E-2</v>
      </c>
      <c r="J277" s="185">
        <f t="shared" si="24"/>
        <v>1.0800000000000001E-2</v>
      </c>
    </row>
    <row r="278" spans="2:10" ht="13.8" customHeight="1">
      <c r="B278" s="16">
        <v>275</v>
      </c>
      <c r="C278" s="111" t="s">
        <v>692</v>
      </c>
      <c r="D278" s="73">
        <v>17.999999999999996</v>
      </c>
      <c r="E278" s="198">
        <f t="shared" si="20"/>
        <v>17.999999999999996</v>
      </c>
      <c r="F278" s="199">
        <v>400</v>
      </c>
      <c r="G278" s="200">
        <f t="shared" si="21"/>
        <v>5000</v>
      </c>
      <c r="H278" s="198">
        <f t="shared" si="22"/>
        <v>7199.9999999999982</v>
      </c>
      <c r="I278" s="185">
        <f t="shared" si="23"/>
        <v>4.3373493975903607E-3</v>
      </c>
      <c r="J278" s="185">
        <f t="shared" si="24"/>
        <v>3.599999999999999E-3</v>
      </c>
    </row>
    <row r="279" spans="2:10" ht="13.8" customHeight="1">
      <c r="B279" s="16">
        <v>276</v>
      </c>
      <c r="C279" s="17" t="s">
        <v>626</v>
      </c>
      <c r="D279" s="73">
        <v>17.5</v>
      </c>
      <c r="E279" s="198">
        <f t="shared" si="20"/>
        <v>17.5</v>
      </c>
      <c r="F279" s="199">
        <v>138</v>
      </c>
      <c r="G279" s="200">
        <f t="shared" si="21"/>
        <v>14492.753623188406</v>
      </c>
      <c r="H279" s="198">
        <f t="shared" si="22"/>
        <v>2415</v>
      </c>
      <c r="I279" s="185">
        <f t="shared" si="23"/>
        <v>1.4548192771084338E-3</v>
      </c>
      <c r="J279" s="185">
        <f t="shared" si="24"/>
        <v>1.2075E-3</v>
      </c>
    </row>
    <row r="280" spans="2:10" ht="13.8" customHeight="1">
      <c r="B280" s="16">
        <v>277</v>
      </c>
      <c r="C280" s="17" t="s">
        <v>509</v>
      </c>
      <c r="D280" s="73">
        <v>17</v>
      </c>
      <c r="E280" s="198">
        <f t="shared" si="20"/>
        <v>17</v>
      </c>
      <c r="F280" s="199">
        <v>1</v>
      </c>
      <c r="G280" s="200">
        <f t="shared" si="21"/>
        <v>2000000</v>
      </c>
      <c r="H280" s="198">
        <f t="shared" si="22"/>
        <v>17</v>
      </c>
      <c r="I280" s="185">
        <f t="shared" si="23"/>
        <v>1.0240963855421688E-5</v>
      </c>
      <c r="J280" s="185">
        <f t="shared" si="24"/>
        <v>8.4999999999999999E-6</v>
      </c>
    </row>
    <row r="281" spans="2:10" ht="13.8" customHeight="1">
      <c r="B281" s="16">
        <v>278</v>
      </c>
      <c r="C281" s="17" t="s">
        <v>515</v>
      </c>
      <c r="D281" s="73">
        <v>17</v>
      </c>
      <c r="E281" s="198">
        <f t="shared" si="20"/>
        <v>17</v>
      </c>
      <c r="F281" s="199">
        <v>3</v>
      </c>
      <c r="G281" s="200">
        <f t="shared" si="21"/>
        <v>666666.66666666663</v>
      </c>
      <c r="H281" s="198">
        <f t="shared" si="22"/>
        <v>51</v>
      </c>
      <c r="I281" s="185">
        <f t="shared" si="23"/>
        <v>3.0722891566265065E-5</v>
      </c>
      <c r="J281" s="185">
        <f t="shared" si="24"/>
        <v>2.55E-5</v>
      </c>
    </row>
    <row r="282" spans="2:10" ht="13.8" customHeight="1">
      <c r="B282" s="16">
        <v>279</v>
      </c>
      <c r="C282" s="17" t="s">
        <v>525</v>
      </c>
      <c r="D282" s="73">
        <v>17</v>
      </c>
      <c r="E282" s="198">
        <f t="shared" si="20"/>
        <v>17</v>
      </c>
      <c r="F282" s="199">
        <v>1</v>
      </c>
      <c r="G282" s="200">
        <f t="shared" si="21"/>
        <v>2000000</v>
      </c>
      <c r="H282" s="198">
        <f t="shared" si="22"/>
        <v>17</v>
      </c>
      <c r="I282" s="185">
        <f t="shared" si="23"/>
        <v>1.0240963855421688E-5</v>
      </c>
      <c r="J282" s="185">
        <f t="shared" si="24"/>
        <v>8.4999999999999999E-6</v>
      </c>
    </row>
    <row r="283" spans="2:10" ht="13.8" customHeight="1">
      <c r="B283" s="16">
        <v>280</v>
      </c>
      <c r="C283" s="17" t="s">
        <v>588</v>
      </c>
      <c r="D283" s="73">
        <v>17</v>
      </c>
      <c r="E283" s="198">
        <f t="shared" si="20"/>
        <v>17</v>
      </c>
      <c r="F283" s="199">
        <v>100</v>
      </c>
      <c r="G283" s="200">
        <f t="shared" si="21"/>
        <v>20000</v>
      </c>
      <c r="H283" s="198">
        <f t="shared" si="22"/>
        <v>1700</v>
      </c>
      <c r="I283" s="185">
        <f t="shared" si="23"/>
        <v>1.0240963855421689E-3</v>
      </c>
      <c r="J283" s="185">
        <f t="shared" si="24"/>
        <v>8.4999999999999995E-4</v>
      </c>
    </row>
    <row r="284" spans="2:10" ht="13.8" customHeight="1">
      <c r="B284" s="16">
        <v>281</v>
      </c>
      <c r="C284" s="17" t="s">
        <v>587</v>
      </c>
      <c r="D284" s="73">
        <v>16.5</v>
      </c>
      <c r="E284" s="198">
        <f t="shared" si="20"/>
        <v>16.5</v>
      </c>
      <c r="F284" s="199">
        <v>509</v>
      </c>
      <c r="G284" s="200">
        <f t="shared" si="21"/>
        <v>3929.2730844793714</v>
      </c>
      <c r="H284" s="198">
        <f t="shared" si="22"/>
        <v>8398.5</v>
      </c>
      <c r="I284" s="185">
        <f t="shared" si="23"/>
        <v>5.0593373493975913E-3</v>
      </c>
      <c r="J284" s="185">
        <f t="shared" si="24"/>
        <v>4.1992499999999999E-3</v>
      </c>
    </row>
    <row r="285" spans="2:10" ht="13.8" customHeight="1">
      <c r="B285" s="16">
        <v>282</v>
      </c>
      <c r="C285" s="111" t="s">
        <v>678</v>
      </c>
      <c r="D285" s="73">
        <v>16.3</v>
      </c>
      <c r="E285" s="198">
        <f t="shared" si="20"/>
        <v>16.3</v>
      </c>
      <c r="F285" s="199">
        <v>400</v>
      </c>
      <c r="G285" s="200">
        <f t="shared" si="21"/>
        <v>5000</v>
      </c>
      <c r="H285" s="198">
        <f t="shared" si="22"/>
        <v>6520</v>
      </c>
      <c r="I285" s="185">
        <f t="shared" si="23"/>
        <v>3.9277108433734944E-3</v>
      </c>
      <c r="J285" s="185">
        <f t="shared" si="24"/>
        <v>3.2599999999999999E-3</v>
      </c>
    </row>
    <row r="286" spans="2:10" ht="13.8" customHeight="1">
      <c r="B286" s="16">
        <v>283</v>
      </c>
      <c r="C286" s="17" t="s">
        <v>508</v>
      </c>
      <c r="D286" s="73">
        <v>16</v>
      </c>
      <c r="E286" s="198">
        <f t="shared" si="20"/>
        <v>16</v>
      </c>
      <c r="F286" s="199">
        <v>4</v>
      </c>
      <c r="G286" s="200">
        <f t="shared" si="21"/>
        <v>500000</v>
      </c>
      <c r="H286" s="198">
        <f t="shared" si="22"/>
        <v>64</v>
      </c>
      <c r="I286" s="185">
        <f t="shared" si="23"/>
        <v>3.8554216867469882E-5</v>
      </c>
      <c r="J286" s="185">
        <f t="shared" si="24"/>
        <v>3.1999999999999999E-5</v>
      </c>
    </row>
    <row r="287" spans="2:10" ht="13.8" customHeight="1">
      <c r="B287" s="16">
        <v>284</v>
      </c>
      <c r="C287" s="111" t="s">
        <v>688</v>
      </c>
      <c r="D287" s="73">
        <v>16</v>
      </c>
      <c r="E287" s="198">
        <f t="shared" si="20"/>
        <v>16</v>
      </c>
      <c r="F287" s="199">
        <v>400</v>
      </c>
      <c r="G287" s="200">
        <f t="shared" si="21"/>
        <v>5000</v>
      </c>
      <c r="H287" s="198">
        <f t="shared" si="22"/>
        <v>6400</v>
      </c>
      <c r="I287" s="185">
        <f t="shared" si="23"/>
        <v>3.8554216867469886E-3</v>
      </c>
      <c r="J287" s="185">
        <f t="shared" si="24"/>
        <v>3.2000000000000002E-3</v>
      </c>
    </row>
    <row r="288" spans="2:10" ht="13.8" customHeight="1">
      <c r="B288" s="16">
        <v>285</v>
      </c>
      <c r="C288" s="17" t="s">
        <v>611</v>
      </c>
      <c r="D288" s="73">
        <v>15.6</v>
      </c>
      <c r="E288" s="198">
        <f t="shared" si="20"/>
        <v>15.6</v>
      </c>
      <c r="F288" s="199">
        <v>162</v>
      </c>
      <c r="G288" s="200">
        <f t="shared" si="21"/>
        <v>12345.679012345679</v>
      </c>
      <c r="H288" s="198">
        <f t="shared" si="22"/>
        <v>2527.1999999999998</v>
      </c>
      <c r="I288" s="185">
        <f t="shared" si="23"/>
        <v>1.5224096385542171E-3</v>
      </c>
      <c r="J288" s="185">
        <f t="shared" si="24"/>
        <v>1.2635999999999999E-3</v>
      </c>
    </row>
    <row r="289" spans="2:10" ht="13.8" customHeight="1">
      <c r="B289" s="16">
        <v>286</v>
      </c>
      <c r="C289" s="17" t="s">
        <v>586</v>
      </c>
      <c r="D289" s="73">
        <v>15.1</v>
      </c>
      <c r="E289" s="198">
        <f t="shared" si="20"/>
        <v>15.1</v>
      </c>
      <c r="F289" s="199">
        <v>597</v>
      </c>
      <c r="G289" s="200">
        <f t="shared" si="21"/>
        <v>3350.0837520938026</v>
      </c>
      <c r="H289" s="198">
        <f t="shared" si="22"/>
        <v>9014.6999999999989</v>
      </c>
      <c r="I289" s="185">
        <f t="shared" si="23"/>
        <v>5.4305421686746992E-3</v>
      </c>
      <c r="J289" s="185">
        <f t="shared" si="24"/>
        <v>4.5073499999999994E-3</v>
      </c>
    </row>
    <row r="290" spans="2:10" ht="13.8" customHeight="1">
      <c r="B290" s="16">
        <v>287</v>
      </c>
      <c r="C290" s="17" t="s">
        <v>470</v>
      </c>
      <c r="D290" s="73">
        <v>15</v>
      </c>
      <c r="E290" s="198">
        <f t="shared" si="20"/>
        <v>15</v>
      </c>
      <c r="F290" s="199">
        <v>323</v>
      </c>
      <c r="G290" s="200">
        <f t="shared" si="21"/>
        <v>6191.9504643962846</v>
      </c>
      <c r="H290" s="198">
        <f t="shared" si="22"/>
        <v>4845</v>
      </c>
      <c r="I290" s="185">
        <f t="shared" si="23"/>
        <v>2.918674698795181E-3</v>
      </c>
      <c r="J290" s="185">
        <f t="shared" si="24"/>
        <v>2.4225000000000002E-3</v>
      </c>
    </row>
    <row r="291" spans="2:10" ht="13.8" customHeight="1">
      <c r="B291" s="16">
        <v>288</v>
      </c>
      <c r="C291" s="17" t="s">
        <v>479</v>
      </c>
      <c r="D291" s="73">
        <v>15</v>
      </c>
      <c r="E291" s="198">
        <f t="shared" si="20"/>
        <v>15</v>
      </c>
      <c r="F291" s="199">
        <v>320</v>
      </c>
      <c r="G291" s="200">
        <f t="shared" si="21"/>
        <v>6250</v>
      </c>
      <c r="H291" s="198">
        <f t="shared" si="22"/>
        <v>4800</v>
      </c>
      <c r="I291" s="185">
        <f t="shared" si="23"/>
        <v>2.8915662650602415E-3</v>
      </c>
      <c r="J291" s="185">
        <f t="shared" si="24"/>
        <v>2.3999999999999998E-3</v>
      </c>
    </row>
    <row r="292" spans="2:10" ht="13.8" customHeight="1">
      <c r="B292" s="16">
        <v>289</v>
      </c>
      <c r="C292" s="17" t="s">
        <v>488</v>
      </c>
      <c r="D292" s="73">
        <v>15</v>
      </c>
      <c r="E292" s="198">
        <f t="shared" si="20"/>
        <v>15</v>
      </c>
      <c r="F292" s="199">
        <v>323</v>
      </c>
      <c r="G292" s="200">
        <f t="shared" si="21"/>
        <v>6191.9504643962846</v>
      </c>
      <c r="H292" s="198">
        <f t="shared" si="22"/>
        <v>4845</v>
      </c>
      <c r="I292" s="185">
        <f t="shared" si="23"/>
        <v>2.918674698795181E-3</v>
      </c>
      <c r="J292" s="185">
        <f t="shared" si="24"/>
        <v>2.4225000000000002E-3</v>
      </c>
    </row>
    <row r="293" spans="2:10" ht="13.8" customHeight="1">
      <c r="B293" s="16">
        <v>290</v>
      </c>
      <c r="C293" s="17" t="s">
        <v>495</v>
      </c>
      <c r="D293" s="73">
        <v>15</v>
      </c>
      <c r="E293" s="198">
        <f t="shared" si="20"/>
        <v>15</v>
      </c>
      <c r="F293" s="199">
        <v>100</v>
      </c>
      <c r="G293" s="200">
        <f t="shared" si="21"/>
        <v>20000</v>
      </c>
      <c r="H293" s="198">
        <f t="shared" si="22"/>
        <v>1500</v>
      </c>
      <c r="I293" s="185">
        <f t="shared" si="23"/>
        <v>9.0361445783132543E-4</v>
      </c>
      <c r="J293" s="185">
        <f t="shared" si="24"/>
        <v>7.5000000000000002E-4</v>
      </c>
    </row>
    <row r="294" spans="2:10" ht="13.8" customHeight="1">
      <c r="B294" s="16">
        <v>291</v>
      </c>
      <c r="C294" s="121" t="s">
        <v>803</v>
      </c>
      <c r="D294" s="73">
        <v>15</v>
      </c>
      <c r="E294" s="198">
        <f t="shared" si="20"/>
        <v>15</v>
      </c>
      <c r="F294" s="199">
        <v>2800</v>
      </c>
      <c r="G294" s="200">
        <f t="shared" si="21"/>
        <v>714.28571428571433</v>
      </c>
      <c r="H294" s="198">
        <f t="shared" si="22"/>
        <v>42000</v>
      </c>
      <c r="I294" s="185">
        <f t="shared" si="23"/>
        <v>2.5301204819277112E-2</v>
      </c>
      <c r="J294" s="185">
        <f t="shared" si="24"/>
        <v>2.1000000000000001E-2</v>
      </c>
    </row>
    <row r="295" spans="2:10" ht="13.8" customHeight="1">
      <c r="B295" s="16">
        <v>292</v>
      </c>
      <c r="C295" s="125" t="s">
        <v>572</v>
      </c>
      <c r="D295" s="73">
        <v>14</v>
      </c>
      <c r="E295" s="198">
        <f t="shared" si="20"/>
        <v>14</v>
      </c>
      <c r="F295" s="199">
        <v>900</v>
      </c>
      <c r="G295" s="200">
        <f t="shared" si="21"/>
        <v>2222.2222222222222</v>
      </c>
      <c r="H295" s="198">
        <f t="shared" si="22"/>
        <v>12600</v>
      </c>
      <c r="I295" s="185">
        <f t="shared" si="23"/>
        <v>7.5903614457831338E-3</v>
      </c>
      <c r="J295" s="185">
        <f t="shared" si="24"/>
        <v>6.3E-3</v>
      </c>
    </row>
    <row r="296" spans="2:10" ht="13.8" customHeight="1">
      <c r="B296" s="16">
        <v>293</v>
      </c>
      <c r="C296" s="17" t="s">
        <v>731</v>
      </c>
      <c r="D296" s="73">
        <v>13.399999999999999</v>
      </c>
      <c r="E296" s="198">
        <f t="shared" si="20"/>
        <v>13.399999999999999</v>
      </c>
      <c r="F296" s="199">
        <v>136</v>
      </c>
      <c r="G296" s="200">
        <f t="shared" si="21"/>
        <v>14705.882352941177</v>
      </c>
      <c r="H296" s="198">
        <f t="shared" si="22"/>
        <v>1822.3999999999999</v>
      </c>
      <c r="I296" s="185">
        <f t="shared" si="23"/>
        <v>1.0978313253012049E-3</v>
      </c>
      <c r="J296" s="185">
        <f t="shared" si="24"/>
        <v>9.1119999999999992E-4</v>
      </c>
    </row>
    <row r="297" spans="2:10" ht="13.8" customHeight="1">
      <c r="B297" s="16">
        <v>294</v>
      </c>
      <c r="C297" s="17" t="s">
        <v>709</v>
      </c>
      <c r="D297" s="73">
        <v>12.399999999999999</v>
      </c>
      <c r="E297" s="198">
        <f t="shared" si="20"/>
        <v>12.399999999999999</v>
      </c>
      <c r="F297" s="199">
        <v>100</v>
      </c>
      <c r="G297" s="200">
        <f t="shared" si="21"/>
        <v>20000</v>
      </c>
      <c r="H297" s="198">
        <f t="shared" si="22"/>
        <v>1239.9999999999998</v>
      </c>
      <c r="I297" s="185">
        <f t="shared" si="23"/>
        <v>7.4698795180722891E-4</v>
      </c>
      <c r="J297" s="185">
        <f t="shared" si="24"/>
        <v>6.1999999999999989E-4</v>
      </c>
    </row>
    <row r="298" spans="2:10" ht="13.8" customHeight="1">
      <c r="B298" s="16">
        <v>295</v>
      </c>
      <c r="C298" s="125" t="s">
        <v>581</v>
      </c>
      <c r="D298" s="73">
        <v>12.000000000000002</v>
      </c>
      <c r="E298" s="198">
        <f t="shared" si="20"/>
        <v>12.000000000000002</v>
      </c>
      <c r="F298" s="199">
        <v>900</v>
      </c>
      <c r="G298" s="200">
        <f t="shared" si="21"/>
        <v>2222.2222222222222</v>
      </c>
      <c r="H298" s="198">
        <f t="shared" si="22"/>
        <v>10800.000000000002</v>
      </c>
      <c r="I298" s="185">
        <f t="shared" si="23"/>
        <v>6.5060240963855445E-3</v>
      </c>
      <c r="J298" s="185">
        <f t="shared" si="24"/>
        <v>5.4000000000000012E-3</v>
      </c>
    </row>
    <row r="299" spans="2:10" ht="13.8" customHeight="1">
      <c r="B299" s="16">
        <v>296</v>
      </c>
      <c r="C299" s="125" t="s">
        <v>565</v>
      </c>
      <c r="D299" s="73">
        <v>12</v>
      </c>
      <c r="E299" s="198">
        <f t="shared" si="20"/>
        <v>12</v>
      </c>
      <c r="F299" s="199">
        <v>900</v>
      </c>
      <c r="G299" s="200">
        <f t="shared" si="21"/>
        <v>2222.2222222222222</v>
      </c>
      <c r="H299" s="198">
        <f t="shared" si="22"/>
        <v>10800</v>
      </c>
      <c r="I299" s="185">
        <f t="shared" si="23"/>
        <v>6.5060240963855428E-3</v>
      </c>
      <c r="J299" s="185">
        <f t="shared" si="24"/>
        <v>5.4000000000000003E-3</v>
      </c>
    </row>
    <row r="300" spans="2:10" ht="13.8" customHeight="1">
      <c r="B300" s="16">
        <v>297</v>
      </c>
      <c r="C300" s="17" t="s">
        <v>613</v>
      </c>
      <c r="D300" s="73">
        <v>11.5</v>
      </c>
      <c r="E300" s="198">
        <f t="shared" si="20"/>
        <v>11.5</v>
      </c>
      <c r="F300" s="199">
        <v>744</v>
      </c>
      <c r="G300" s="200">
        <f t="shared" si="21"/>
        <v>2688.1720430107525</v>
      </c>
      <c r="H300" s="198">
        <f t="shared" si="22"/>
        <v>8556</v>
      </c>
      <c r="I300" s="185">
        <f t="shared" si="23"/>
        <v>5.1542168674698803E-3</v>
      </c>
      <c r="J300" s="185">
        <f t="shared" si="24"/>
        <v>4.2779999999999997E-3</v>
      </c>
    </row>
    <row r="301" spans="2:10" ht="13.8" customHeight="1">
      <c r="B301" s="16">
        <v>298</v>
      </c>
      <c r="C301" s="111" t="s">
        <v>680</v>
      </c>
      <c r="D301" s="73">
        <v>11.399999999999999</v>
      </c>
      <c r="E301" s="198">
        <f t="shared" si="20"/>
        <v>11.399999999999999</v>
      </c>
      <c r="F301" s="199">
        <v>400</v>
      </c>
      <c r="G301" s="200">
        <f t="shared" si="21"/>
        <v>5000</v>
      </c>
      <c r="H301" s="198">
        <f t="shared" si="22"/>
        <v>4559.9999999999991</v>
      </c>
      <c r="I301" s="185">
        <f t="shared" si="23"/>
        <v>2.7469879518072287E-3</v>
      </c>
      <c r="J301" s="185">
        <f t="shared" si="24"/>
        <v>2.2799999999999995E-3</v>
      </c>
    </row>
    <row r="302" spans="2:10" ht="13.8" customHeight="1">
      <c r="B302" s="16">
        <v>299</v>
      </c>
      <c r="C302" s="17" t="s">
        <v>585</v>
      </c>
      <c r="D302" s="73">
        <v>11</v>
      </c>
      <c r="E302" s="198">
        <f t="shared" si="20"/>
        <v>11</v>
      </c>
      <c r="F302" s="199">
        <v>806</v>
      </c>
      <c r="G302" s="200">
        <f t="shared" si="21"/>
        <v>2481.3895781637716</v>
      </c>
      <c r="H302" s="198">
        <f t="shared" si="22"/>
        <v>8866</v>
      </c>
      <c r="I302" s="185">
        <f t="shared" si="23"/>
        <v>5.3409638554216873E-3</v>
      </c>
      <c r="J302" s="185">
        <f t="shared" si="24"/>
        <v>4.4330000000000003E-3</v>
      </c>
    </row>
    <row r="303" spans="2:10" ht="13.8" customHeight="1">
      <c r="B303" s="16">
        <v>300</v>
      </c>
      <c r="C303" s="17" t="s">
        <v>512</v>
      </c>
      <c r="D303" s="73">
        <v>10.5</v>
      </c>
      <c r="E303" s="198">
        <f t="shared" si="20"/>
        <v>10.5</v>
      </c>
      <c r="F303" s="199">
        <v>46</v>
      </c>
      <c r="G303" s="200">
        <f t="shared" si="21"/>
        <v>43478.260869565216</v>
      </c>
      <c r="H303" s="198">
        <f t="shared" si="22"/>
        <v>483</v>
      </c>
      <c r="I303" s="185">
        <f t="shared" si="23"/>
        <v>2.9096385542168681E-4</v>
      </c>
      <c r="J303" s="185">
        <f t="shared" si="24"/>
        <v>2.4149999999999999E-4</v>
      </c>
    </row>
    <row r="304" spans="2:10" ht="13.8" customHeight="1">
      <c r="B304" s="16">
        <v>301</v>
      </c>
      <c r="C304" s="17" t="s">
        <v>464</v>
      </c>
      <c r="D304" s="73">
        <v>10</v>
      </c>
      <c r="E304" s="198">
        <f t="shared" si="20"/>
        <v>10</v>
      </c>
      <c r="F304" s="199">
        <v>484</v>
      </c>
      <c r="G304" s="200">
        <f t="shared" si="21"/>
        <v>4132.2314049586776</v>
      </c>
      <c r="H304" s="198">
        <f t="shared" si="22"/>
        <v>4840</v>
      </c>
      <c r="I304" s="185">
        <f t="shared" si="23"/>
        <v>2.9156626506024099E-3</v>
      </c>
      <c r="J304" s="185">
        <f t="shared" si="24"/>
        <v>2.4199999999999998E-3</v>
      </c>
    </row>
    <row r="305" spans="2:10" ht="13.8" customHeight="1">
      <c r="B305" s="16">
        <v>302</v>
      </c>
      <c r="C305" s="17" t="s">
        <v>469</v>
      </c>
      <c r="D305" s="73">
        <v>10</v>
      </c>
      <c r="E305" s="198">
        <f t="shared" si="20"/>
        <v>10</v>
      </c>
      <c r="F305" s="199">
        <v>484</v>
      </c>
      <c r="G305" s="200">
        <f t="shared" si="21"/>
        <v>4132.2314049586776</v>
      </c>
      <c r="H305" s="198">
        <f t="shared" si="22"/>
        <v>4840</v>
      </c>
      <c r="I305" s="185">
        <f t="shared" si="23"/>
        <v>2.9156626506024099E-3</v>
      </c>
      <c r="J305" s="185">
        <f t="shared" si="24"/>
        <v>2.4199999999999998E-3</v>
      </c>
    </row>
    <row r="306" spans="2:10" ht="13.8" customHeight="1">
      <c r="B306" s="16">
        <v>303</v>
      </c>
      <c r="C306" s="17" t="s">
        <v>478</v>
      </c>
      <c r="D306" s="73">
        <v>10</v>
      </c>
      <c r="E306" s="198">
        <f t="shared" si="20"/>
        <v>10</v>
      </c>
      <c r="F306" s="199">
        <v>500</v>
      </c>
      <c r="G306" s="200">
        <f t="shared" si="21"/>
        <v>4000</v>
      </c>
      <c r="H306" s="198">
        <f t="shared" si="22"/>
        <v>5000</v>
      </c>
      <c r="I306" s="185">
        <f t="shared" si="23"/>
        <v>3.0120481927710849E-3</v>
      </c>
      <c r="J306" s="185">
        <f t="shared" si="24"/>
        <v>2.5000000000000001E-3</v>
      </c>
    </row>
    <row r="307" spans="2:10" ht="13.8" customHeight="1">
      <c r="B307" s="16">
        <v>304</v>
      </c>
      <c r="C307" s="17" t="s">
        <v>487</v>
      </c>
      <c r="D307" s="73">
        <v>10</v>
      </c>
      <c r="E307" s="198">
        <f t="shared" si="20"/>
        <v>10</v>
      </c>
      <c r="F307" s="199">
        <v>484</v>
      </c>
      <c r="G307" s="200">
        <f t="shared" si="21"/>
        <v>4132.2314049586776</v>
      </c>
      <c r="H307" s="198">
        <f t="shared" si="22"/>
        <v>4840</v>
      </c>
      <c r="I307" s="185">
        <f t="shared" si="23"/>
        <v>2.9156626506024099E-3</v>
      </c>
      <c r="J307" s="185">
        <f t="shared" si="24"/>
        <v>2.4199999999999998E-3</v>
      </c>
    </row>
    <row r="308" spans="2:10" ht="13.8" customHeight="1">
      <c r="B308" s="16">
        <v>305</v>
      </c>
      <c r="C308" s="17" t="s">
        <v>536</v>
      </c>
      <c r="D308" s="73">
        <v>10</v>
      </c>
      <c r="E308" s="198">
        <f t="shared" si="20"/>
        <v>10</v>
      </c>
      <c r="F308" s="199">
        <v>18</v>
      </c>
      <c r="G308" s="200">
        <f t="shared" si="21"/>
        <v>111111.11111111111</v>
      </c>
      <c r="H308" s="198">
        <f t="shared" si="22"/>
        <v>180</v>
      </c>
      <c r="I308" s="185">
        <f t="shared" si="23"/>
        <v>1.0843373493975904E-4</v>
      </c>
      <c r="J308" s="185">
        <f t="shared" si="24"/>
        <v>9.0000000000000006E-5</v>
      </c>
    </row>
    <row r="309" spans="2:10" ht="13.8" customHeight="1">
      <c r="B309" s="16">
        <v>306</v>
      </c>
      <c r="C309" s="17" t="s">
        <v>542</v>
      </c>
      <c r="D309" s="73">
        <v>10</v>
      </c>
      <c r="E309" s="198">
        <f t="shared" si="20"/>
        <v>10</v>
      </c>
      <c r="F309" s="199">
        <v>48</v>
      </c>
      <c r="G309" s="200">
        <f t="shared" si="21"/>
        <v>41666.666666666664</v>
      </c>
      <c r="H309" s="198">
        <f t="shared" si="22"/>
        <v>480</v>
      </c>
      <c r="I309" s="185">
        <f t="shared" si="23"/>
        <v>2.8915662650602414E-4</v>
      </c>
      <c r="J309" s="185">
        <f t="shared" si="24"/>
        <v>2.4000000000000001E-4</v>
      </c>
    </row>
    <row r="310" spans="2:10" ht="13.8" customHeight="1">
      <c r="B310" s="16">
        <v>307</v>
      </c>
      <c r="C310" s="125" t="s">
        <v>551</v>
      </c>
      <c r="D310" s="73">
        <v>10</v>
      </c>
      <c r="E310" s="198">
        <f t="shared" si="20"/>
        <v>10</v>
      </c>
      <c r="F310" s="199">
        <v>1200</v>
      </c>
      <c r="G310" s="200">
        <f t="shared" si="21"/>
        <v>1666.6666666666667</v>
      </c>
      <c r="H310" s="198">
        <f t="shared" si="22"/>
        <v>12000</v>
      </c>
      <c r="I310" s="185">
        <f t="shared" si="23"/>
        <v>7.2289156626506035E-3</v>
      </c>
      <c r="J310" s="185">
        <f t="shared" si="24"/>
        <v>6.0000000000000001E-3</v>
      </c>
    </row>
    <row r="311" spans="2:10" ht="13.8" customHeight="1">
      <c r="B311" s="16">
        <v>308</v>
      </c>
      <c r="C311" s="125" t="s">
        <v>580</v>
      </c>
      <c r="D311" s="73">
        <v>10</v>
      </c>
      <c r="E311" s="198">
        <f t="shared" si="20"/>
        <v>10</v>
      </c>
      <c r="F311" s="199">
        <v>900</v>
      </c>
      <c r="G311" s="200">
        <f t="shared" si="21"/>
        <v>2222.2222222222222</v>
      </c>
      <c r="H311" s="198">
        <f t="shared" si="22"/>
        <v>9000</v>
      </c>
      <c r="I311" s="185">
        <f t="shared" si="23"/>
        <v>5.4216867469879526E-3</v>
      </c>
      <c r="J311" s="185">
        <f t="shared" si="24"/>
        <v>4.4999999999999997E-3</v>
      </c>
    </row>
    <row r="312" spans="2:10" ht="13.8" customHeight="1">
      <c r="B312" s="16">
        <v>309</v>
      </c>
      <c r="C312" s="121" t="s">
        <v>802</v>
      </c>
      <c r="D312" s="73">
        <v>10</v>
      </c>
      <c r="E312" s="198">
        <f t="shared" si="20"/>
        <v>10</v>
      </c>
      <c r="F312" s="199">
        <v>2500</v>
      </c>
      <c r="G312" s="200">
        <f t="shared" si="21"/>
        <v>800</v>
      </c>
      <c r="H312" s="198">
        <f t="shared" si="22"/>
        <v>25000</v>
      </c>
      <c r="I312" s="185">
        <f t="shared" si="23"/>
        <v>1.5060240963855423E-2</v>
      </c>
      <c r="J312" s="185">
        <f t="shared" si="24"/>
        <v>1.2500000000000001E-2</v>
      </c>
    </row>
    <row r="313" spans="2:10" ht="13.8" customHeight="1">
      <c r="B313" s="16">
        <v>310</v>
      </c>
      <c r="C313" s="17" t="s">
        <v>528</v>
      </c>
      <c r="D313" s="73">
        <v>9</v>
      </c>
      <c r="E313" s="198">
        <f t="shared" si="20"/>
        <v>9</v>
      </c>
      <c r="F313" s="199">
        <v>6</v>
      </c>
      <c r="G313" s="200">
        <f t="shared" si="21"/>
        <v>333333.33333333331</v>
      </c>
      <c r="H313" s="198">
        <f t="shared" si="22"/>
        <v>54</v>
      </c>
      <c r="I313" s="185">
        <f t="shared" si="23"/>
        <v>3.2530120481927713E-5</v>
      </c>
      <c r="J313" s="185">
        <f t="shared" si="24"/>
        <v>2.6999999999999999E-5</v>
      </c>
    </row>
    <row r="314" spans="2:10" ht="13.8" customHeight="1">
      <c r="B314" s="16">
        <v>311</v>
      </c>
      <c r="C314" s="17" t="s">
        <v>514</v>
      </c>
      <c r="D314" s="73">
        <v>8.5</v>
      </c>
      <c r="E314" s="198">
        <f t="shared" si="20"/>
        <v>8.5</v>
      </c>
      <c r="F314" s="199">
        <v>6</v>
      </c>
      <c r="G314" s="200">
        <f t="shared" si="21"/>
        <v>333333.33333333331</v>
      </c>
      <c r="H314" s="198">
        <f t="shared" si="22"/>
        <v>51</v>
      </c>
      <c r="I314" s="185">
        <f t="shared" si="23"/>
        <v>3.0722891566265065E-5</v>
      </c>
      <c r="J314" s="185">
        <f t="shared" si="24"/>
        <v>2.55E-5</v>
      </c>
    </row>
    <row r="315" spans="2:10" ht="13.8" customHeight="1">
      <c r="B315" s="16">
        <v>312</v>
      </c>
      <c r="C315" s="17" t="s">
        <v>527</v>
      </c>
      <c r="D315" s="73">
        <v>8.5</v>
      </c>
      <c r="E315" s="198">
        <f t="shared" si="20"/>
        <v>8.5</v>
      </c>
      <c r="F315" s="199">
        <v>6</v>
      </c>
      <c r="G315" s="200">
        <f t="shared" si="21"/>
        <v>333333.33333333331</v>
      </c>
      <c r="H315" s="198">
        <f t="shared" si="22"/>
        <v>51</v>
      </c>
      <c r="I315" s="185">
        <f t="shared" si="23"/>
        <v>3.0722891566265065E-5</v>
      </c>
      <c r="J315" s="185">
        <f t="shared" si="24"/>
        <v>2.55E-5</v>
      </c>
    </row>
    <row r="316" spans="2:10" ht="13.8" customHeight="1">
      <c r="B316" s="16">
        <v>313</v>
      </c>
      <c r="C316" s="125" t="s">
        <v>564</v>
      </c>
      <c r="D316" s="73">
        <v>8</v>
      </c>
      <c r="E316" s="198">
        <f t="shared" si="20"/>
        <v>8</v>
      </c>
      <c r="F316" s="199">
        <v>1200</v>
      </c>
      <c r="G316" s="200">
        <f t="shared" si="21"/>
        <v>1666.6666666666667</v>
      </c>
      <c r="H316" s="198">
        <f t="shared" si="22"/>
        <v>9600</v>
      </c>
      <c r="I316" s="185">
        <f t="shared" si="23"/>
        <v>5.783132530120483E-3</v>
      </c>
      <c r="J316" s="185">
        <f t="shared" si="24"/>
        <v>4.7999999999999996E-3</v>
      </c>
    </row>
    <row r="317" spans="2:10" ht="13.8" customHeight="1">
      <c r="B317" s="16">
        <v>314</v>
      </c>
      <c r="C317" s="125" t="s">
        <v>576</v>
      </c>
      <c r="D317" s="73">
        <v>8</v>
      </c>
      <c r="E317" s="198">
        <f t="shared" si="20"/>
        <v>8</v>
      </c>
      <c r="F317" s="199">
        <v>1500</v>
      </c>
      <c r="G317" s="200">
        <f t="shared" si="21"/>
        <v>1333.3333333333333</v>
      </c>
      <c r="H317" s="198">
        <f t="shared" si="22"/>
        <v>12000</v>
      </c>
      <c r="I317" s="185">
        <f t="shared" si="23"/>
        <v>7.2289156626506035E-3</v>
      </c>
      <c r="J317" s="185">
        <f t="shared" si="24"/>
        <v>6.0000000000000001E-3</v>
      </c>
    </row>
    <row r="318" spans="2:10" ht="13.8" customHeight="1">
      <c r="B318" s="16">
        <v>315</v>
      </c>
      <c r="C318" s="17" t="s">
        <v>522</v>
      </c>
      <c r="D318" s="73">
        <v>7.5</v>
      </c>
      <c r="E318" s="198">
        <f t="shared" si="20"/>
        <v>7.5</v>
      </c>
      <c r="F318" s="199">
        <v>64</v>
      </c>
      <c r="G318" s="200">
        <f t="shared" si="21"/>
        <v>31250</v>
      </c>
      <c r="H318" s="198">
        <f t="shared" si="22"/>
        <v>480</v>
      </c>
      <c r="I318" s="185">
        <f t="shared" si="23"/>
        <v>2.8915662650602414E-4</v>
      </c>
      <c r="J318" s="185">
        <f t="shared" si="24"/>
        <v>2.4000000000000001E-4</v>
      </c>
    </row>
    <row r="319" spans="2:10" ht="13.8" customHeight="1">
      <c r="B319" s="16">
        <v>316</v>
      </c>
      <c r="C319" s="17" t="s">
        <v>545</v>
      </c>
      <c r="D319" s="73">
        <v>7.2</v>
      </c>
      <c r="E319" s="198">
        <f t="shared" si="20"/>
        <v>7.2</v>
      </c>
      <c r="F319" s="199">
        <v>7</v>
      </c>
      <c r="G319" s="200">
        <f t="shared" si="21"/>
        <v>285714.28571428574</v>
      </c>
      <c r="H319" s="198">
        <f t="shared" si="22"/>
        <v>50.4</v>
      </c>
      <c r="I319" s="185">
        <f t="shared" si="23"/>
        <v>3.0361445783132535E-5</v>
      </c>
      <c r="J319" s="185">
        <f t="shared" si="24"/>
        <v>2.5199999999999999E-5</v>
      </c>
    </row>
    <row r="320" spans="2:10" ht="13.8" customHeight="1">
      <c r="B320" s="16">
        <v>317</v>
      </c>
      <c r="C320" s="17" t="s">
        <v>506</v>
      </c>
      <c r="D320" s="73">
        <v>6.5</v>
      </c>
      <c r="E320" s="198">
        <f t="shared" si="20"/>
        <v>6.5</v>
      </c>
      <c r="F320" s="199">
        <v>8</v>
      </c>
      <c r="G320" s="200">
        <f t="shared" si="21"/>
        <v>250000</v>
      </c>
      <c r="H320" s="198">
        <f t="shared" si="22"/>
        <v>52</v>
      </c>
      <c r="I320" s="185">
        <f t="shared" si="23"/>
        <v>3.1325301204819281E-5</v>
      </c>
      <c r="J320" s="185">
        <f t="shared" si="24"/>
        <v>2.5999999999999998E-5</v>
      </c>
    </row>
    <row r="321" spans="2:10" ht="13.8" customHeight="1">
      <c r="B321" s="16">
        <v>318</v>
      </c>
      <c r="C321" s="125" t="s">
        <v>563</v>
      </c>
      <c r="D321" s="73">
        <v>6.0000000000000009</v>
      </c>
      <c r="E321" s="198">
        <f t="shared" si="20"/>
        <v>6.0000000000000009</v>
      </c>
      <c r="F321" s="199">
        <v>1500</v>
      </c>
      <c r="G321" s="200">
        <f t="shared" si="21"/>
        <v>1333.3333333333333</v>
      </c>
      <c r="H321" s="198">
        <f t="shared" si="22"/>
        <v>9000.0000000000018</v>
      </c>
      <c r="I321" s="185">
        <f t="shared" si="23"/>
        <v>5.4216867469879535E-3</v>
      </c>
      <c r="J321" s="185">
        <f t="shared" si="24"/>
        <v>4.5000000000000005E-3</v>
      </c>
    </row>
    <row r="322" spans="2:10" ht="13.8" customHeight="1">
      <c r="B322" s="16">
        <v>319</v>
      </c>
      <c r="C322" s="17" t="s">
        <v>539</v>
      </c>
      <c r="D322" s="73">
        <v>6</v>
      </c>
      <c r="E322" s="198">
        <f t="shared" si="20"/>
        <v>6</v>
      </c>
      <c r="F322" s="199">
        <v>9</v>
      </c>
      <c r="G322" s="200">
        <f t="shared" si="21"/>
        <v>222222.22222222222</v>
      </c>
      <c r="H322" s="198">
        <f t="shared" si="22"/>
        <v>54</v>
      </c>
      <c r="I322" s="185">
        <f t="shared" si="23"/>
        <v>3.2530120481927713E-5</v>
      </c>
      <c r="J322" s="185">
        <f t="shared" si="24"/>
        <v>2.6999999999999999E-5</v>
      </c>
    </row>
    <row r="323" spans="2:10" ht="13.8" customHeight="1">
      <c r="B323" s="16">
        <v>320</v>
      </c>
      <c r="C323" s="17" t="s">
        <v>463</v>
      </c>
      <c r="D323" s="73">
        <v>5</v>
      </c>
      <c r="E323" s="198">
        <f t="shared" si="20"/>
        <v>5</v>
      </c>
      <c r="F323" s="199">
        <v>967</v>
      </c>
      <c r="G323" s="200">
        <f t="shared" si="21"/>
        <v>2068.2523267838678</v>
      </c>
      <c r="H323" s="198">
        <f t="shared" si="22"/>
        <v>4835</v>
      </c>
      <c r="I323" s="185">
        <f t="shared" si="23"/>
        <v>2.9126506024096388E-3</v>
      </c>
      <c r="J323" s="185">
        <f t="shared" si="24"/>
        <v>2.4174999999999999E-3</v>
      </c>
    </row>
    <row r="324" spans="2:10" ht="13.8" customHeight="1">
      <c r="B324" s="16">
        <v>321</v>
      </c>
      <c r="C324" s="17" t="s">
        <v>468</v>
      </c>
      <c r="D324" s="73">
        <v>5</v>
      </c>
      <c r="E324" s="198">
        <f t="shared" ref="E324:E358" si="25">D324*$M$7</f>
        <v>5</v>
      </c>
      <c r="F324" s="199">
        <v>967</v>
      </c>
      <c r="G324" s="200">
        <f t="shared" ref="G324:G358" si="26">$M$6/F324</f>
        <v>2068.2523267838678</v>
      </c>
      <c r="H324" s="198">
        <f t="shared" ref="H324:H358" si="27">F324*E324</f>
        <v>4835</v>
      </c>
      <c r="I324" s="185">
        <f t="shared" ref="I324:I358" si="28">H324/$M$9</f>
        <v>2.9126506024096388E-3</v>
      </c>
      <c r="J324" s="185">
        <f t="shared" ref="J324:J358" si="29">H324/$M$8</f>
        <v>2.4174999999999999E-3</v>
      </c>
    </row>
    <row r="325" spans="2:10" ht="13.8" customHeight="1">
      <c r="B325" s="16">
        <v>322</v>
      </c>
      <c r="C325" s="17" t="s">
        <v>477</v>
      </c>
      <c r="D325" s="73">
        <v>5</v>
      </c>
      <c r="E325" s="198">
        <f t="shared" si="25"/>
        <v>5</v>
      </c>
      <c r="F325" s="199">
        <v>1000</v>
      </c>
      <c r="G325" s="200">
        <f t="shared" si="26"/>
        <v>2000</v>
      </c>
      <c r="H325" s="198">
        <f t="shared" si="27"/>
        <v>5000</v>
      </c>
      <c r="I325" s="185">
        <f t="shared" si="28"/>
        <v>3.0120481927710849E-3</v>
      </c>
      <c r="J325" s="185">
        <f t="shared" si="29"/>
        <v>2.5000000000000001E-3</v>
      </c>
    </row>
    <row r="326" spans="2:10" ht="13.8" customHeight="1">
      <c r="B326" s="16">
        <v>323</v>
      </c>
      <c r="C326" s="17" t="s">
        <v>486</v>
      </c>
      <c r="D326" s="73">
        <v>5</v>
      </c>
      <c r="E326" s="198">
        <f t="shared" si="25"/>
        <v>5</v>
      </c>
      <c r="F326" s="199">
        <v>967</v>
      </c>
      <c r="G326" s="200">
        <f t="shared" si="26"/>
        <v>2068.2523267838678</v>
      </c>
      <c r="H326" s="198">
        <f t="shared" si="27"/>
        <v>4835</v>
      </c>
      <c r="I326" s="185">
        <f t="shared" si="28"/>
        <v>2.9126506024096388E-3</v>
      </c>
      <c r="J326" s="185">
        <f t="shared" si="29"/>
        <v>2.4174999999999999E-3</v>
      </c>
    </row>
    <row r="327" spans="2:10" ht="13.8" customHeight="1">
      <c r="B327" s="16">
        <v>324</v>
      </c>
      <c r="C327" s="17" t="s">
        <v>518</v>
      </c>
      <c r="D327" s="73">
        <v>5</v>
      </c>
      <c r="E327" s="198">
        <f t="shared" si="25"/>
        <v>5</v>
      </c>
      <c r="F327" s="199">
        <v>96</v>
      </c>
      <c r="G327" s="200">
        <f t="shared" si="26"/>
        <v>20833.333333333332</v>
      </c>
      <c r="H327" s="198">
        <f t="shared" si="27"/>
        <v>480</v>
      </c>
      <c r="I327" s="185">
        <f t="shared" si="28"/>
        <v>2.8915662650602414E-4</v>
      </c>
      <c r="J327" s="185">
        <f t="shared" si="29"/>
        <v>2.4000000000000001E-4</v>
      </c>
    </row>
    <row r="328" spans="2:10" ht="13.8" customHeight="1">
      <c r="B328" s="16">
        <v>325</v>
      </c>
      <c r="C328" s="17" t="s">
        <v>531</v>
      </c>
      <c r="D328" s="73">
        <v>5</v>
      </c>
      <c r="E328" s="198">
        <f t="shared" si="25"/>
        <v>5</v>
      </c>
      <c r="F328" s="199">
        <v>96</v>
      </c>
      <c r="G328" s="200">
        <f t="shared" si="26"/>
        <v>20833.333333333332</v>
      </c>
      <c r="H328" s="198">
        <f t="shared" si="27"/>
        <v>480</v>
      </c>
      <c r="I328" s="185">
        <f t="shared" si="28"/>
        <v>2.8915662650602414E-4</v>
      </c>
      <c r="J328" s="185">
        <f t="shared" si="29"/>
        <v>2.4000000000000001E-4</v>
      </c>
    </row>
    <row r="329" spans="2:10" ht="13.8" customHeight="1">
      <c r="B329" s="16">
        <v>326</v>
      </c>
      <c r="C329" s="17" t="s">
        <v>535</v>
      </c>
      <c r="D329" s="73">
        <v>4.5</v>
      </c>
      <c r="E329" s="198">
        <f t="shared" si="25"/>
        <v>4.5</v>
      </c>
      <c r="F329" s="199">
        <v>10</v>
      </c>
      <c r="G329" s="200">
        <f t="shared" si="26"/>
        <v>200000</v>
      </c>
      <c r="H329" s="198">
        <f t="shared" si="27"/>
        <v>45</v>
      </c>
      <c r="I329" s="185">
        <f t="shared" si="28"/>
        <v>2.7108433734939761E-5</v>
      </c>
      <c r="J329" s="185">
        <f t="shared" si="29"/>
        <v>2.2500000000000001E-5</v>
      </c>
    </row>
    <row r="330" spans="2:10" ht="13.8" customHeight="1">
      <c r="B330" s="16">
        <v>327</v>
      </c>
      <c r="C330" s="17" t="s">
        <v>513</v>
      </c>
      <c r="D330" s="73">
        <v>4</v>
      </c>
      <c r="E330" s="198">
        <f t="shared" si="25"/>
        <v>4</v>
      </c>
      <c r="F330" s="199">
        <v>12</v>
      </c>
      <c r="G330" s="200">
        <f t="shared" si="26"/>
        <v>166666.66666666666</v>
      </c>
      <c r="H330" s="198">
        <f t="shared" si="27"/>
        <v>48</v>
      </c>
      <c r="I330" s="185">
        <f t="shared" si="28"/>
        <v>2.8915662650602413E-5</v>
      </c>
      <c r="J330" s="185">
        <f t="shared" si="29"/>
        <v>2.4000000000000001E-5</v>
      </c>
    </row>
    <row r="331" spans="2:10" ht="13.8" customHeight="1">
      <c r="B331" s="16">
        <v>328</v>
      </c>
      <c r="C331" s="125" t="s">
        <v>550</v>
      </c>
      <c r="D331" s="73">
        <v>4</v>
      </c>
      <c r="E331" s="198">
        <f t="shared" si="25"/>
        <v>4</v>
      </c>
      <c r="F331" s="199">
        <v>1800</v>
      </c>
      <c r="G331" s="200">
        <f t="shared" si="26"/>
        <v>1111.1111111111111</v>
      </c>
      <c r="H331" s="198">
        <f t="shared" si="27"/>
        <v>7200</v>
      </c>
      <c r="I331" s="185">
        <f t="shared" si="28"/>
        <v>4.3373493975903624E-3</v>
      </c>
      <c r="J331" s="185">
        <f t="shared" si="29"/>
        <v>3.5999999999999999E-3</v>
      </c>
    </row>
    <row r="332" spans="2:10" ht="13.8" customHeight="1">
      <c r="B332" s="16">
        <v>329</v>
      </c>
      <c r="C332" s="125" t="s">
        <v>562</v>
      </c>
      <c r="D332" s="73">
        <v>4</v>
      </c>
      <c r="E332" s="198">
        <f t="shared" si="25"/>
        <v>4</v>
      </c>
      <c r="F332" s="199">
        <v>1800</v>
      </c>
      <c r="G332" s="200">
        <f t="shared" si="26"/>
        <v>1111.1111111111111</v>
      </c>
      <c r="H332" s="198">
        <f t="shared" si="27"/>
        <v>7200</v>
      </c>
      <c r="I332" s="185">
        <f t="shared" si="28"/>
        <v>4.3373493975903624E-3</v>
      </c>
      <c r="J332" s="185">
        <f t="shared" si="29"/>
        <v>3.5999999999999999E-3</v>
      </c>
    </row>
    <row r="333" spans="2:10" ht="13.8" customHeight="1">
      <c r="B333" s="16">
        <v>330</v>
      </c>
      <c r="C333" s="17" t="s">
        <v>462</v>
      </c>
      <c r="D333" s="73">
        <v>3</v>
      </c>
      <c r="E333" s="198">
        <f t="shared" si="25"/>
        <v>3</v>
      </c>
      <c r="F333" s="199">
        <v>1000</v>
      </c>
      <c r="G333" s="200">
        <f t="shared" si="26"/>
        <v>2000</v>
      </c>
      <c r="H333" s="198">
        <f t="shared" si="27"/>
        <v>3000</v>
      </c>
      <c r="I333" s="185">
        <f t="shared" si="28"/>
        <v>1.8072289156626509E-3</v>
      </c>
      <c r="J333" s="185">
        <f t="shared" si="29"/>
        <v>1.5E-3</v>
      </c>
    </row>
    <row r="334" spans="2:10" ht="13.8" customHeight="1">
      <c r="B334" s="16">
        <v>331</v>
      </c>
      <c r="C334" s="17" t="s">
        <v>504</v>
      </c>
      <c r="D334" s="73">
        <v>3</v>
      </c>
      <c r="E334" s="198">
        <f t="shared" si="25"/>
        <v>3</v>
      </c>
      <c r="F334" s="199">
        <v>161</v>
      </c>
      <c r="G334" s="200">
        <f t="shared" si="26"/>
        <v>12422.360248447205</v>
      </c>
      <c r="H334" s="198">
        <f t="shared" si="27"/>
        <v>483</v>
      </c>
      <c r="I334" s="185">
        <f t="shared" si="28"/>
        <v>2.9096385542168681E-4</v>
      </c>
      <c r="J334" s="185">
        <f t="shared" si="29"/>
        <v>2.4149999999999999E-4</v>
      </c>
    </row>
    <row r="335" spans="2:10" ht="13.8" customHeight="1">
      <c r="B335" s="16">
        <v>332</v>
      </c>
      <c r="C335" s="17" t="s">
        <v>507</v>
      </c>
      <c r="D335" s="73">
        <v>3</v>
      </c>
      <c r="E335" s="198">
        <f t="shared" si="25"/>
        <v>3</v>
      </c>
      <c r="F335" s="199">
        <v>17</v>
      </c>
      <c r="G335" s="200">
        <f t="shared" si="26"/>
        <v>117647.05882352941</v>
      </c>
      <c r="H335" s="198">
        <f t="shared" si="27"/>
        <v>51</v>
      </c>
      <c r="I335" s="185">
        <f t="shared" si="28"/>
        <v>3.0722891566265065E-5</v>
      </c>
      <c r="J335" s="185">
        <f t="shared" si="29"/>
        <v>2.55E-5</v>
      </c>
    </row>
    <row r="336" spans="2:10" ht="13.8" customHeight="1">
      <c r="B336" s="16">
        <v>333</v>
      </c>
      <c r="C336" s="17" t="s">
        <v>461</v>
      </c>
      <c r="D336" s="73">
        <v>2.5</v>
      </c>
      <c r="E336" s="198">
        <f t="shared" si="25"/>
        <v>2.5</v>
      </c>
      <c r="F336" s="199">
        <v>3000</v>
      </c>
      <c r="G336" s="200">
        <f t="shared" si="26"/>
        <v>666.66666666666663</v>
      </c>
      <c r="H336" s="198">
        <f t="shared" si="27"/>
        <v>7500</v>
      </c>
      <c r="I336" s="185">
        <f t="shared" si="28"/>
        <v>4.5180722891566272E-3</v>
      </c>
      <c r="J336" s="185">
        <f t="shared" si="29"/>
        <v>3.7499999999999999E-3</v>
      </c>
    </row>
    <row r="337" spans="2:10" ht="13.8" customHeight="1">
      <c r="B337" s="16">
        <v>334</v>
      </c>
      <c r="C337" s="17" t="s">
        <v>505</v>
      </c>
      <c r="D337" s="73">
        <v>2.5</v>
      </c>
      <c r="E337" s="198">
        <f t="shared" si="25"/>
        <v>2.5</v>
      </c>
      <c r="F337" s="199">
        <v>19</v>
      </c>
      <c r="G337" s="200">
        <f t="shared" si="26"/>
        <v>105263.15789473684</v>
      </c>
      <c r="H337" s="198">
        <f t="shared" si="27"/>
        <v>47.5</v>
      </c>
      <c r="I337" s="185">
        <f t="shared" si="28"/>
        <v>2.8614457831325305E-5</v>
      </c>
      <c r="J337" s="185">
        <f t="shared" si="29"/>
        <v>2.3750000000000001E-5</v>
      </c>
    </row>
    <row r="338" spans="2:10" ht="13.8" customHeight="1">
      <c r="B338" s="16">
        <v>335</v>
      </c>
      <c r="C338" s="17" t="s">
        <v>460</v>
      </c>
      <c r="D338" s="73">
        <v>2</v>
      </c>
      <c r="E338" s="198">
        <f t="shared" si="25"/>
        <v>2</v>
      </c>
      <c r="F338" s="199">
        <v>15000</v>
      </c>
      <c r="G338" s="200">
        <f t="shared" si="26"/>
        <v>133.33333333333334</v>
      </c>
      <c r="H338" s="198">
        <f t="shared" si="27"/>
        <v>30000</v>
      </c>
      <c r="I338" s="185">
        <f t="shared" si="28"/>
        <v>1.8072289156626509E-2</v>
      </c>
      <c r="J338" s="185">
        <f t="shared" si="29"/>
        <v>1.4999999999999999E-2</v>
      </c>
    </row>
    <row r="339" spans="2:10" ht="13.8" customHeight="1">
      <c r="B339" s="16">
        <v>336</v>
      </c>
      <c r="C339" s="17" t="s">
        <v>467</v>
      </c>
      <c r="D339" s="73">
        <v>2</v>
      </c>
      <c r="E339" s="198">
        <f t="shared" si="25"/>
        <v>2</v>
      </c>
      <c r="F339" s="199">
        <v>15000</v>
      </c>
      <c r="G339" s="200">
        <f t="shared" si="26"/>
        <v>133.33333333333334</v>
      </c>
      <c r="H339" s="198">
        <f t="shared" si="27"/>
        <v>30000</v>
      </c>
      <c r="I339" s="185">
        <f t="shared" si="28"/>
        <v>1.8072289156626509E-2</v>
      </c>
      <c r="J339" s="185">
        <f t="shared" si="29"/>
        <v>1.4999999999999999E-2</v>
      </c>
    </row>
    <row r="340" spans="2:10" ht="13.8" customHeight="1">
      <c r="B340" s="16">
        <v>337</v>
      </c>
      <c r="C340" s="17" t="s">
        <v>476</v>
      </c>
      <c r="D340" s="73">
        <v>2</v>
      </c>
      <c r="E340" s="198">
        <f t="shared" si="25"/>
        <v>2</v>
      </c>
      <c r="F340" s="199">
        <v>15000</v>
      </c>
      <c r="G340" s="200">
        <f t="shared" si="26"/>
        <v>133.33333333333334</v>
      </c>
      <c r="H340" s="198">
        <f t="shared" si="27"/>
        <v>30000</v>
      </c>
      <c r="I340" s="185">
        <f t="shared" si="28"/>
        <v>1.8072289156626509E-2</v>
      </c>
      <c r="J340" s="185">
        <f t="shared" si="29"/>
        <v>1.4999999999999999E-2</v>
      </c>
    </row>
    <row r="341" spans="2:10" ht="13.8" customHeight="1">
      <c r="B341" s="16">
        <v>338</v>
      </c>
      <c r="C341" s="17" t="s">
        <v>485</v>
      </c>
      <c r="D341" s="73">
        <v>2</v>
      </c>
      <c r="E341" s="198">
        <f t="shared" si="25"/>
        <v>2</v>
      </c>
      <c r="F341" s="199">
        <v>2416</v>
      </c>
      <c r="G341" s="200">
        <f t="shared" si="26"/>
        <v>827.81456953642385</v>
      </c>
      <c r="H341" s="198">
        <f t="shared" si="27"/>
        <v>4832</v>
      </c>
      <c r="I341" s="185">
        <f t="shared" si="28"/>
        <v>2.9108433734939764E-3</v>
      </c>
      <c r="J341" s="185">
        <f t="shared" si="29"/>
        <v>2.4160000000000002E-3</v>
      </c>
    </row>
    <row r="342" spans="2:10" ht="13.8" customHeight="1">
      <c r="B342" s="16">
        <v>339</v>
      </c>
      <c r="C342" s="17" t="s">
        <v>502</v>
      </c>
      <c r="D342" s="73">
        <v>2</v>
      </c>
      <c r="E342" s="198">
        <f t="shared" si="25"/>
        <v>2</v>
      </c>
      <c r="F342" s="199">
        <v>2416</v>
      </c>
      <c r="G342" s="200">
        <f t="shared" si="26"/>
        <v>827.81456953642385</v>
      </c>
      <c r="H342" s="198">
        <f t="shared" si="27"/>
        <v>4832</v>
      </c>
      <c r="I342" s="185">
        <f t="shared" si="28"/>
        <v>2.9108433734939764E-3</v>
      </c>
      <c r="J342" s="185">
        <f t="shared" si="29"/>
        <v>2.4160000000000002E-3</v>
      </c>
    </row>
    <row r="343" spans="2:10" ht="13.8" customHeight="1">
      <c r="B343" s="16">
        <v>340</v>
      </c>
      <c r="C343" s="17" t="s">
        <v>530</v>
      </c>
      <c r="D343" s="73">
        <v>2</v>
      </c>
      <c r="E343" s="198">
        <f t="shared" si="25"/>
        <v>2</v>
      </c>
      <c r="F343" s="199">
        <v>24</v>
      </c>
      <c r="G343" s="200">
        <f t="shared" si="26"/>
        <v>83333.333333333328</v>
      </c>
      <c r="H343" s="198">
        <f t="shared" si="27"/>
        <v>48</v>
      </c>
      <c r="I343" s="185">
        <f t="shared" si="28"/>
        <v>2.8915662650602413E-5</v>
      </c>
      <c r="J343" s="185">
        <f t="shared" si="29"/>
        <v>2.4000000000000001E-5</v>
      </c>
    </row>
    <row r="344" spans="2:10" ht="13.8" customHeight="1">
      <c r="B344" s="16">
        <v>341</v>
      </c>
      <c r="C344" s="125" t="s">
        <v>549</v>
      </c>
      <c r="D344" s="73">
        <v>2</v>
      </c>
      <c r="E344" s="198">
        <f t="shared" si="25"/>
        <v>2</v>
      </c>
      <c r="F344" s="199">
        <v>2416</v>
      </c>
      <c r="G344" s="200">
        <f t="shared" si="26"/>
        <v>827.81456953642385</v>
      </c>
      <c r="H344" s="198">
        <f t="shared" si="27"/>
        <v>4832</v>
      </c>
      <c r="I344" s="185">
        <f t="shared" si="28"/>
        <v>2.9108433734939764E-3</v>
      </c>
      <c r="J344" s="185">
        <f t="shared" si="29"/>
        <v>2.4160000000000002E-3</v>
      </c>
    </row>
    <row r="345" spans="2:10" ht="13.8" customHeight="1">
      <c r="B345" s="16">
        <v>342</v>
      </c>
      <c r="C345" s="17" t="s">
        <v>459</v>
      </c>
      <c r="D345" s="73">
        <v>1.5</v>
      </c>
      <c r="E345" s="198">
        <f t="shared" si="25"/>
        <v>1.5</v>
      </c>
      <c r="F345" s="199">
        <v>30000</v>
      </c>
      <c r="G345" s="200">
        <f t="shared" si="26"/>
        <v>66.666666666666671</v>
      </c>
      <c r="H345" s="198">
        <f t="shared" si="27"/>
        <v>45000</v>
      </c>
      <c r="I345" s="185">
        <f t="shared" si="28"/>
        <v>2.7108433734939763E-2</v>
      </c>
      <c r="J345" s="185">
        <f t="shared" si="29"/>
        <v>2.2499999999999999E-2</v>
      </c>
    </row>
    <row r="346" spans="2:10" ht="13.8" customHeight="1">
      <c r="B346" s="16">
        <v>343</v>
      </c>
      <c r="C346" s="17" t="s">
        <v>466</v>
      </c>
      <c r="D346" s="73">
        <v>1.5</v>
      </c>
      <c r="E346" s="198">
        <f t="shared" si="25"/>
        <v>1.5</v>
      </c>
      <c r="F346" s="199">
        <v>30000</v>
      </c>
      <c r="G346" s="200">
        <f t="shared" si="26"/>
        <v>66.666666666666671</v>
      </c>
      <c r="H346" s="198">
        <f t="shared" si="27"/>
        <v>45000</v>
      </c>
      <c r="I346" s="185">
        <f t="shared" si="28"/>
        <v>2.7108433734939763E-2</v>
      </c>
      <c r="J346" s="185">
        <f t="shared" si="29"/>
        <v>2.2499999999999999E-2</v>
      </c>
    </row>
    <row r="347" spans="2:10" ht="13.8" customHeight="1">
      <c r="B347" s="16">
        <v>344</v>
      </c>
      <c r="C347" s="17" t="s">
        <v>475</v>
      </c>
      <c r="D347" s="73">
        <v>1.5</v>
      </c>
      <c r="E347" s="198">
        <f t="shared" si="25"/>
        <v>1.5</v>
      </c>
      <c r="F347" s="199">
        <v>30000</v>
      </c>
      <c r="G347" s="200">
        <f t="shared" si="26"/>
        <v>66.666666666666671</v>
      </c>
      <c r="H347" s="198">
        <f t="shared" si="27"/>
        <v>45000</v>
      </c>
      <c r="I347" s="185">
        <f t="shared" si="28"/>
        <v>2.7108433734939763E-2</v>
      </c>
      <c r="J347" s="185">
        <f t="shared" si="29"/>
        <v>2.2499999999999999E-2</v>
      </c>
    </row>
    <row r="348" spans="2:10" ht="13.8" customHeight="1">
      <c r="B348" s="16">
        <v>345</v>
      </c>
      <c r="C348" s="17" t="s">
        <v>503</v>
      </c>
      <c r="D348" s="73">
        <v>1.5</v>
      </c>
      <c r="E348" s="198">
        <f t="shared" si="25"/>
        <v>1.5</v>
      </c>
      <c r="F348" s="199">
        <v>500</v>
      </c>
      <c r="G348" s="200">
        <f t="shared" si="26"/>
        <v>4000</v>
      </c>
      <c r="H348" s="198">
        <f t="shared" si="27"/>
        <v>750</v>
      </c>
      <c r="I348" s="185">
        <f t="shared" si="28"/>
        <v>4.5180722891566272E-4</v>
      </c>
      <c r="J348" s="185">
        <f t="shared" si="29"/>
        <v>3.7500000000000001E-4</v>
      </c>
    </row>
    <row r="349" spans="2:10" ht="13.8" customHeight="1">
      <c r="B349" s="16">
        <v>346</v>
      </c>
      <c r="C349" s="17" t="s">
        <v>458</v>
      </c>
      <c r="D349" s="73">
        <v>1</v>
      </c>
      <c r="E349" s="198">
        <f t="shared" si="25"/>
        <v>1</v>
      </c>
      <c r="F349" s="199">
        <v>66424</v>
      </c>
      <c r="G349" s="200">
        <f t="shared" si="26"/>
        <v>30.109598940142117</v>
      </c>
      <c r="H349" s="198">
        <f t="shared" si="27"/>
        <v>66424</v>
      </c>
      <c r="I349" s="185">
        <f t="shared" si="28"/>
        <v>4.0014457831325304E-2</v>
      </c>
      <c r="J349" s="185">
        <f t="shared" si="29"/>
        <v>3.3211999999999998E-2</v>
      </c>
    </row>
    <row r="350" spans="2:10" ht="13.8" customHeight="1">
      <c r="B350" s="16">
        <v>347</v>
      </c>
      <c r="C350" s="17" t="s">
        <v>465</v>
      </c>
      <c r="D350" s="73">
        <v>1</v>
      </c>
      <c r="E350" s="198">
        <f t="shared" si="25"/>
        <v>1</v>
      </c>
      <c r="F350" s="199">
        <v>67382</v>
      </c>
      <c r="G350" s="200">
        <f t="shared" si="26"/>
        <v>29.681517319165355</v>
      </c>
      <c r="H350" s="198">
        <f t="shared" si="27"/>
        <v>67382</v>
      </c>
      <c r="I350" s="185">
        <f t="shared" si="28"/>
        <v>4.0591566265060247E-2</v>
      </c>
      <c r="J350" s="185">
        <f t="shared" si="29"/>
        <v>3.3690999999999999E-2</v>
      </c>
    </row>
    <row r="351" spans="2:10" ht="13.8" customHeight="1">
      <c r="B351" s="16">
        <v>348</v>
      </c>
      <c r="C351" s="17" t="s">
        <v>501</v>
      </c>
      <c r="D351" s="73">
        <v>0.6</v>
      </c>
      <c r="E351" s="198">
        <f t="shared" si="25"/>
        <v>0.6</v>
      </c>
      <c r="F351" s="199">
        <v>8000</v>
      </c>
      <c r="G351" s="200">
        <f t="shared" si="26"/>
        <v>250</v>
      </c>
      <c r="H351" s="198">
        <f t="shared" si="27"/>
        <v>4800</v>
      </c>
      <c r="I351" s="185">
        <f t="shared" si="28"/>
        <v>2.8915662650602415E-3</v>
      </c>
      <c r="J351" s="185">
        <f t="shared" si="29"/>
        <v>2.3999999999999998E-3</v>
      </c>
    </row>
    <row r="352" spans="2:10" ht="13.8" customHeight="1">
      <c r="B352" s="16">
        <v>349</v>
      </c>
      <c r="C352" s="17" t="s">
        <v>457</v>
      </c>
      <c r="D352" s="73">
        <v>0.5</v>
      </c>
      <c r="E352" s="198">
        <f t="shared" si="25"/>
        <v>0.5</v>
      </c>
      <c r="F352" s="199">
        <v>20001</v>
      </c>
      <c r="G352" s="200">
        <f t="shared" si="26"/>
        <v>99.995000249987498</v>
      </c>
      <c r="H352" s="198">
        <f t="shared" si="27"/>
        <v>10000.5</v>
      </c>
      <c r="I352" s="185">
        <f t="shared" si="28"/>
        <v>6.0243975903614463E-3</v>
      </c>
      <c r="J352" s="185">
        <f t="shared" si="29"/>
        <v>5.0002500000000004E-3</v>
      </c>
    </row>
    <row r="353" spans="2:24" ht="13.8" customHeight="1">
      <c r="B353" s="16">
        <v>350</v>
      </c>
      <c r="C353" s="17" t="s">
        <v>500</v>
      </c>
      <c r="D353" s="73">
        <v>0.4</v>
      </c>
      <c r="E353" s="198">
        <f t="shared" si="25"/>
        <v>0.4</v>
      </c>
      <c r="F353" s="199">
        <v>12000</v>
      </c>
      <c r="G353" s="200">
        <f t="shared" si="26"/>
        <v>166.66666666666666</v>
      </c>
      <c r="H353" s="198">
        <f t="shared" si="27"/>
        <v>4800</v>
      </c>
      <c r="I353" s="185">
        <f t="shared" si="28"/>
        <v>2.8915662650602415E-3</v>
      </c>
      <c r="J353" s="185">
        <f t="shared" si="29"/>
        <v>2.3999999999999998E-3</v>
      </c>
    </row>
    <row r="354" spans="2:24" ht="13.8" customHeight="1">
      <c r="B354" s="16">
        <v>351</v>
      </c>
      <c r="C354" s="17" t="s">
        <v>499</v>
      </c>
      <c r="D354" s="73">
        <v>0.30000000000000004</v>
      </c>
      <c r="E354" s="198">
        <f t="shared" si="25"/>
        <v>0.30000000000000004</v>
      </c>
      <c r="F354" s="199">
        <v>16000</v>
      </c>
      <c r="G354" s="200">
        <f t="shared" si="26"/>
        <v>125</v>
      </c>
      <c r="H354" s="198">
        <f t="shared" si="27"/>
        <v>4800.0000000000009</v>
      </c>
      <c r="I354" s="185">
        <f t="shared" si="28"/>
        <v>2.8915662650602419E-3</v>
      </c>
      <c r="J354" s="185">
        <f t="shared" si="29"/>
        <v>2.4000000000000007E-3</v>
      </c>
    </row>
    <row r="355" spans="2:24" ht="13.8" customHeight="1">
      <c r="B355" s="297">
        <v>352</v>
      </c>
      <c r="C355" s="300" t="s">
        <v>456</v>
      </c>
      <c r="D355" s="299">
        <v>0.2</v>
      </c>
      <c r="E355" s="301">
        <f t="shared" si="25"/>
        <v>0.2</v>
      </c>
      <c r="F355" s="307">
        <v>40003</v>
      </c>
      <c r="G355" s="308">
        <f t="shared" si="26"/>
        <v>49.99625028122891</v>
      </c>
      <c r="H355" s="301">
        <f t="shared" si="27"/>
        <v>8000.6</v>
      </c>
      <c r="I355" s="309">
        <f t="shared" si="28"/>
        <v>4.8196385542168679E-3</v>
      </c>
      <c r="J355" s="309">
        <f t="shared" si="29"/>
        <v>4.0003E-3</v>
      </c>
    </row>
    <row r="356" spans="2:24" ht="13.8" customHeight="1">
      <c r="B356" s="297">
        <v>353</v>
      </c>
      <c r="C356" s="300" t="s">
        <v>498</v>
      </c>
      <c r="D356" s="299">
        <v>0.2</v>
      </c>
      <c r="E356" s="301">
        <f t="shared" si="25"/>
        <v>0.2</v>
      </c>
      <c r="F356" s="307">
        <v>24000</v>
      </c>
      <c r="G356" s="308">
        <f t="shared" si="26"/>
        <v>83.333333333333329</v>
      </c>
      <c r="H356" s="301">
        <f t="shared" si="27"/>
        <v>4800</v>
      </c>
      <c r="I356" s="309">
        <f t="shared" si="28"/>
        <v>2.8915662650602415E-3</v>
      </c>
      <c r="J356" s="309">
        <f t="shared" si="29"/>
        <v>2.3999999999999998E-3</v>
      </c>
    </row>
    <row r="357" spans="2:24" ht="13.8" customHeight="1" thickBot="1">
      <c r="B357" s="34">
        <v>354</v>
      </c>
      <c r="C357" s="278" t="s">
        <v>455</v>
      </c>
      <c r="D357" s="96">
        <v>0.1</v>
      </c>
      <c r="E357" s="280">
        <f t="shared" si="25"/>
        <v>0.1</v>
      </c>
      <c r="F357" s="281">
        <v>70000</v>
      </c>
      <c r="G357" s="282">
        <f t="shared" si="26"/>
        <v>28.571428571428573</v>
      </c>
      <c r="H357" s="280">
        <f t="shared" si="27"/>
        <v>7000</v>
      </c>
      <c r="I357" s="283">
        <f t="shared" si="28"/>
        <v>4.216867469879519E-3</v>
      </c>
      <c r="J357" s="283">
        <f t="shared" si="29"/>
        <v>3.5000000000000001E-3</v>
      </c>
    </row>
    <row r="358" spans="2:24" ht="13.8" customHeight="1" thickBot="1">
      <c r="B358" s="34">
        <v>355</v>
      </c>
      <c r="C358" s="278" t="s">
        <v>87</v>
      </c>
      <c r="D358" s="279">
        <v>0</v>
      </c>
      <c r="E358" s="280">
        <f t="shared" si="25"/>
        <v>0</v>
      </c>
      <c r="F358" s="281">
        <f>M6-M14</f>
        <v>1466392</v>
      </c>
      <c r="G358" s="282">
        <f t="shared" si="26"/>
        <v>1.3638917833703403</v>
      </c>
      <c r="H358" s="280">
        <f t="shared" si="27"/>
        <v>0</v>
      </c>
      <c r="I358" s="283">
        <f t="shared" si="28"/>
        <v>0</v>
      </c>
      <c r="J358" s="283">
        <f t="shared" si="29"/>
        <v>0</v>
      </c>
    </row>
    <row r="359" spans="2:24">
      <c r="F359" s="199">
        <f>SUM(F4:F358)</f>
        <v>2000000</v>
      </c>
      <c r="H359" s="198">
        <f>SUM(H4:H358)</f>
        <v>1659999.9999999998</v>
      </c>
      <c r="I359" s="217">
        <f>SUM(I4:I358)</f>
        <v>1.0000000000000002</v>
      </c>
      <c r="J359" s="185">
        <f>SUM(J4:J358)</f>
        <v>0.82999999999999907</v>
      </c>
    </row>
    <row r="361" spans="2:24">
      <c r="B361" s="4" t="s">
        <v>33</v>
      </c>
      <c r="C361" s="218">
        <v>50000000</v>
      </c>
      <c r="D361" s="200"/>
      <c r="H361" s="141"/>
      <c r="I361" s="135"/>
      <c r="J361" s="135"/>
      <c r="K361" s="136"/>
    </row>
    <row r="362" spans="2:24">
      <c r="B362" s="4" t="s">
        <v>35</v>
      </c>
      <c r="C362" s="137">
        <f>$M$7</f>
        <v>1</v>
      </c>
      <c r="D362" s="138"/>
      <c r="E362" s="139"/>
      <c r="F362" s="140"/>
      <c r="G362" s="141"/>
      <c r="H362" s="141"/>
      <c r="I362" s="135"/>
      <c r="J362" s="135"/>
      <c r="K362" s="136"/>
    </row>
    <row r="363" spans="2:24">
      <c r="B363" s="4" t="s">
        <v>39</v>
      </c>
      <c r="C363" s="219">
        <f>C361*C362</f>
        <v>50000000</v>
      </c>
      <c r="D363" s="200"/>
      <c r="F363" s="139"/>
      <c r="G363" s="139"/>
      <c r="H363" s="141"/>
      <c r="I363" s="135"/>
      <c r="J363" s="135"/>
      <c r="K363" s="136"/>
    </row>
    <row r="364" spans="2:24">
      <c r="B364" s="4" t="s">
        <v>41</v>
      </c>
      <c r="C364" s="220">
        <f>C362*C365</f>
        <v>0.04</v>
      </c>
      <c r="D364" s="221"/>
      <c r="F364" s="222"/>
      <c r="G364" s="222"/>
      <c r="H364" s="141"/>
      <c r="I364" s="135"/>
      <c r="J364" s="135"/>
      <c r="K364" s="136"/>
    </row>
    <row r="365" spans="2:24">
      <c r="B365" s="4" t="s">
        <v>43</v>
      </c>
      <c r="C365" s="223">
        <f>X372</f>
        <v>0.04</v>
      </c>
      <c r="D365" s="185"/>
      <c r="E365" s="146"/>
      <c r="G365" s="140"/>
      <c r="H365" s="141"/>
      <c r="I365" s="135"/>
      <c r="J365" s="135"/>
      <c r="K365" s="136"/>
    </row>
    <row r="366" spans="2:24">
      <c r="B366" s="4" t="s">
        <v>44</v>
      </c>
      <c r="C366" s="218">
        <v>40000</v>
      </c>
      <c r="D366" s="200"/>
      <c r="E366" s="146"/>
      <c r="F366" s="139"/>
      <c r="G366" s="140"/>
      <c r="H366" s="141"/>
      <c r="I366" s="135"/>
      <c r="J366" s="135"/>
      <c r="K366" s="136"/>
    </row>
    <row r="367" spans="2:24">
      <c r="B367" s="147"/>
      <c r="C367" s="16"/>
      <c r="D367" s="16"/>
      <c r="E367" s="146"/>
      <c r="F367" s="139"/>
      <c r="G367" s="140"/>
      <c r="H367" s="141"/>
      <c r="I367" s="135"/>
      <c r="J367" s="135"/>
      <c r="K367" s="136"/>
      <c r="M367" t="s">
        <v>45</v>
      </c>
    </row>
    <row r="368" spans="2:24" ht="13.8" customHeight="1">
      <c r="B368" s="12" t="s">
        <v>46</v>
      </c>
      <c r="C368" s="16"/>
      <c r="D368" s="16"/>
      <c r="E368" s="146"/>
      <c r="F368" s="139"/>
      <c r="G368" s="140"/>
      <c r="H368" s="141"/>
      <c r="I368" s="135"/>
      <c r="J368" s="135"/>
      <c r="K368" s="148">
        <f>C365-C380</f>
        <v>4.9999999999999975E-3</v>
      </c>
      <c r="M368" s="135" t="s">
        <v>47</v>
      </c>
      <c r="N368" t="s">
        <v>46</v>
      </c>
      <c r="O368" t="s">
        <v>48</v>
      </c>
      <c r="P368" t="s">
        <v>49</v>
      </c>
      <c r="Q368" t="s">
        <v>50</v>
      </c>
      <c r="R368" t="s">
        <v>51</v>
      </c>
      <c r="S368" t="s">
        <v>52</v>
      </c>
      <c r="T368" t="s">
        <v>53</v>
      </c>
      <c r="U368" t="s">
        <v>54</v>
      </c>
      <c r="V368" t="s">
        <v>55</v>
      </c>
      <c r="W368" t="s">
        <v>56</v>
      </c>
      <c r="X368" t="s">
        <v>57</v>
      </c>
    </row>
    <row r="369" spans="2:24" ht="13.8" customHeight="1">
      <c r="B369" s="154" t="s">
        <v>58</v>
      </c>
      <c r="C369" s="4" t="s">
        <v>59</v>
      </c>
      <c r="D369" s="4" t="s">
        <v>60</v>
      </c>
      <c r="E369" s="155" t="s">
        <v>61</v>
      </c>
      <c r="F369" s="156" t="s">
        <v>62</v>
      </c>
      <c r="G369" s="157" t="s">
        <v>50</v>
      </c>
      <c r="H369" s="158" t="s">
        <v>63</v>
      </c>
      <c r="I369" s="158" t="s">
        <v>53</v>
      </c>
      <c r="J369" s="158" t="s">
        <v>64</v>
      </c>
      <c r="K369" s="158" t="s">
        <v>41</v>
      </c>
      <c r="M369" s="149">
        <v>40</v>
      </c>
      <c r="N369" s="150">
        <v>2500</v>
      </c>
      <c r="O369" s="150">
        <v>5000</v>
      </c>
      <c r="P369" s="150">
        <v>4</v>
      </c>
      <c r="Q369" s="151">
        <f>C361</f>
        <v>50000000</v>
      </c>
      <c r="R369" s="152">
        <f>Q369/F370</f>
        <v>1250000</v>
      </c>
      <c r="S369" s="150">
        <f>R369/C366</f>
        <v>31.25</v>
      </c>
      <c r="T369" s="152">
        <f>M369*E370</f>
        <v>100000</v>
      </c>
      <c r="U369" s="150">
        <f>O369-N369</f>
        <v>2500</v>
      </c>
      <c r="V369" s="150">
        <f>U369*M369</f>
        <v>100000</v>
      </c>
      <c r="W369" s="150">
        <f>V369/V371</f>
        <v>5.7142857142857141E-2</v>
      </c>
      <c r="X369" s="153">
        <f>O369*M369</f>
        <v>200000</v>
      </c>
    </row>
    <row r="370" spans="2:24">
      <c r="B370" s="5">
        <v>1</v>
      </c>
      <c r="C370" s="165" t="s">
        <v>37</v>
      </c>
      <c r="D370" s="165" t="s">
        <v>88</v>
      </c>
      <c r="E370" s="224">
        <f>N369</f>
        <v>2500</v>
      </c>
      <c r="F370" s="167">
        <f>C362*M369</f>
        <v>40</v>
      </c>
      <c r="G370" s="224">
        <f>C361</f>
        <v>50000000</v>
      </c>
      <c r="H370" s="224">
        <f>G370/F370</f>
        <v>1250000</v>
      </c>
      <c r="I370" s="224">
        <f>E370*F370</f>
        <v>100000</v>
      </c>
      <c r="J370" s="225">
        <f>I370/I373</f>
        <v>0.4</v>
      </c>
      <c r="K370" s="169">
        <f>T372*J370*C362</f>
        <v>2E-3</v>
      </c>
      <c r="M370" s="159">
        <v>1</v>
      </c>
      <c r="N370" s="226">
        <v>150000</v>
      </c>
      <c r="O370" s="226">
        <v>1800000</v>
      </c>
      <c r="P370" s="161">
        <v>4</v>
      </c>
      <c r="Q370" s="179">
        <f>C361</f>
        <v>50000000</v>
      </c>
      <c r="R370" s="179">
        <f>Q370/F371</f>
        <v>50000000</v>
      </c>
      <c r="S370" s="179">
        <f>R370/C366</f>
        <v>1250</v>
      </c>
      <c r="T370" s="179">
        <f>E371*M370</f>
        <v>150000</v>
      </c>
      <c r="U370" s="179">
        <f>O370-N370</f>
        <v>1650000</v>
      </c>
      <c r="V370" s="179">
        <f>U370*M370</f>
        <v>1650000</v>
      </c>
      <c r="W370" s="163">
        <f>V370/V371</f>
        <v>0.94285714285714284</v>
      </c>
      <c r="X370" s="227">
        <f>O370*M370</f>
        <v>1800000</v>
      </c>
    </row>
    <row r="371" spans="2:24" ht="13.8" customHeight="1">
      <c r="B371" s="5">
        <v>2</v>
      </c>
      <c r="C371" s="165" t="s">
        <v>38</v>
      </c>
      <c r="D371" s="165" t="s">
        <v>88</v>
      </c>
      <c r="E371" s="224">
        <f>N370</f>
        <v>150000</v>
      </c>
      <c r="F371" s="167">
        <f>C362*M370</f>
        <v>1</v>
      </c>
      <c r="G371" s="224">
        <f>C361</f>
        <v>50000000</v>
      </c>
      <c r="H371" s="224">
        <f>G371/F371</f>
        <v>50000000</v>
      </c>
      <c r="I371" s="224">
        <f>E371*F371</f>
        <v>150000</v>
      </c>
      <c r="J371" s="225">
        <f>I371/I373</f>
        <v>0.6</v>
      </c>
      <c r="K371" s="169">
        <f>T372*J371*C362</f>
        <v>3.0000000000000001E-3</v>
      </c>
      <c r="M371" s="170">
        <f>SUM(M369:M370)</f>
        <v>41</v>
      </c>
      <c r="N371" s="228"/>
      <c r="O371" s="228"/>
      <c r="P371" s="172"/>
      <c r="Q371" s="229"/>
      <c r="R371" s="229">
        <f>SUM(R369:R370)</f>
        <v>51250000</v>
      </c>
      <c r="S371" s="229"/>
      <c r="T371" s="229">
        <f>SUM(T369:T370)</f>
        <v>250000</v>
      </c>
      <c r="U371" s="229">
        <f>SUM(U369:U370)</f>
        <v>1652500</v>
      </c>
      <c r="V371" s="229">
        <f>SUM(V369:V370)</f>
        <v>1750000</v>
      </c>
      <c r="W371" s="174"/>
      <c r="X371" s="230">
        <f>SUM(X369:X370)</f>
        <v>2000000</v>
      </c>
    </row>
    <row r="372" spans="2:24">
      <c r="B372" s="4"/>
      <c r="C372" s="155"/>
      <c r="D372" s="155"/>
      <c r="E372" s="180"/>
      <c r="F372" s="216"/>
      <c r="G372" s="216"/>
      <c r="H372" s="216"/>
      <c r="I372" s="216"/>
      <c r="J372" s="225"/>
      <c r="K372" s="169"/>
      <c r="M372" s="176"/>
      <c r="N372" s="177"/>
      <c r="O372" s="177"/>
      <c r="P372" s="1"/>
      <c r="Q372" s="178"/>
      <c r="R372" s="179"/>
      <c r="S372" s="177"/>
      <c r="T372" s="179">
        <f>T371/C361</f>
        <v>5.0000000000000001E-3</v>
      </c>
      <c r="U372" s="179"/>
      <c r="V372" s="179">
        <f>V371/C361</f>
        <v>3.5000000000000003E-2</v>
      </c>
      <c r="W372" s="1"/>
      <c r="X372" s="179">
        <f>X371/C361</f>
        <v>0.04</v>
      </c>
    </row>
    <row r="373" spans="2:24">
      <c r="B373" s="4" t="s">
        <v>66</v>
      </c>
      <c r="C373" s="148">
        <f>I373/C363</f>
        <v>5.0000000000000001E-3</v>
      </c>
      <c r="D373" s="148"/>
      <c r="E373" s="180"/>
      <c r="F373" s="188">
        <f>SUM(F370:F371)</f>
        <v>41</v>
      </c>
      <c r="G373" s="181"/>
      <c r="H373" s="189">
        <f>C361/F373</f>
        <v>1219512.1951219512</v>
      </c>
      <c r="I373" s="188">
        <f>SUM(I370:I371)</f>
        <v>250000</v>
      </c>
      <c r="J373" s="158">
        <f>SUM(J370:J371)</f>
        <v>1</v>
      </c>
      <c r="K373" s="190">
        <f>SUM(K370:K371)</f>
        <v>5.0000000000000001E-3</v>
      </c>
      <c r="M373" s="184"/>
      <c r="N373" s="185"/>
      <c r="O373" s="177"/>
      <c r="P373" s="177"/>
      <c r="Q373" s="1"/>
      <c r="R373" s="1"/>
      <c r="S373" s="177"/>
      <c r="T373" s="186"/>
      <c r="U373" s="177"/>
      <c r="V373" s="186"/>
      <c r="W373" s="177"/>
      <c r="X373" s="177"/>
    </row>
    <row r="374" spans="2:24">
      <c r="B374" s="147"/>
      <c r="C374" s="16"/>
      <c r="D374" s="16"/>
      <c r="E374" s="146"/>
      <c r="F374" s="139"/>
      <c r="G374" s="140"/>
      <c r="H374" s="141"/>
      <c r="I374" s="135"/>
      <c r="J374" s="135"/>
      <c r="K374" s="136"/>
      <c r="M374" s="147"/>
      <c r="N374" s="197"/>
    </row>
    <row r="375" spans="2:24">
      <c r="B375" s="12" t="s">
        <v>67</v>
      </c>
      <c r="C375" s="16"/>
      <c r="D375" s="16"/>
      <c r="E375" s="146"/>
      <c r="F375" s="139"/>
      <c r="G375" s="140"/>
      <c r="H375" s="141"/>
      <c r="I375" s="135"/>
      <c r="J375" s="135"/>
      <c r="K375" s="148">
        <f>C365-C373</f>
        <v>3.5000000000000003E-2</v>
      </c>
      <c r="M375" s="147"/>
      <c r="N375" s="197"/>
      <c r="O375" s="146"/>
      <c r="P375" s="15"/>
      <c r="Q375" s="139"/>
      <c r="R375" s="140"/>
      <c r="T375" s="15"/>
      <c r="V375" s="15"/>
    </row>
    <row r="376" spans="2:24">
      <c r="B376" s="154" t="s">
        <v>58</v>
      </c>
      <c r="C376" s="4" t="s">
        <v>59</v>
      </c>
      <c r="D376" s="4" t="s">
        <v>60</v>
      </c>
      <c r="E376" s="155" t="s">
        <v>68</v>
      </c>
      <c r="F376" s="156" t="s">
        <v>62</v>
      </c>
      <c r="G376" s="157" t="s">
        <v>50</v>
      </c>
      <c r="H376" s="158" t="s">
        <v>63</v>
      </c>
      <c r="I376" s="158" t="s">
        <v>53</v>
      </c>
      <c r="J376" s="158" t="s">
        <v>64</v>
      </c>
      <c r="K376" s="158" t="s">
        <v>41</v>
      </c>
      <c r="M376" s="147"/>
      <c r="N376" s="185"/>
      <c r="O376" s="146"/>
      <c r="P376" s="139"/>
      <c r="Q376" s="140"/>
      <c r="R376" s="136"/>
      <c r="S376" s="135"/>
      <c r="T376" s="135"/>
      <c r="U376" s="136"/>
    </row>
    <row r="377" spans="2:24">
      <c r="B377" s="5">
        <v>1</v>
      </c>
      <c r="C377" s="165" t="s">
        <v>37</v>
      </c>
      <c r="D377" s="165" t="s">
        <v>88</v>
      </c>
      <c r="E377" s="224">
        <f>K377*H377</f>
        <v>2500</v>
      </c>
      <c r="F377" s="167">
        <f>C362*M369</f>
        <v>40</v>
      </c>
      <c r="G377" s="224">
        <f>C361</f>
        <v>50000000</v>
      </c>
      <c r="H377" s="224">
        <f>G377/F377</f>
        <v>1250000</v>
      </c>
      <c r="I377" s="224">
        <f>E377*F377</f>
        <v>100000</v>
      </c>
      <c r="J377" s="225">
        <f>W369</f>
        <v>5.7142857142857141E-2</v>
      </c>
      <c r="K377" s="169">
        <f>V372*J377*C362</f>
        <v>2E-3</v>
      </c>
      <c r="M377" s="147"/>
      <c r="N377" s="231"/>
      <c r="O377" s="146"/>
      <c r="P377" s="139"/>
      <c r="Q377" s="140"/>
      <c r="R377" s="136"/>
      <c r="S377" s="135"/>
      <c r="T377" s="135"/>
      <c r="U377" s="136"/>
    </row>
    <row r="378" spans="2:24">
      <c r="B378" s="5">
        <v>2</v>
      </c>
      <c r="C378" s="165" t="s">
        <v>38</v>
      </c>
      <c r="D378" s="165" t="s">
        <v>88</v>
      </c>
      <c r="E378" s="224">
        <f>K378*H378</f>
        <v>1650000</v>
      </c>
      <c r="F378" s="167">
        <f>C362*M370</f>
        <v>1</v>
      </c>
      <c r="G378" s="224">
        <f>C361</f>
        <v>50000000</v>
      </c>
      <c r="H378" s="224">
        <f>G378/F378</f>
        <v>50000000</v>
      </c>
      <c r="I378" s="224">
        <f>E378*F378</f>
        <v>1650000</v>
      </c>
      <c r="J378" s="225">
        <f>W370</f>
        <v>0.94285714285714284</v>
      </c>
      <c r="K378" s="169">
        <f>V372*J378*C362</f>
        <v>3.3000000000000002E-2</v>
      </c>
    </row>
    <row r="379" spans="2:24">
      <c r="B379" s="4"/>
      <c r="C379" s="155"/>
      <c r="D379" s="155"/>
      <c r="E379" s="180"/>
      <c r="F379" s="156"/>
      <c r="G379" s="157"/>
      <c r="H379" s="192"/>
      <c r="I379" s="216"/>
      <c r="J379" s="225"/>
      <c r="K379" s="216"/>
      <c r="M379" s="147"/>
      <c r="N379" s="231"/>
    </row>
    <row r="380" spans="2:24">
      <c r="B380" s="4" t="s">
        <v>66</v>
      </c>
      <c r="C380" s="148">
        <f>I380/C363</f>
        <v>3.5000000000000003E-2</v>
      </c>
      <c r="D380" s="148"/>
      <c r="E380" s="180"/>
      <c r="F380" s="158"/>
      <c r="G380" s="157"/>
      <c r="H380" s="192"/>
      <c r="I380" s="188">
        <f>SUM(I377:I378)</f>
        <v>1750000</v>
      </c>
      <c r="J380" s="158">
        <f>SUM(J377:J378)</f>
        <v>1</v>
      </c>
      <c r="K380" s="190">
        <f>SUM(K377:K378)</f>
        <v>3.5000000000000003E-2</v>
      </c>
    </row>
    <row r="383" spans="2:24">
      <c r="B383" s="12" t="s">
        <v>69</v>
      </c>
      <c r="C383" s="16"/>
    </row>
    <row r="384" spans="2:24">
      <c r="B384" s="193" t="s">
        <v>70</v>
      </c>
      <c r="C384" s="194">
        <f>C361/F373</f>
        <v>1219512.1951219512</v>
      </c>
    </row>
    <row r="385" spans="2:3">
      <c r="B385" s="193" t="s">
        <v>71</v>
      </c>
      <c r="C385" s="194">
        <f>1/((1/C384) + (1/M15))</f>
        <v>3.7480582247352205</v>
      </c>
    </row>
    <row r="386" spans="2:3">
      <c r="B386" s="193" t="s">
        <v>72</v>
      </c>
      <c r="C386" s="194">
        <f>M6-(F373/(G371/M6)+M14)</f>
        <v>1466390.3599999999</v>
      </c>
    </row>
    <row r="387" spans="2:3">
      <c r="B387" s="193" t="s">
        <v>73</v>
      </c>
      <c r="C387" s="194">
        <f>M6</f>
        <v>2000000</v>
      </c>
    </row>
    <row r="388" spans="2:3">
      <c r="B388" s="193" t="s">
        <v>74</v>
      </c>
      <c r="C388" s="195">
        <f>M10</f>
        <v>0.83</v>
      </c>
    </row>
    <row r="389" spans="2:3">
      <c r="B389" s="193" t="s">
        <v>75</v>
      </c>
      <c r="C389" s="195">
        <f>C373</f>
        <v>5.0000000000000001E-3</v>
      </c>
    </row>
    <row r="390" spans="2:3">
      <c r="B390" s="193" t="s">
        <v>76</v>
      </c>
      <c r="C390" s="195">
        <f>C380</f>
        <v>3.5000000000000003E-2</v>
      </c>
    </row>
    <row r="391" spans="2:3">
      <c r="B391" s="193" t="s">
        <v>77</v>
      </c>
      <c r="C391" s="195">
        <f>C388+C389+C390</f>
        <v>0.87</v>
      </c>
    </row>
  </sheetData>
  <mergeCells count="10">
    <mergeCell ref="H2:H3"/>
    <mergeCell ref="D2:D3"/>
    <mergeCell ref="B2:B3"/>
    <mergeCell ref="L17:O21"/>
    <mergeCell ref="C2:C3"/>
    <mergeCell ref="F2:F3"/>
    <mergeCell ref="E2:E3"/>
    <mergeCell ref="J2:J3"/>
    <mergeCell ref="I2:I3"/>
    <mergeCell ref="G2:G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Q200"/>
  <sheetViews>
    <sheetView workbookViewId="0"/>
  </sheetViews>
  <sheetFormatPr defaultRowHeight="13.2"/>
  <cols>
    <col min="1" max="1" width="12.5546875" customWidth="1"/>
    <col min="2" max="2" width="15.109375" customWidth="1"/>
    <col min="3" max="3" width="18.77734375" style="82" customWidth="1"/>
    <col min="4" max="4" width="15.109375" customWidth="1"/>
    <col min="5" max="5" width="18.77734375" style="82" customWidth="1"/>
    <col min="6" max="6" width="15.109375" customWidth="1"/>
    <col min="7" max="7" width="18.77734375" style="82" customWidth="1"/>
    <col min="8" max="8" width="15.109375" customWidth="1"/>
    <col min="9" max="9" width="18.77734375" style="82" customWidth="1"/>
    <col min="10" max="10" width="15.109375" customWidth="1"/>
    <col min="11" max="11" width="18.77734375" style="82" customWidth="1"/>
    <col min="12" max="12" width="15.109375" customWidth="1"/>
    <col min="13" max="13" width="18.77734375" style="82" customWidth="1"/>
    <col min="14" max="14" width="15.109375" customWidth="1"/>
    <col min="15" max="15" width="18.77734375" style="82" customWidth="1"/>
    <col min="16" max="16" width="15.109375" customWidth="1"/>
    <col min="17" max="17" width="18.77734375" style="82" customWidth="1"/>
  </cols>
  <sheetData>
    <row r="1" spans="1:17" ht="13.8" customHeight="1">
      <c r="A1" s="232" t="s">
        <v>89</v>
      </c>
      <c r="B1" s="233">
        <v>0.5</v>
      </c>
      <c r="C1" s="234" t="s">
        <v>90</v>
      </c>
      <c r="D1" s="233">
        <v>1</v>
      </c>
      <c r="E1" s="234" t="s">
        <v>90</v>
      </c>
      <c r="F1" s="233">
        <v>2</v>
      </c>
      <c r="G1" s="234" t="s">
        <v>90</v>
      </c>
      <c r="H1" s="233">
        <v>5</v>
      </c>
      <c r="I1" s="234" t="s">
        <v>90</v>
      </c>
      <c r="J1" s="233">
        <v>10</v>
      </c>
      <c r="K1" s="234" t="s">
        <v>90</v>
      </c>
      <c r="L1" s="233">
        <v>20</v>
      </c>
      <c r="M1" s="234" t="s">
        <v>90</v>
      </c>
      <c r="N1" s="233">
        <v>30</v>
      </c>
      <c r="O1" s="234" t="s">
        <v>90</v>
      </c>
      <c r="P1" s="233">
        <v>50</v>
      </c>
      <c r="Q1" s="234" t="s">
        <v>90</v>
      </c>
    </row>
    <row r="2" spans="1:17">
      <c r="A2" s="232" t="s">
        <v>91</v>
      </c>
      <c r="B2" s="235" t="s">
        <v>92</v>
      </c>
      <c r="C2" s="236">
        <f>E2*($D$1/$B$1)</f>
        <v>100000000</v>
      </c>
      <c r="D2" s="235" t="s">
        <v>92</v>
      </c>
      <c r="E2" s="236">
        <v>50000000</v>
      </c>
      <c r="F2" s="235" t="s">
        <v>92</v>
      </c>
      <c r="G2" s="236">
        <f>E2/$F$1</f>
        <v>25000000</v>
      </c>
      <c r="H2" s="235" t="s">
        <v>92</v>
      </c>
      <c r="I2" s="236">
        <f>E2/$H$1</f>
        <v>10000000</v>
      </c>
      <c r="J2" s="235" t="s">
        <v>92</v>
      </c>
      <c r="K2" s="236">
        <f>E2/$J$1</f>
        <v>5000000</v>
      </c>
      <c r="L2" s="235" t="s">
        <v>92</v>
      </c>
      <c r="M2" s="236">
        <f>E2/$L$1</f>
        <v>2500000</v>
      </c>
      <c r="N2" s="235" t="s">
        <v>92</v>
      </c>
      <c r="O2" s="236">
        <f>E2/$N$1</f>
        <v>1666666.6666666667</v>
      </c>
      <c r="P2" s="235" t="s">
        <v>92</v>
      </c>
      <c r="Q2" s="236">
        <f>E2/$P$1</f>
        <v>1000000</v>
      </c>
    </row>
    <row r="3" spans="1:17">
      <c r="A3" s="232" t="s">
        <v>93</v>
      </c>
      <c r="B3" s="237" t="s">
        <v>94</v>
      </c>
      <c r="C3" s="236">
        <f>E3*($D$1/$B$1)</f>
        <v>2500000</v>
      </c>
      <c r="D3" s="237" t="s">
        <v>94</v>
      </c>
      <c r="E3" s="236">
        <v>1250000</v>
      </c>
      <c r="F3" s="237" t="s">
        <v>94</v>
      </c>
      <c r="G3" s="236">
        <f>E3/$F$1</f>
        <v>625000</v>
      </c>
      <c r="H3" s="237" t="s">
        <v>94</v>
      </c>
      <c r="I3" s="236">
        <f>E3/$H$1</f>
        <v>250000</v>
      </c>
      <c r="J3" s="237" t="s">
        <v>94</v>
      </c>
      <c r="K3" s="236">
        <f>E3/$J$1</f>
        <v>125000</v>
      </c>
      <c r="L3" s="237" t="s">
        <v>94</v>
      </c>
      <c r="M3" s="236">
        <f>E3/$L$1</f>
        <v>62500</v>
      </c>
      <c r="N3" s="237" t="s">
        <v>94</v>
      </c>
      <c r="O3" s="236">
        <f>E3/$N$1</f>
        <v>41666.666666666664</v>
      </c>
      <c r="P3" s="237" t="s">
        <v>94</v>
      </c>
      <c r="Q3" s="236">
        <f>E3/$P$1</f>
        <v>25000</v>
      </c>
    </row>
    <row r="4" spans="1:17">
      <c r="A4" s="232" t="s">
        <v>61</v>
      </c>
      <c r="B4" s="232">
        <f t="shared" ref="B4:B35" si="0">D4*0.5</f>
        <v>500</v>
      </c>
      <c r="C4" s="238">
        <f t="shared" ref="C4:C35" si="1">E4</f>
        <v>2000000</v>
      </c>
      <c r="D4" s="232">
        <v>1000</v>
      </c>
      <c r="E4" s="238">
        <v>2000000</v>
      </c>
      <c r="F4" s="232">
        <f t="shared" ref="F4:F35" si="2">D4*2</f>
        <v>2000</v>
      </c>
      <c r="G4" s="238">
        <f t="shared" ref="G4:G35" si="3">E4</f>
        <v>2000000</v>
      </c>
      <c r="H4" s="232">
        <f t="shared" ref="H4:H35" si="4">D4*5</f>
        <v>5000</v>
      </c>
      <c r="I4" s="238">
        <f t="shared" ref="I4:I35" si="5">E4</f>
        <v>2000000</v>
      </c>
      <c r="J4" s="232">
        <f t="shared" ref="J4:J35" si="6">D4*10</f>
        <v>10000</v>
      </c>
      <c r="K4" s="238">
        <f t="shared" ref="K4:K35" si="7">E4</f>
        <v>2000000</v>
      </c>
      <c r="L4" s="232">
        <f t="shared" ref="L4:L35" si="8">D4*20</f>
        <v>20000</v>
      </c>
      <c r="M4" s="238">
        <f t="shared" ref="M4:M35" si="9">K4</f>
        <v>2000000</v>
      </c>
      <c r="N4" s="232">
        <f t="shared" ref="N4:N35" si="10">D4*30</f>
        <v>30000</v>
      </c>
      <c r="O4" s="238">
        <f t="shared" ref="O4:O35" si="11">M4</f>
        <v>2000000</v>
      </c>
      <c r="P4" s="232">
        <f t="shared" ref="P4:P35" si="12">D4*50</f>
        <v>50000</v>
      </c>
      <c r="Q4" s="238">
        <f t="shared" ref="Q4:Q35" si="13">O4</f>
        <v>2000000</v>
      </c>
    </row>
    <row r="5" spans="1:17">
      <c r="A5" s="232"/>
      <c r="B5" s="232">
        <f t="shared" si="0"/>
        <v>250</v>
      </c>
      <c r="C5" s="238">
        <f t="shared" si="1"/>
        <v>666666.66666666663</v>
      </c>
      <c r="D5" s="232">
        <v>500</v>
      </c>
      <c r="E5" s="238">
        <v>666666.66666666663</v>
      </c>
      <c r="F5" s="232">
        <f t="shared" si="2"/>
        <v>1000</v>
      </c>
      <c r="G5" s="238">
        <f t="shared" si="3"/>
        <v>666666.66666666663</v>
      </c>
      <c r="H5" s="232">
        <f t="shared" si="4"/>
        <v>2500</v>
      </c>
      <c r="I5" s="238">
        <f t="shared" si="5"/>
        <v>666666.66666666663</v>
      </c>
      <c r="J5" s="232">
        <f t="shared" si="6"/>
        <v>5000</v>
      </c>
      <c r="K5" s="238">
        <f t="shared" si="7"/>
        <v>666666.66666666663</v>
      </c>
      <c r="L5" s="232">
        <f t="shared" si="8"/>
        <v>10000</v>
      </c>
      <c r="M5" s="238">
        <f t="shared" si="9"/>
        <v>666666.66666666663</v>
      </c>
      <c r="N5" s="232">
        <f t="shared" si="10"/>
        <v>15000</v>
      </c>
      <c r="O5" s="238">
        <f t="shared" si="11"/>
        <v>666666.66666666663</v>
      </c>
      <c r="P5" s="232">
        <f t="shared" si="12"/>
        <v>25000</v>
      </c>
      <c r="Q5" s="238">
        <f t="shared" si="13"/>
        <v>666666.66666666663</v>
      </c>
    </row>
    <row r="6" spans="1:17">
      <c r="A6" s="232"/>
      <c r="B6" s="232">
        <f t="shared" si="0"/>
        <v>100</v>
      </c>
      <c r="C6" s="238">
        <f t="shared" si="1"/>
        <v>400000</v>
      </c>
      <c r="D6" s="232">
        <v>200</v>
      </c>
      <c r="E6" s="238">
        <v>400000</v>
      </c>
      <c r="F6" s="232">
        <f t="shared" si="2"/>
        <v>400</v>
      </c>
      <c r="G6" s="238">
        <f t="shared" si="3"/>
        <v>400000</v>
      </c>
      <c r="H6" s="232">
        <f t="shared" si="4"/>
        <v>1000</v>
      </c>
      <c r="I6" s="238">
        <f t="shared" si="5"/>
        <v>400000</v>
      </c>
      <c r="J6" s="232">
        <f t="shared" si="6"/>
        <v>2000</v>
      </c>
      <c r="K6" s="238">
        <f t="shared" si="7"/>
        <v>400000</v>
      </c>
      <c r="L6" s="232">
        <f t="shared" si="8"/>
        <v>4000</v>
      </c>
      <c r="M6" s="238">
        <f t="shared" si="9"/>
        <v>400000</v>
      </c>
      <c r="N6" s="232">
        <f t="shared" si="10"/>
        <v>6000</v>
      </c>
      <c r="O6" s="238">
        <f t="shared" si="11"/>
        <v>400000</v>
      </c>
      <c r="P6" s="232">
        <f t="shared" si="12"/>
        <v>10000</v>
      </c>
      <c r="Q6" s="238">
        <f t="shared" si="13"/>
        <v>400000</v>
      </c>
    </row>
    <row r="7" spans="1:17">
      <c r="A7" s="232"/>
      <c r="B7" s="232">
        <f t="shared" si="0"/>
        <v>70.95</v>
      </c>
      <c r="C7" s="238">
        <f t="shared" si="1"/>
        <v>1000000</v>
      </c>
      <c r="D7" s="232">
        <v>141.9</v>
      </c>
      <c r="E7" s="238">
        <v>1000000</v>
      </c>
      <c r="F7" s="232">
        <f t="shared" si="2"/>
        <v>283.8</v>
      </c>
      <c r="G7" s="238">
        <f t="shared" si="3"/>
        <v>1000000</v>
      </c>
      <c r="H7" s="232">
        <f t="shared" si="4"/>
        <v>709.5</v>
      </c>
      <c r="I7" s="238">
        <f t="shared" si="5"/>
        <v>1000000</v>
      </c>
      <c r="J7" s="232">
        <f t="shared" si="6"/>
        <v>1419</v>
      </c>
      <c r="K7" s="238">
        <f t="shared" si="7"/>
        <v>1000000</v>
      </c>
      <c r="L7" s="232">
        <f t="shared" si="8"/>
        <v>2838</v>
      </c>
      <c r="M7" s="238">
        <f t="shared" si="9"/>
        <v>1000000</v>
      </c>
      <c r="N7" s="232">
        <f t="shared" si="10"/>
        <v>4257</v>
      </c>
      <c r="O7" s="238">
        <f t="shared" si="11"/>
        <v>1000000</v>
      </c>
      <c r="P7" s="232">
        <f t="shared" si="12"/>
        <v>7095</v>
      </c>
      <c r="Q7" s="238">
        <f t="shared" si="13"/>
        <v>1000000</v>
      </c>
    </row>
    <row r="8" spans="1:17">
      <c r="A8" s="232"/>
      <c r="B8" s="232">
        <f t="shared" si="0"/>
        <v>62.5</v>
      </c>
      <c r="C8" s="238">
        <f t="shared" si="1"/>
        <v>1000000</v>
      </c>
      <c r="D8" s="232">
        <v>125</v>
      </c>
      <c r="E8" s="238">
        <v>1000000</v>
      </c>
      <c r="F8" s="232">
        <f t="shared" si="2"/>
        <v>250</v>
      </c>
      <c r="G8" s="238">
        <f t="shared" si="3"/>
        <v>1000000</v>
      </c>
      <c r="H8" s="232">
        <f t="shared" si="4"/>
        <v>625</v>
      </c>
      <c r="I8" s="238">
        <f t="shared" si="5"/>
        <v>1000000</v>
      </c>
      <c r="J8" s="232">
        <f t="shared" si="6"/>
        <v>1250</v>
      </c>
      <c r="K8" s="238">
        <f t="shared" si="7"/>
        <v>1000000</v>
      </c>
      <c r="L8" s="232">
        <f t="shared" si="8"/>
        <v>2500</v>
      </c>
      <c r="M8" s="238">
        <f t="shared" si="9"/>
        <v>1000000</v>
      </c>
      <c r="N8" s="232">
        <f t="shared" si="10"/>
        <v>3750</v>
      </c>
      <c r="O8" s="238">
        <f t="shared" si="11"/>
        <v>1000000</v>
      </c>
      <c r="P8" s="232">
        <f t="shared" si="12"/>
        <v>6250</v>
      </c>
      <c r="Q8" s="238">
        <f t="shared" si="13"/>
        <v>1000000</v>
      </c>
    </row>
    <row r="9" spans="1:17">
      <c r="A9" s="232"/>
      <c r="B9" s="232">
        <f t="shared" si="0"/>
        <v>57.5</v>
      </c>
      <c r="C9" s="238">
        <f t="shared" si="1"/>
        <v>1000000</v>
      </c>
      <c r="D9" s="232">
        <v>115</v>
      </c>
      <c r="E9" s="238">
        <v>1000000</v>
      </c>
      <c r="F9" s="232">
        <f t="shared" si="2"/>
        <v>230</v>
      </c>
      <c r="G9" s="238">
        <f t="shared" si="3"/>
        <v>1000000</v>
      </c>
      <c r="H9" s="232">
        <f t="shared" si="4"/>
        <v>575</v>
      </c>
      <c r="I9" s="238">
        <f t="shared" si="5"/>
        <v>1000000</v>
      </c>
      <c r="J9" s="232">
        <f t="shared" si="6"/>
        <v>1150</v>
      </c>
      <c r="K9" s="238">
        <f t="shared" si="7"/>
        <v>1000000</v>
      </c>
      <c r="L9" s="232">
        <f t="shared" si="8"/>
        <v>2300</v>
      </c>
      <c r="M9" s="238">
        <f t="shared" si="9"/>
        <v>1000000</v>
      </c>
      <c r="N9" s="232">
        <f t="shared" si="10"/>
        <v>3450</v>
      </c>
      <c r="O9" s="238">
        <f t="shared" si="11"/>
        <v>1000000</v>
      </c>
      <c r="P9" s="232">
        <f t="shared" si="12"/>
        <v>5750</v>
      </c>
      <c r="Q9" s="238">
        <f t="shared" si="13"/>
        <v>1000000</v>
      </c>
    </row>
    <row r="10" spans="1:17">
      <c r="A10" s="232"/>
      <c r="B10" s="232">
        <f t="shared" si="0"/>
        <v>50</v>
      </c>
      <c r="C10" s="238">
        <f t="shared" si="1"/>
        <v>18018.018018018018</v>
      </c>
      <c r="D10" s="232">
        <v>100</v>
      </c>
      <c r="E10" s="238">
        <v>18018.018018018018</v>
      </c>
      <c r="F10" s="232">
        <f t="shared" si="2"/>
        <v>200</v>
      </c>
      <c r="G10" s="238">
        <f t="shared" si="3"/>
        <v>18018.018018018018</v>
      </c>
      <c r="H10" s="232">
        <f t="shared" si="4"/>
        <v>500</v>
      </c>
      <c r="I10" s="238">
        <f t="shared" si="5"/>
        <v>18018.018018018018</v>
      </c>
      <c r="J10" s="232">
        <f t="shared" si="6"/>
        <v>1000</v>
      </c>
      <c r="K10" s="238">
        <f t="shared" si="7"/>
        <v>18018.018018018018</v>
      </c>
      <c r="L10" s="232">
        <f t="shared" si="8"/>
        <v>2000</v>
      </c>
      <c r="M10" s="238">
        <f t="shared" si="9"/>
        <v>18018.018018018018</v>
      </c>
      <c r="N10" s="232">
        <f t="shared" si="10"/>
        <v>3000</v>
      </c>
      <c r="O10" s="238">
        <f t="shared" si="11"/>
        <v>18018.018018018018</v>
      </c>
      <c r="P10" s="232">
        <f t="shared" si="12"/>
        <v>5000</v>
      </c>
      <c r="Q10" s="238">
        <f t="shared" si="13"/>
        <v>18018.018018018018</v>
      </c>
    </row>
    <row r="11" spans="1:17">
      <c r="A11" s="232"/>
      <c r="B11" s="232">
        <f t="shared" si="0"/>
        <v>45.95</v>
      </c>
      <c r="C11" s="238">
        <f t="shared" si="1"/>
        <v>400000</v>
      </c>
      <c r="D11" s="232">
        <v>91.9</v>
      </c>
      <c r="E11" s="238">
        <v>400000</v>
      </c>
      <c r="F11" s="232">
        <f t="shared" si="2"/>
        <v>183.8</v>
      </c>
      <c r="G11" s="238">
        <f t="shared" si="3"/>
        <v>400000</v>
      </c>
      <c r="H11" s="232">
        <f t="shared" si="4"/>
        <v>459.5</v>
      </c>
      <c r="I11" s="238">
        <f t="shared" si="5"/>
        <v>400000</v>
      </c>
      <c r="J11" s="232">
        <f t="shared" si="6"/>
        <v>919</v>
      </c>
      <c r="K11" s="238">
        <f t="shared" si="7"/>
        <v>400000</v>
      </c>
      <c r="L11" s="232">
        <f t="shared" si="8"/>
        <v>1838</v>
      </c>
      <c r="M11" s="238">
        <f t="shared" si="9"/>
        <v>400000</v>
      </c>
      <c r="N11" s="232">
        <f t="shared" si="10"/>
        <v>2757</v>
      </c>
      <c r="O11" s="238">
        <f t="shared" si="11"/>
        <v>400000</v>
      </c>
      <c r="P11" s="232">
        <f t="shared" si="12"/>
        <v>4595</v>
      </c>
      <c r="Q11" s="238">
        <f t="shared" si="13"/>
        <v>400000</v>
      </c>
    </row>
    <row r="12" spans="1:17">
      <c r="A12" s="232"/>
      <c r="B12" s="232">
        <f t="shared" si="0"/>
        <v>45</v>
      </c>
      <c r="C12" s="238">
        <f t="shared" si="1"/>
        <v>1000000</v>
      </c>
      <c r="D12" s="232">
        <v>90</v>
      </c>
      <c r="E12" s="238">
        <v>1000000</v>
      </c>
      <c r="F12" s="232">
        <f t="shared" si="2"/>
        <v>180</v>
      </c>
      <c r="G12" s="238">
        <f t="shared" si="3"/>
        <v>1000000</v>
      </c>
      <c r="H12" s="232">
        <f t="shared" si="4"/>
        <v>450</v>
      </c>
      <c r="I12" s="238">
        <f t="shared" si="5"/>
        <v>1000000</v>
      </c>
      <c r="J12" s="232">
        <f t="shared" si="6"/>
        <v>900</v>
      </c>
      <c r="K12" s="238">
        <f t="shared" si="7"/>
        <v>1000000</v>
      </c>
      <c r="L12" s="232">
        <f t="shared" si="8"/>
        <v>1800</v>
      </c>
      <c r="M12" s="238">
        <f t="shared" si="9"/>
        <v>1000000</v>
      </c>
      <c r="N12" s="232">
        <f t="shared" si="10"/>
        <v>2700</v>
      </c>
      <c r="O12" s="238">
        <f t="shared" si="11"/>
        <v>1000000</v>
      </c>
      <c r="P12" s="232">
        <f t="shared" si="12"/>
        <v>4500</v>
      </c>
      <c r="Q12" s="238">
        <f t="shared" si="13"/>
        <v>1000000</v>
      </c>
    </row>
    <row r="13" spans="1:17">
      <c r="A13" s="232"/>
      <c r="B13" s="232">
        <f t="shared" si="0"/>
        <v>43.95</v>
      </c>
      <c r="C13" s="238">
        <f t="shared" si="1"/>
        <v>400000</v>
      </c>
      <c r="D13" s="232">
        <v>87.9</v>
      </c>
      <c r="E13" s="238">
        <v>400000</v>
      </c>
      <c r="F13" s="232">
        <f t="shared" si="2"/>
        <v>175.8</v>
      </c>
      <c r="G13" s="238">
        <f t="shared" si="3"/>
        <v>400000</v>
      </c>
      <c r="H13" s="232">
        <f t="shared" si="4"/>
        <v>439.5</v>
      </c>
      <c r="I13" s="238">
        <f t="shared" si="5"/>
        <v>400000</v>
      </c>
      <c r="J13" s="232">
        <f t="shared" si="6"/>
        <v>879</v>
      </c>
      <c r="K13" s="238">
        <f t="shared" si="7"/>
        <v>400000</v>
      </c>
      <c r="L13" s="232">
        <f t="shared" si="8"/>
        <v>1758</v>
      </c>
      <c r="M13" s="238">
        <f t="shared" si="9"/>
        <v>400000</v>
      </c>
      <c r="N13" s="232">
        <f t="shared" si="10"/>
        <v>2637</v>
      </c>
      <c r="O13" s="238">
        <f t="shared" si="11"/>
        <v>400000</v>
      </c>
      <c r="P13" s="232">
        <f t="shared" si="12"/>
        <v>4395</v>
      </c>
      <c r="Q13" s="238">
        <f t="shared" si="13"/>
        <v>400000</v>
      </c>
    </row>
    <row r="14" spans="1:17">
      <c r="A14" s="232"/>
      <c r="B14" s="232">
        <f t="shared" si="0"/>
        <v>42.65</v>
      </c>
      <c r="C14" s="238">
        <f t="shared" si="1"/>
        <v>333333.33333333331</v>
      </c>
      <c r="D14" s="232">
        <v>85.3</v>
      </c>
      <c r="E14" s="238">
        <v>333333.33333333331</v>
      </c>
      <c r="F14" s="232">
        <f t="shared" si="2"/>
        <v>170.6</v>
      </c>
      <c r="G14" s="238">
        <f t="shared" si="3"/>
        <v>333333.33333333331</v>
      </c>
      <c r="H14" s="232">
        <f t="shared" si="4"/>
        <v>426.5</v>
      </c>
      <c r="I14" s="238">
        <f t="shared" si="5"/>
        <v>333333.33333333331</v>
      </c>
      <c r="J14" s="232">
        <f t="shared" si="6"/>
        <v>853</v>
      </c>
      <c r="K14" s="238">
        <f t="shared" si="7"/>
        <v>333333.33333333331</v>
      </c>
      <c r="L14" s="232">
        <f t="shared" si="8"/>
        <v>1706</v>
      </c>
      <c r="M14" s="238">
        <f t="shared" si="9"/>
        <v>333333.33333333331</v>
      </c>
      <c r="N14" s="232">
        <f t="shared" si="10"/>
        <v>2559</v>
      </c>
      <c r="O14" s="238">
        <f t="shared" si="11"/>
        <v>333333.33333333331</v>
      </c>
      <c r="P14" s="232">
        <f t="shared" si="12"/>
        <v>4265</v>
      </c>
      <c r="Q14" s="238">
        <f t="shared" si="13"/>
        <v>333333.33333333331</v>
      </c>
    </row>
    <row r="15" spans="1:17">
      <c r="A15" s="232"/>
      <c r="B15" s="232">
        <f t="shared" si="0"/>
        <v>42.5</v>
      </c>
      <c r="C15" s="238">
        <f t="shared" si="1"/>
        <v>1000000</v>
      </c>
      <c r="D15" s="232">
        <v>85</v>
      </c>
      <c r="E15" s="238">
        <v>1000000</v>
      </c>
      <c r="F15" s="232">
        <f t="shared" si="2"/>
        <v>170</v>
      </c>
      <c r="G15" s="238">
        <f t="shared" si="3"/>
        <v>1000000</v>
      </c>
      <c r="H15" s="232">
        <f t="shared" si="4"/>
        <v>425</v>
      </c>
      <c r="I15" s="238">
        <f t="shared" si="5"/>
        <v>1000000</v>
      </c>
      <c r="J15" s="232">
        <f t="shared" si="6"/>
        <v>850</v>
      </c>
      <c r="K15" s="238">
        <f t="shared" si="7"/>
        <v>1000000</v>
      </c>
      <c r="L15" s="232">
        <f t="shared" si="8"/>
        <v>1700</v>
      </c>
      <c r="M15" s="238">
        <f t="shared" si="9"/>
        <v>1000000</v>
      </c>
      <c r="N15" s="232">
        <f t="shared" si="10"/>
        <v>2550</v>
      </c>
      <c r="O15" s="238">
        <f t="shared" si="11"/>
        <v>1000000</v>
      </c>
      <c r="P15" s="232">
        <f t="shared" si="12"/>
        <v>4250</v>
      </c>
      <c r="Q15" s="238">
        <f t="shared" si="13"/>
        <v>1000000</v>
      </c>
    </row>
    <row r="16" spans="1:17">
      <c r="A16" s="232"/>
      <c r="B16" s="232">
        <f t="shared" si="0"/>
        <v>42.05</v>
      </c>
      <c r="C16" s="238">
        <f t="shared" si="1"/>
        <v>200000</v>
      </c>
      <c r="D16" s="232">
        <v>84.1</v>
      </c>
      <c r="E16" s="238">
        <v>200000</v>
      </c>
      <c r="F16" s="232">
        <f t="shared" si="2"/>
        <v>168.2</v>
      </c>
      <c r="G16" s="238">
        <f t="shared" si="3"/>
        <v>200000</v>
      </c>
      <c r="H16" s="232">
        <f t="shared" si="4"/>
        <v>420.5</v>
      </c>
      <c r="I16" s="238">
        <f t="shared" si="5"/>
        <v>200000</v>
      </c>
      <c r="J16" s="232">
        <f t="shared" si="6"/>
        <v>841</v>
      </c>
      <c r="K16" s="238">
        <f t="shared" si="7"/>
        <v>200000</v>
      </c>
      <c r="L16" s="232">
        <f t="shared" si="8"/>
        <v>1682</v>
      </c>
      <c r="M16" s="238">
        <f t="shared" si="9"/>
        <v>200000</v>
      </c>
      <c r="N16" s="232">
        <f t="shared" si="10"/>
        <v>2523</v>
      </c>
      <c r="O16" s="238">
        <f t="shared" si="11"/>
        <v>200000</v>
      </c>
      <c r="P16" s="232">
        <f t="shared" si="12"/>
        <v>4205</v>
      </c>
      <c r="Q16" s="238">
        <f t="shared" si="13"/>
        <v>200000</v>
      </c>
    </row>
    <row r="17" spans="1:17">
      <c r="A17" s="232"/>
      <c r="B17" s="232">
        <f t="shared" si="0"/>
        <v>41.65</v>
      </c>
      <c r="C17" s="238">
        <f t="shared" si="1"/>
        <v>400000</v>
      </c>
      <c r="D17" s="232">
        <v>83.3</v>
      </c>
      <c r="E17" s="238">
        <v>400000</v>
      </c>
      <c r="F17" s="232">
        <f t="shared" si="2"/>
        <v>166.6</v>
      </c>
      <c r="G17" s="238">
        <f t="shared" si="3"/>
        <v>400000</v>
      </c>
      <c r="H17" s="232">
        <f t="shared" si="4"/>
        <v>416.5</v>
      </c>
      <c r="I17" s="238">
        <f t="shared" si="5"/>
        <v>400000</v>
      </c>
      <c r="J17" s="232">
        <f t="shared" si="6"/>
        <v>833</v>
      </c>
      <c r="K17" s="238">
        <f t="shared" si="7"/>
        <v>400000</v>
      </c>
      <c r="L17" s="232">
        <f t="shared" si="8"/>
        <v>1666</v>
      </c>
      <c r="M17" s="238">
        <f t="shared" si="9"/>
        <v>400000</v>
      </c>
      <c r="N17" s="232">
        <f t="shared" si="10"/>
        <v>2499</v>
      </c>
      <c r="O17" s="238">
        <f t="shared" si="11"/>
        <v>400000</v>
      </c>
      <c r="P17" s="232">
        <f t="shared" si="12"/>
        <v>4165</v>
      </c>
      <c r="Q17" s="238">
        <f t="shared" si="13"/>
        <v>400000</v>
      </c>
    </row>
    <row r="18" spans="1:17">
      <c r="A18" s="232"/>
      <c r="B18" s="232">
        <f t="shared" si="0"/>
        <v>40.75</v>
      </c>
      <c r="C18" s="238">
        <f t="shared" si="1"/>
        <v>333333.33333333331</v>
      </c>
      <c r="D18" s="232">
        <v>81.5</v>
      </c>
      <c r="E18" s="238">
        <v>333333.33333333331</v>
      </c>
      <c r="F18" s="232">
        <f t="shared" si="2"/>
        <v>163</v>
      </c>
      <c r="G18" s="238">
        <f t="shared" si="3"/>
        <v>333333.33333333331</v>
      </c>
      <c r="H18" s="232">
        <f t="shared" si="4"/>
        <v>407.5</v>
      </c>
      <c r="I18" s="238">
        <f t="shared" si="5"/>
        <v>333333.33333333331</v>
      </c>
      <c r="J18" s="232">
        <f t="shared" si="6"/>
        <v>815</v>
      </c>
      <c r="K18" s="238">
        <f t="shared" si="7"/>
        <v>333333.33333333331</v>
      </c>
      <c r="L18" s="232">
        <f t="shared" si="8"/>
        <v>1630</v>
      </c>
      <c r="M18" s="238">
        <f t="shared" si="9"/>
        <v>333333.33333333331</v>
      </c>
      <c r="N18" s="232">
        <f t="shared" si="10"/>
        <v>2445</v>
      </c>
      <c r="O18" s="238">
        <f t="shared" si="11"/>
        <v>333333.33333333331</v>
      </c>
      <c r="P18" s="232">
        <f t="shared" si="12"/>
        <v>4075</v>
      </c>
      <c r="Q18" s="238">
        <f t="shared" si="13"/>
        <v>333333.33333333331</v>
      </c>
    </row>
    <row r="19" spans="1:17">
      <c r="A19" s="232"/>
      <c r="B19" s="232">
        <f t="shared" si="0"/>
        <v>40</v>
      </c>
      <c r="C19" s="238">
        <f t="shared" si="1"/>
        <v>333333.33333333331</v>
      </c>
      <c r="D19" s="232">
        <v>80</v>
      </c>
      <c r="E19" s="238">
        <v>333333.33333333331</v>
      </c>
      <c r="F19" s="232">
        <f t="shared" si="2"/>
        <v>160</v>
      </c>
      <c r="G19" s="238">
        <f t="shared" si="3"/>
        <v>333333.33333333331</v>
      </c>
      <c r="H19" s="232">
        <f t="shared" si="4"/>
        <v>400</v>
      </c>
      <c r="I19" s="238">
        <f t="shared" si="5"/>
        <v>333333.33333333331</v>
      </c>
      <c r="J19" s="232">
        <f t="shared" si="6"/>
        <v>800</v>
      </c>
      <c r="K19" s="238">
        <f t="shared" si="7"/>
        <v>333333.33333333331</v>
      </c>
      <c r="L19" s="232">
        <f t="shared" si="8"/>
        <v>1600</v>
      </c>
      <c r="M19" s="238">
        <f t="shared" si="9"/>
        <v>333333.33333333331</v>
      </c>
      <c r="N19" s="232">
        <f t="shared" si="10"/>
        <v>2400</v>
      </c>
      <c r="O19" s="238">
        <f t="shared" si="11"/>
        <v>333333.33333333331</v>
      </c>
      <c r="P19" s="232">
        <f t="shared" si="12"/>
        <v>4000</v>
      </c>
      <c r="Q19" s="238">
        <f t="shared" si="13"/>
        <v>333333.33333333331</v>
      </c>
    </row>
    <row r="20" spans="1:17">
      <c r="A20" s="232"/>
      <c r="B20" s="232">
        <f t="shared" si="0"/>
        <v>39.5</v>
      </c>
      <c r="C20" s="238">
        <f t="shared" si="1"/>
        <v>666666.66666666663</v>
      </c>
      <c r="D20" s="232">
        <v>79</v>
      </c>
      <c r="E20" s="238">
        <v>666666.66666666663</v>
      </c>
      <c r="F20" s="232">
        <f t="shared" si="2"/>
        <v>158</v>
      </c>
      <c r="G20" s="238">
        <f t="shared" si="3"/>
        <v>666666.66666666663</v>
      </c>
      <c r="H20" s="232">
        <f t="shared" si="4"/>
        <v>395</v>
      </c>
      <c r="I20" s="238">
        <f t="shared" si="5"/>
        <v>666666.66666666663</v>
      </c>
      <c r="J20" s="232">
        <f t="shared" si="6"/>
        <v>790</v>
      </c>
      <c r="K20" s="238">
        <f t="shared" si="7"/>
        <v>666666.66666666663</v>
      </c>
      <c r="L20" s="232">
        <f t="shared" si="8"/>
        <v>1580</v>
      </c>
      <c r="M20" s="238">
        <f t="shared" si="9"/>
        <v>666666.66666666663</v>
      </c>
      <c r="N20" s="232">
        <f t="shared" si="10"/>
        <v>2370</v>
      </c>
      <c r="O20" s="238">
        <f t="shared" si="11"/>
        <v>666666.66666666663</v>
      </c>
      <c r="P20" s="232">
        <f t="shared" si="12"/>
        <v>3950</v>
      </c>
      <c r="Q20" s="238">
        <f t="shared" si="13"/>
        <v>666666.66666666663</v>
      </c>
    </row>
    <row r="21" spans="1:17">
      <c r="A21" s="232"/>
      <c r="B21" s="232">
        <f t="shared" si="0"/>
        <v>39.299999999999997</v>
      </c>
      <c r="C21" s="238">
        <f t="shared" si="1"/>
        <v>285714.28571428574</v>
      </c>
      <c r="D21" s="232">
        <v>78.599999999999994</v>
      </c>
      <c r="E21" s="238">
        <v>285714.28571428574</v>
      </c>
      <c r="F21" s="232">
        <f t="shared" si="2"/>
        <v>157.19999999999999</v>
      </c>
      <c r="G21" s="238">
        <f t="shared" si="3"/>
        <v>285714.28571428574</v>
      </c>
      <c r="H21" s="232">
        <f t="shared" si="4"/>
        <v>393</v>
      </c>
      <c r="I21" s="238">
        <f t="shared" si="5"/>
        <v>285714.28571428574</v>
      </c>
      <c r="J21" s="232">
        <f t="shared" si="6"/>
        <v>786</v>
      </c>
      <c r="K21" s="238">
        <f t="shared" si="7"/>
        <v>285714.28571428574</v>
      </c>
      <c r="L21" s="232">
        <f t="shared" si="8"/>
        <v>1572</v>
      </c>
      <c r="M21" s="238">
        <f t="shared" si="9"/>
        <v>285714.28571428574</v>
      </c>
      <c r="N21" s="232">
        <f t="shared" si="10"/>
        <v>2358</v>
      </c>
      <c r="O21" s="238">
        <f t="shared" si="11"/>
        <v>285714.28571428574</v>
      </c>
      <c r="P21" s="232">
        <f t="shared" si="12"/>
        <v>3929.9999999999995</v>
      </c>
      <c r="Q21" s="238">
        <f t="shared" si="13"/>
        <v>285714.28571428574</v>
      </c>
    </row>
    <row r="22" spans="1:17">
      <c r="A22" s="232"/>
      <c r="B22" s="232">
        <f t="shared" si="0"/>
        <v>39.25</v>
      </c>
      <c r="C22" s="238">
        <f t="shared" si="1"/>
        <v>400000</v>
      </c>
      <c r="D22" s="232">
        <v>78.5</v>
      </c>
      <c r="E22" s="238">
        <v>400000</v>
      </c>
      <c r="F22" s="232">
        <f t="shared" si="2"/>
        <v>157</v>
      </c>
      <c r="G22" s="238">
        <f t="shared" si="3"/>
        <v>400000</v>
      </c>
      <c r="H22" s="232">
        <f t="shared" si="4"/>
        <v>392.5</v>
      </c>
      <c r="I22" s="238">
        <f t="shared" si="5"/>
        <v>400000</v>
      </c>
      <c r="J22" s="232">
        <f t="shared" si="6"/>
        <v>785</v>
      </c>
      <c r="K22" s="238">
        <f t="shared" si="7"/>
        <v>400000</v>
      </c>
      <c r="L22" s="232">
        <f t="shared" si="8"/>
        <v>1570</v>
      </c>
      <c r="M22" s="238">
        <f t="shared" si="9"/>
        <v>400000</v>
      </c>
      <c r="N22" s="232">
        <f t="shared" si="10"/>
        <v>2355</v>
      </c>
      <c r="O22" s="238">
        <f t="shared" si="11"/>
        <v>400000</v>
      </c>
      <c r="P22" s="232">
        <f t="shared" si="12"/>
        <v>3925</v>
      </c>
      <c r="Q22" s="238">
        <f t="shared" si="13"/>
        <v>400000</v>
      </c>
    </row>
    <row r="23" spans="1:17">
      <c r="A23" s="232"/>
      <c r="B23" s="232">
        <f t="shared" si="0"/>
        <v>39</v>
      </c>
      <c r="C23" s="238">
        <f t="shared" si="1"/>
        <v>27777.777777777777</v>
      </c>
      <c r="D23" s="232">
        <v>78</v>
      </c>
      <c r="E23" s="238">
        <v>27777.777777777777</v>
      </c>
      <c r="F23" s="232">
        <f t="shared" si="2"/>
        <v>156</v>
      </c>
      <c r="G23" s="238">
        <f t="shared" si="3"/>
        <v>27777.777777777777</v>
      </c>
      <c r="H23" s="232">
        <f t="shared" si="4"/>
        <v>390</v>
      </c>
      <c r="I23" s="238">
        <f t="shared" si="5"/>
        <v>27777.777777777777</v>
      </c>
      <c r="J23" s="232">
        <f t="shared" si="6"/>
        <v>780</v>
      </c>
      <c r="K23" s="238">
        <f t="shared" si="7"/>
        <v>27777.777777777777</v>
      </c>
      <c r="L23" s="232">
        <f t="shared" si="8"/>
        <v>1560</v>
      </c>
      <c r="M23" s="238">
        <f t="shared" si="9"/>
        <v>27777.777777777777</v>
      </c>
      <c r="N23" s="232">
        <f t="shared" si="10"/>
        <v>2340</v>
      </c>
      <c r="O23" s="238">
        <f t="shared" si="11"/>
        <v>27777.777777777777</v>
      </c>
      <c r="P23" s="232">
        <f t="shared" si="12"/>
        <v>3900</v>
      </c>
      <c r="Q23" s="238">
        <f t="shared" si="13"/>
        <v>27777.777777777777</v>
      </c>
    </row>
    <row r="24" spans="1:17">
      <c r="A24" s="232"/>
      <c r="B24" s="232">
        <f t="shared" si="0"/>
        <v>38</v>
      </c>
      <c r="C24" s="238">
        <f t="shared" si="1"/>
        <v>333333.33333333331</v>
      </c>
      <c r="D24" s="232">
        <v>76</v>
      </c>
      <c r="E24" s="238">
        <v>333333.33333333331</v>
      </c>
      <c r="F24" s="232">
        <f t="shared" si="2"/>
        <v>152</v>
      </c>
      <c r="G24" s="238">
        <f t="shared" si="3"/>
        <v>333333.33333333331</v>
      </c>
      <c r="H24" s="232">
        <f t="shared" si="4"/>
        <v>380</v>
      </c>
      <c r="I24" s="238">
        <f t="shared" si="5"/>
        <v>333333.33333333331</v>
      </c>
      <c r="J24" s="232">
        <f t="shared" si="6"/>
        <v>760</v>
      </c>
      <c r="K24" s="238">
        <f t="shared" si="7"/>
        <v>333333.33333333331</v>
      </c>
      <c r="L24" s="232">
        <f t="shared" si="8"/>
        <v>1520</v>
      </c>
      <c r="M24" s="238">
        <f t="shared" si="9"/>
        <v>333333.33333333331</v>
      </c>
      <c r="N24" s="232">
        <f t="shared" si="10"/>
        <v>2280</v>
      </c>
      <c r="O24" s="238">
        <f t="shared" si="11"/>
        <v>333333.33333333331</v>
      </c>
      <c r="P24" s="232">
        <f t="shared" si="12"/>
        <v>3800</v>
      </c>
      <c r="Q24" s="238">
        <f t="shared" si="13"/>
        <v>333333.33333333331</v>
      </c>
    </row>
    <row r="25" spans="1:17">
      <c r="A25" s="232"/>
      <c r="B25" s="232">
        <f t="shared" si="0"/>
        <v>37.5</v>
      </c>
      <c r="C25" s="238">
        <f t="shared" si="1"/>
        <v>666666.66666666663</v>
      </c>
      <c r="D25" s="232">
        <v>75</v>
      </c>
      <c r="E25" s="238">
        <v>666666.66666666663</v>
      </c>
      <c r="F25" s="232">
        <f t="shared" si="2"/>
        <v>150</v>
      </c>
      <c r="G25" s="238">
        <f t="shared" si="3"/>
        <v>666666.66666666663</v>
      </c>
      <c r="H25" s="232">
        <f t="shared" si="4"/>
        <v>375</v>
      </c>
      <c r="I25" s="238">
        <f t="shared" si="5"/>
        <v>666666.66666666663</v>
      </c>
      <c r="J25" s="232">
        <f t="shared" si="6"/>
        <v>750</v>
      </c>
      <c r="K25" s="238">
        <f t="shared" si="7"/>
        <v>666666.66666666663</v>
      </c>
      <c r="L25" s="232">
        <f t="shared" si="8"/>
        <v>1500</v>
      </c>
      <c r="M25" s="238">
        <f t="shared" si="9"/>
        <v>666666.66666666663</v>
      </c>
      <c r="N25" s="232">
        <f t="shared" si="10"/>
        <v>2250</v>
      </c>
      <c r="O25" s="238">
        <f t="shared" si="11"/>
        <v>666666.66666666663</v>
      </c>
      <c r="P25" s="232">
        <f t="shared" si="12"/>
        <v>3750</v>
      </c>
      <c r="Q25" s="238">
        <f t="shared" si="13"/>
        <v>666666.66666666663</v>
      </c>
    </row>
    <row r="26" spans="1:17">
      <c r="A26" s="232"/>
      <c r="B26" s="232">
        <f t="shared" si="0"/>
        <v>37</v>
      </c>
      <c r="C26" s="238">
        <f t="shared" si="1"/>
        <v>400000</v>
      </c>
      <c r="D26" s="232">
        <v>74</v>
      </c>
      <c r="E26" s="238">
        <v>400000</v>
      </c>
      <c r="F26" s="232">
        <f t="shared" si="2"/>
        <v>148</v>
      </c>
      <c r="G26" s="238">
        <f t="shared" si="3"/>
        <v>400000</v>
      </c>
      <c r="H26" s="232">
        <f t="shared" si="4"/>
        <v>370</v>
      </c>
      <c r="I26" s="238">
        <f t="shared" si="5"/>
        <v>400000</v>
      </c>
      <c r="J26" s="232">
        <f t="shared" si="6"/>
        <v>740</v>
      </c>
      <c r="K26" s="238">
        <f t="shared" si="7"/>
        <v>400000</v>
      </c>
      <c r="L26" s="232">
        <f t="shared" si="8"/>
        <v>1480</v>
      </c>
      <c r="M26" s="238">
        <f t="shared" si="9"/>
        <v>400000</v>
      </c>
      <c r="N26" s="232">
        <f t="shared" si="10"/>
        <v>2220</v>
      </c>
      <c r="O26" s="238">
        <f t="shared" si="11"/>
        <v>400000</v>
      </c>
      <c r="P26" s="232">
        <f t="shared" si="12"/>
        <v>3700</v>
      </c>
      <c r="Q26" s="238">
        <f t="shared" si="13"/>
        <v>400000</v>
      </c>
    </row>
    <row r="27" spans="1:17">
      <c r="A27" s="232"/>
      <c r="B27" s="232">
        <f t="shared" si="0"/>
        <v>36.65</v>
      </c>
      <c r="C27" s="238">
        <f t="shared" si="1"/>
        <v>333333.33333333331</v>
      </c>
      <c r="D27" s="232">
        <v>73.3</v>
      </c>
      <c r="E27" s="238">
        <v>333333.33333333331</v>
      </c>
      <c r="F27" s="232">
        <f t="shared" si="2"/>
        <v>146.6</v>
      </c>
      <c r="G27" s="238">
        <f t="shared" si="3"/>
        <v>333333.33333333331</v>
      </c>
      <c r="H27" s="232">
        <f t="shared" si="4"/>
        <v>366.5</v>
      </c>
      <c r="I27" s="238">
        <f t="shared" si="5"/>
        <v>333333.33333333331</v>
      </c>
      <c r="J27" s="232">
        <f t="shared" si="6"/>
        <v>733</v>
      </c>
      <c r="K27" s="238">
        <f t="shared" si="7"/>
        <v>333333.33333333331</v>
      </c>
      <c r="L27" s="232">
        <f t="shared" si="8"/>
        <v>1466</v>
      </c>
      <c r="M27" s="238">
        <f t="shared" si="9"/>
        <v>333333.33333333331</v>
      </c>
      <c r="N27" s="232">
        <f t="shared" si="10"/>
        <v>2199</v>
      </c>
      <c r="O27" s="238">
        <f t="shared" si="11"/>
        <v>333333.33333333331</v>
      </c>
      <c r="P27" s="232">
        <f t="shared" si="12"/>
        <v>3665</v>
      </c>
      <c r="Q27" s="238">
        <f t="shared" si="13"/>
        <v>333333.33333333331</v>
      </c>
    </row>
    <row r="28" spans="1:17">
      <c r="A28" s="232"/>
      <c r="B28" s="232">
        <f t="shared" si="0"/>
        <v>36.4</v>
      </c>
      <c r="C28" s="238">
        <f t="shared" si="1"/>
        <v>285714.28571428574</v>
      </c>
      <c r="D28" s="232">
        <v>72.8</v>
      </c>
      <c r="E28" s="238">
        <v>285714.28571428574</v>
      </c>
      <c r="F28" s="232">
        <f t="shared" si="2"/>
        <v>145.6</v>
      </c>
      <c r="G28" s="238">
        <f t="shared" si="3"/>
        <v>285714.28571428574</v>
      </c>
      <c r="H28" s="232">
        <f t="shared" si="4"/>
        <v>364</v>
      </c>
      <c r="I28" s="238">
        <f t="shared" si="5"/>
        <v>285714.28571428574</v>
      </c>
      <c r="J28" s="232">
        <f t="shared" si="6"/>
        <v>728</v>
      </c>
      <c r="K28" s="238">
        <f t="shared" si="7"/>
        <v>285714.28571428574</v>
      </c>
      <c r="L28" s="232">
        <f t="shared" si="8"/>
        <v>1456</v>
      </c>
      <c r="M28" s="238">
        <f t="shared" si="9"/>
        <v>285714.28571428574</v>
      </c>
      <c r="N28" s="232">
        <f t="shared" si="10"/>
        <v>2184</v>
      </c>
      <c r="O28" s="238">
        <f t="shared" si="11"/>
        <v>285714.28571428574</v>
      </c>
      <c r="P28" s="232">
        <f t="shared" si="12"/>
        <v>3640</v>
      </c>
      <c r="Q28" s="238">
        <f t="shared" si="13"/>
        <v>285714.28571428574</v>
      </c>
    </row>
    <row r="29" spans="1:17">
      <c r="A29" s="232"/>
      <c r="B29" s="232">
        <f t="shared" si="0"/>
        <v>36.049999999999997</v>
      </c>
      <c r="C29" s="238">
        <f t="shared" si="1"/>
        <v>29411.764705882353</v>
      </c>
      <c r="D29" s="232">
        <v>72.099999999999994</v>
      </c>
      <c r="E29" s="238">
        <v>29411.764705882353</v>
      </c>
      <c r="F29" s="232">
        <f t="shared" si="2"/>
        <v>144.19999999999999</v>
      </c>
      <c r="G29" s="238">
        <f t="shared" si="3"/>
        <v>29411.764705882353</v>
      </c>
      <c r="H29" s="232">
        <f t="shared" si="4"/>
        <v>360.5</v>
      </c>
      <c r="I29" s="238">
        <f t="shared" si="5"/>
        <v>29411.764705882353</v>
      </c>
      <c r="J29" s="232">
        <f t="shared" si="6"/>
        <v>721</v>
      </c>
      <c r="K29" s="238">
        <f t="shared" si="7"/>
        <v>29411.764705882353</v>
      </c>
      <c r="L29" s="232">
        <f t="shared" si="8"/>
        <v>1442</v>
      </c>
      <c r="M29" s="238">
        <f t="shared" si="9"/>
        <v>29411.764705882353</v>
      </c>
      <c r="N29" s="232">
        <f t="shared" si="10"/>
        <v>2163</v>
      </c>
      <c r="O29" s="238">
        <f t="shared" si="11"/>
        <v>29411.764705882353</v>
      </c>
      <c r="P29" s="232">
        <f t="shared" si="12"/>
        <v>3604.9999999999995</v>
      </c>
      <c r="Q29" s="238">
        <f t="shared" si="13"/>
        <v>29411.764705882353</v>
      </c>
    </row>
    <row r="30" spans="1:17">
      <c r="A30" s="232"/>
      <c r="B30" s="232">
        <f t="shared" si="0"/>
        <v>36</v>
      </c>
      <c r="C30" s="238">
        <f t="shared" si="1"/>
        <v>666666.66666666663</v>
      </c>
      <c r="D30" s="232">
        <v>72</v>
      </c>
      <c r="E30" s="238">
        <v>666666.66666666663</v>
      </c>
      <c r="F30" s="232">
        <f t="shared" si="2"/>
        <v>144</v>
      </c>
      <c r="G30" s="238">
        <f t="shared" si="3"/>
        <v>666666.66666666663</v>
      </c>
      <c r="H30" s="232">
        <f t="shared" si="4"/>
        <v>360</v>
      </c>
      <c r="I30" s="238">
        <f t="shared" si="5"/>
        <v>666666.66666666663</v>
      </c>
      <c r="J30" s="232">
        <f t="shared" si="6"/>
        <v>720</v>
      </c>
      <c r="K30" s="238">
        <f t="shared" si="7"/>
        <v>666666.66666666663</v>
      </c>
      <c r="L30" s="232">
        <f t="shared" si="8"/>
        <v>1440</v>
      </c>
      <c r="M30" s="238">
        <f t="shared" si="9"/>
        <v>666666.66666666663</v>
      </c>
      <c r="N30" s="232">
        <f t="shared" si="10"/>
        <v>2160</v>
      </c>
      <c r="O30" s="238">
        <f t="shared" si="11"/>
        <v>666666.66666666663</v>
      </c>
      <c r="P30" s="232">
        <f t="shared" si="12"/>
        <v>3600</v>
      </c>
      <c r="Q30" s="238">
        <f t="shared" si="13"/>
        <v>666666.66666666663</v>
      </c>
    </row>
    <row r="31" spans="1:17">
      <c r="A31" s="232"/>
      <c r="B31" s="232">
        <f t="shared" si="0"/>
        <v>35.950000000000003</v>
      </c>
      <c r="C31" s="238">
        <f t="shared" si="1"/>
        <v>333333.33333333331</v>
      </c>
      <c r="D31" s="232">
        <v>71.900000000000006</v>
      </c>
      <c r="E31" s="238">
        <v>333333.33333333331</v>
      </c>
      <c r="F31" s="232">
        <f t="shared" si="2"/>
        <v>143.80000000000001</v>
      </c>
      <c r="G31" s="238">
        <f t="shared" si="3"/>
        <v>333333.33333333331</v>
      </c>
      <c r="H31" s="232">
        <f t="shared" si="4"/>
        <v>359.5</v>
      </c>
      <c r="I31" s="238">
        <f t="shared" si="5"/>
        <v>333333.33333333331</v>
      </c>
      <c r="J31" s="232">
        <f t="shared" si="6"/>
        <v>719</v>
      </c>
      <c r="K31" s="238">
        <f t="shared" si="7"/>
        <v>333333.33333333331</v>
      </c>
      <c r="L31" s="232">
        <f t="shared" si="8"/>
        <v>1438</v>
      </c>
      <c r="M31" s="238">
        <f t="shared" si="9"/>
        <v>333333.33333333331</v>
      </c>
      <c r="N31" s="232">
        <f t="shared" si="10"/>
        <v>2157</v>
      </c>
      <c r="O31" s="238">
        <f t="shared" si="11"/>
        <v>333333.33333333331</v>
      </c>
      <c r="P31" s="232">
        <f t="shared" si="12"/>
        <v>3595.0000000000005</v>
      </c>
      <c r="Q31" s="238">
        <f t="shared" si="13"/>
        <v>333333.33333333331</v>
      </c>
    </row>
    <row r="32" spans="1:17">
      <c r="A32" s="232"/>
      <c r="B32" s="232">
        <f t="shared" si="0"/>
        <v>35.5</v>
      </c>
      <c r="C32" s="238">
        <f t="shared" si="1"/>
        <v>333333.33333333331</v>
      </c>
      <c r="D32" s="232">
        <v>71</v>
      </c>
      <c r="E32" s="238">
        <v>333333.33333333331</v>
      </c>
      <c r="F32" s="232">
        <f t="shared" si="2"/>
        <v>142</v>
      </c>
      <c r="G32" s="238">
        <f t="shared" si="3"/>
        <v>333333.33333333331</v>
      </c>
      <c r="H32" s="232">
        <f t="shared" si="4"/>
        <v>355</v>
      </c>
      <c r="I32" s="238">
        <f t="shared" si="5"/>
        <v>333333.33333333331</v>
      </c>
      <c r="J32" s="232">
        <f t="shared" si="6"/>
        <v>710</v>
      </c>
      <c r="K32" s="238">
        <f t="shared" si="7"/>
        <v>333333.33333333331</v>
      </c>
      <c r="L32" s="232">
        <f t="shared" si="8"/>
        <v>1420</v>
      </c>
      <c r="M32" s="238">
        <f t="shared" si="9"/>
        <v>333333.33333333331</v>
      </c>
      <c r="N32" s="232">
        <f t="shared" si="10"/>
        <v>2130</v>
      </c>
      <c r="O32" s="238">
        <f t="shared" si="11"/>
        <v>333333.33333333331</v>
      </c>
      <c r="P32" s="232">
        <f t="shared" si="12"/>
        <v>3550</v>
      </c>
      <c r="Q32" s="238">
        <f t="shared" si="13"/>
        <v>333333.33333333331</v>
      </c>
    </row>
    <row r="33" spans="1:17">
      <c r="A33" s="232"/>
      <c r="B33" s="232">
        <f t="shared" si="0"/>
        <v>35</v>
      </c>
      <c r="C33" s="238">
        <f t="shared" si="1"/>
        <v>76923.076923076922</v>
      </c>
      <c r="D33" s="232">
        <v>70</v>
      </c>
      <c r="E33" s="238">
        <v>76923.076923076922</v>
      </c>
      <c r="F33" s="232">
        <f t="shared" si="2"/>
        <v>140</v>
      </c>
      <c r="G33" s="238">
        <f t="shared" si="3"/>
        <v>76923.076923076922</v>
      </c>
      <c r="H33" s="232">
        <f t="shared" si="4"/>
        <v>350</v>
      </c>
      <c r="I33" s="238">
        <f t="shared" si="5"/>
        <v>76923.076923076922</v>
      </c>
      <c r="J33" s="232">
        <f t="shared" si="6"/>
        <v>700</v>
      </c>
      <c r="K33" s="238">
        <f t="shared" si="7"/>
        <v>76923.076923076922</v>
      </c>
      <c r="L33" s="232">
        <f t="shared" si="8"/>
        <v>1400</v>
      </c>
      <c r="M33" s="238">
        <f t="shared" si="9"/>
        <v>76923.076923076922</v>
      </c>
      <c r="N33" s="232">
        <f t="shared" si="10"/>
        <v>2100</v>
      </c>
      <c r="O33" s="238">
        <f t="shared" si="11"/>
        <v>76923.076923076922</v>
      </c>
      <c r="P33" s="232">
        <f t="shared" si="12"/>
        <v>3500</v>
      </c>
      <c r="Q33" s="238">
        <f t="shared" si="13"/>
        <v>76923.076923076922</v>
      </c>
    </row>
    <row r="34" spans="1:17">
      <c r="A34" s="232"/>
      <c r="B34" s="232">
        <f t="shared" si="0"/>
        <v>34.950000000000003</v>
      </c>
      <c r="C34" s="238">
        <f t="shared" si="1"/>
        <v>285714.28571428574</v>
      </c>
      <c r="D34" s="232">
        <v>69.900000000000006</v>
      </c>
      <c r="E34" s="238">
        <v>285714.28571428574</v>
      </c>
      <c r="F34" s="232">
        <f t="shared" si="2"/>
        <v>139.80000000000001</v>
      </c>
      <c r="G34" s="238">
        <f t="shared" si="3"/>
        <v>285714.28571428574</v>
      </c>
      <c r="H34" s="232">
        <f t="shared" si="4"/>
        <v>349.5</v>
      </c>
      <c r="I34" s="238">
        <f t="shared" si="5"/>
        <v>285714.28571428574</v>
      </c>
      <c r="J34" s="232">
        <f t="shared" si="6"/>
        <v>699</v>
      </c>
      <c r="K34" s="238">
        <f t="shared" si="7"/>
        <v>285714.28571428574</v>
      </c>
      <c r="L34" s="232">
        <f t="shared" si="8"/>
        <v>1398</v>
      </c>
      <c r="M34" s="238">
        <f t="shared" si="9"/>
        <v>285714.28571428574</v>
      </c>
      <c r="N34" s="232">
        <f t="shared" si="10"/>
        <v>2097</v>
      </c>
      <c r="O34" s="238">
        <f t="shared" si="11"/>
        <v>285714.28571428574</v>
      </c>
      <c r="P34" s="232">
        <f t="shared" si="12"/>
        <v>3495.0000000000005</v>
      </c>
      <c r="Q34" s="238">
        <f t="shared" si="13"/>
        <v>285714.28571428574</v>
      </c>
    </row>
    <row r="35" spans="1:17">
      <c r="A35" s="232"/>
      <c r="B35" s="232">
        <f t="shared" si="0"/>
        <v>34.5</v>
      </c>
      <c r="C35" s="238">
        <f t="shared" si="1"/>
        <v>142857.14285714287</v>
      </c>
      <c r="D35" s="232">
        <v>69</v>
      </c>
      <c r="E35" s="238">
        <v>142857.14285714287</v>
      </c>
      <c r="F35" s="232">
        <f t="shared" si="2"/>
        <v>138</v>
      </c>
      <c r="G35" s="238">
        <f t="shared" si="3"/>
        <v>142857.14285714287</v>
      </c>
      <c r="H35" s="232">
        <f t="shared" si="4"/>
        <v>345</v>
      </c>
      <c r="I35" s="238">
        <f t="shared" si="5"/>
        <v>142857.14285714287</v>
      </c>
      <c r="J35" s="232">
        <f t="shared" si="6"/>
        <v>690</v>
      </c>
      <c r="K35" s="238">
        <f t="shared" si="7"/>
        <v>142857.14285714287</v>
      </c>
      <c r="L35" s="232">
        <f t="shared" si="8"/>
        <v>1380</v>
      </c>
      <c r="M35" s="238">
        <f t="shared" si="9"/>
        <v>142857.14285714287</v>
      </c>
      <c r="N35" s="232">
        <f t="shared" si="10"/>
        <v>2070</v>
      </c>
      <c r="O35" s="238">
        <f t="shared" si="11"/>
        <v>142857.14285714287</v>
      </c>
      <c r="P35" s="232">
        <f t="shared" si="12"/>
        <v>3450</v>
      </c>
      <c r="Q35" s="238">
        <f t="shared" si="13"/>
        <v>142857.14285714287</v>
      </c>
    </row>
    <row r="36" spans="1:17">
      <c r="A36" s="232"/>
      <c r="B36" s="232">
        <f t="shared" ref="B36:B67" si="14">D36*0.5</f>
        <v>34</v>
      </c>
      <c r="C36" s="238">
        <f t="shared" ref="C36:C67" si="15">E36</f>
        <v>23809.523809523809</v>
      </c>
      <c r="D36" s="232">
        <v>68</v>
      </c>
      <c r="E36" s="238">
        <v>23809.523809523809</v>
      </c>
      <c r="F36" s="232">
        <f t="shared" ref="F36:F67" si="16">D36*2</f>
        <v>136</v>
      </c>
      <c r="G36" s="238">
        <f t="shared" ref="G36:G67" si="17">E36</f>
        <v>23809.523809523809</v>
      </c>
      <c r="H36" s="232">
        <f t="shared" ref="H36:H67" si="18">D36*5</f>
        <v>340</v>
      </c>
      <c r="I36" s="238">
        <f t="shared" ref="I36:I67" si="19">E36</f>
        <v>23809.523809523809</v>
      </c>
      <c r="J36" s="232">
        <f t="shared" ref="J36:J67" si="20">D36*10</f>
        <v>680</v>
      </c>
      <c r="K36" s="238">
        <f t="shared" ref="K36:K67" si="21">E36</f>
        <v>23809.523809523809</v>
      </c>
      <c r="L36" s="232">
        <f t="shared" ref="L36:L67" si="22">D36*20</f>
        <v>1360</v>
      </c>
      <c r="M36" s="238">
        <f t="shared" ref="M36:M67" si="23">K36</f>
        <v>23809.523809523809</v>
      </c>
      <c r="N36" s="232">
        <f t="shared" ref="N36:N67" si="24">D36*30</f>
        <v>2040</v>
      </c>
      <c r="O36" s="238">
        <f t="shared" ref="O36:O67" si="25">M36</f>
        <v>23809.523809523809</v>
      </c>
      <c r="P36" s="232">
        <f t="shared" ref="P36:P67" si="26">D36*50</f>
        <v>3400</v>
      </c>
      <c r="Q36" s="238">
        <f t="shared" ref="Q36:Q67" si="27">O36</f>
        <v>23809.523809523809</v>
      </c>
    </row>
    <row r="37" spans="1:17">
      <c r="A37" s="232"/>
      <c r="B37" s="232">
        <f t="shared" si="14"/>
        <v>33.5</v>
      </c>
      <c r="C37" s="238">
        <f t="shared" si="15"/>
        <v>27397.260273972603</v>
      </c>
      <c r="D37" s="232">
        <v>67</v>
      </c>
      <c r="E37" s="238">
        <v>27397.260273972603</v>
      </c>
      <c r="F37" s="232">
        <f t="shared" si="16"/>
        <v>134</v>
      </c>
      <c r="G37" s="238">
        <f t="shared" si="17"/>
        <v>27397.260273972603</v>
      </c>
      <c r="H37" s="232">
        <f t="shared" si="18"/>
        <v>335</v>
      </c>
      <c r="I37" s="238">
        <f t="shared" si="19"/>
        <v>27397.260273972603</v>
      </c>
      <c r="J37" s="232">
        <f t="shared" si="20"/>
        <v>670</v>
      </c>
      <c r="K37" s="238">
        <f t="shared" si="21"/>
        <v>27397.260273972603</v>
      </c>
      <c r="L37" s="232">
        <f t="shared" si="22"/>
        <v>1340</v>
      </c>
      <c r="M37" s="238">
        <f t="shared" si="23"/>
        <v>27397.260273972603</v>
      </c>
      <c r="N37" s="232">
        <f t="shared" si="24"/>
        <v>2010</v>
      </c>
      <c r="O37" s="238">
        <f t="shared" si="25"/>
        <v>27397.260273972603</v>
      </c>
      <c r="P37" s="232">
        <f t="shared" si="26"/>
        <v>3350</v>
      </c>
      <c r="Q37" s="238">
        <f t="shared" si="27"/>
        <v>27397.260273972603</v>
      </c>
    </row>
    <row r="38" spans="1:17">
      <c r="A38" s="232"/>
      <c r="B38" s="232">
        <f t="shared" si="14"/>
        <v>33.450000000000003</v>
      </c>
      <c r="C38" s="238">
        <f t="shared" si="15"/>
        <v>400000</v>
      </c>
      <c r="D38" s="232">
        <v>66.900000000000006</v>
      </c>
      <c r="E38" s="238">
        <v>400000</v>
      </c>
      <c r="F38" s="232">
        <f t="shared" si="16"/>
        <v>133.80000000000001</v>
      </c>
      <c r="G38" s="238">
        <f t="shared" si="17"/>
        <v>400000</v>
      </c>
      <c r="H38" s="232">
        <f t="shared" si="18"/>
        <v>334.5</v>
      </c>
      <c r="I38" s="238">
        <f t="shared" si="19"/>
        <v>400000</v>
      </c>
      <c r="J38" s="232">
        <f t="shared" si="20"/>
        <v>669</v>
      </c>
      <c r="K38" s="238">
        <f t="shared" si="21"/>
        <v>400000</v>
      </c>
      <c r="L38" s="232">
        <f t="shared" si="22"/>
        <v>1338</v>
      </c>
      <c r="M38" s="238">
        <f t="shared" si="23"/>
        <v>400000</v>
      </c>
      <c r="N38" s="232">
        <f t="shared" si="24"/>
        <v>2007.0000000000002</v>
      </c>
      <c r="O38" s="238">
        <f t="shared" si="25"/>
        <v>400000</v>
      </c>
      <c r="P38" s="232">
        <f t="shared" si="26"/>
        <v>3345.0000000000005</v>
      </c>
      <c r="Q38" s="238">
        <f t="shared" si="27"/>
        <v>400000</v>
      </c>
    </row>
    <row r="39" spans="1:17">
      <c r="A39" s="232"/>
      <c r="B39" s="232">
        <f t="shared" si="14"/>
        <v>33.25</v>
      </c>
      <c r="C39" s="238">
        <f t="shared" si="15"/>
        <v>400000</v>
      </c>
      <c r="D39" s="232">
        <v>66.5</v>
      </c>
      <c r="E39" s="238">
        <v>400000</v>
      </c>
      <c r="F39" s="232">
        <f t="shared" si="16"/>
        <v>133</v>
      </c>
      <c r="G39" s="238">
        <f t="shared" si="17"/>
        <v>400000</v>
      </c>
      <c r="H39" s="232">
        <f t="shared" si="18"/>
        <v>332.5</v>
      </c>
      <c r="I39" s="238">
        <f t="shared" si="19"/>
        <v>400000</v>
      </c>
      <c r="J39" s="232">
        <f t="shared" si="20"/>
        <v>665</v>
      </c>
      <c r="K39" s="238">
        <f t="shared" si="21"/>
        <v>400000</v>
      </c>
      <c r="L39" s="232">
        <f t="shared" si="22"/>
        <v>1330</v>
      </c>
      <c r="M39" s="238">
        <f t="shared" si="23"/>
        <v>400000</v>
      </c>
      <c r="N39" s="232">
        <f t="shared" si="24"/>
        <v>1995</v>
      </c>
      <c r="O39" s="238">
        <f t="shared" si="25"/>
        <v>400000</v>
      </c>
      <c r="P39" s="232">
        <f t="shared" si="26"/>
        <v>3325</v>
      </c>
      <c r="Q39" s="238">
        <f t="shared" si="27"/>
        <v>400000</v>
      </c>
    </row>
    <row r="40" spans="1:17">
      <c r="A40" s="232"/>
      <c r="B40" s="232">
        <f t="shared" si="14"/>
        <v>32.950000000000003</v>
      </c>
      <c r="C40" s="238">
        <f t="shared" si="15"/>
        <v>666666.66666666663</v>
      </c>
      <c r="D40" s="232">
        <v>65.900000000000006</v>
      </c>
      <c r="E40" s="238">
        <v>666666.66666666663</v>
      </c>
      <c r="F40" s="232">
        <f t="shared" si="16"/>
        <v>131.80000000000001</v>
      </c>
      <c r="G40" s="238">
        <f t="shared" si="17"/>
        <v>666666.66666666663</v>
      </c>
      <c r="H40" s="232">
        <f t="shared" si="18"/>
        <v>329.5</v>
      </c>
      <c r="I40" s="238">
        <f t="shared" si="19"/>
        <v>666666.66666666663</v>
      </c>
      <c r="J40" s="232">
        <f t="shared" si="20"/>
        <v>659</v>
      </c>
      <c r="K40" s="238">
        <f t="shared" si="21"/>
        <v>666666.66666666663</v>
      </c>
      <c r="L40" s="232">
        <f t="shared" si="22"/>
        <v>1318</v>
      </c>
      <c r="M40" s="238">
        <f t="shared" si="23"/>
        <v>666666.66666666663</v>
      </c>
      <c r="N40" s="232">
        <f t="shared" si="24"/>
        <v>1977.0000000000002</v>
      </c>
      <c r="O40" s="238">
        <f t="shared" si="25"/>
        <v>666666.66666666663</v>
      </c>
      <c r="P40" s="232">
        <f t="shared" si="26"/>
        <v>3295.0000000000005</v>
      </c>
      <c r="Q40" s="238">
        <f t="shared" si="27"/>
        <v>666666.66666666663</v>
      </c>
    </row>
    <row r="41" spans="1:17">
      <c r="A41" s="232"/>
      <c r="B41" s="232">
        <f t="shared" si="14"/>
        <v>32.799999999999997</v>
      </c>
      <c r="C41" s="238">
        <f t="shared" si="15"/>
        <v>400000</v>
      </c>
      <c r="D41" s="232">
        <v>65.599999999999994</v>
      </c>
      <c r="E41" s="238">
        <v>400000</v>
      </c>
      <c r="F41" s="232">
        <f t="shared" si="16"/>
        <v>131.19999999999999</v>
      </c>
      <c r="G41" s="238">
        <f t="shared" si="17"/>
        <v>400000</v>
      </c>
      <c r="H41" s="232">
        <f t="shared" si="18"/>
        <v>328</v>
      </c>
      <c r="I41" s="238">
        <f t="shared" si="19"/>
        <v>400000</v>
      </c>
      <c r="J41" s="232">
        <f t="shared" si="20"/>
        <v>656</v>
      </c>
      <c r="K41" s="238">
        <f t="shared" si="21"/>
        <v>400000</v>
      </c>
      <c r="L41" s="232">
        <f t="shared" si="22"/>
        <v>1312</v>
      </c>
      <c r="M41" s="238">
        <f t="shared" si="23"/>
        <v>400000</v>
      </c>
      <c r="N41" s="232">
        <f t="shared" si="24"/>
        <v>1967.9999999999998</v>
      </c>
      <c r="O41" s="238">
        <f t="shared" si="25"/>
        <v>400000</v>
      </c>
      <c r="P41" s="232">
        <f t="shared" si="26"/>
        <v>3279.9999999999995</v>
      </c>
      <c r="Q41" s="238">
        <f t="shared" si="27"/>
        <v>400000</v>
      </c>
    </row>
    <row r="42" spans="1:17">
      <c r="A42" s="232"/>
      <c r="B42" s="232">
        <f t="shared" si="14"/>
        <v>32.5</v>
      </c>
      <c r="C42" s="238">
        <f t="shared" si="15"/>
        <v>400000</v>
      </c>
      <c r="D42" s="232">
        <v>65</v>
      </c>
      <c r="E42" s="238">
        <v>400000</v>
      </c>
      <c r="F42" s="232">
        <f t="shared" si="16"/>
        <v>130</v>
      </c>
      <c r="G42" s="238">
        <f t="shared" si="17"/>
        <v>400000</v>
      </c>
      <c r="H42" s="232">
        <f t="shared" si="18"/>
        <v>325</v>
      </c>
      <c r="I42" s="238">
        <f t="shared" si="19"/>
        <v>400000</v>
      </c>
      <c r="J42" s="232">
        <f t="shared" si="20"/>
        <v>650</v>
      </c>
      <c r="K42" s="238">
        <f t="shared" si="21"/>
        <v>400000</v>
      </c>
      <c r="L42" s="232">
        <f t="shared" si="22"/>
        <v>1300</v>
      </c>
      <c r="M42" s="238">
        <f t="shared" si="23"/>
        <v>400000</v>
      </c>
      <c r="N42" s="232">
        <f t="shared" si="24"/>
        <v>1950</v>
      </c>
      <c r="O42" s="238">
        <f t="shared" si="25"/>
        <v>400000</v>
      </c>
      <c r="P42" s="232">
        <f t="shared" si="26"/>
        <v>3250</v>
      </c>
      <c r="Q42" s="238">
        <f t="shared" si="27"/>
        <v>400000</v>
      </c>
    </row>
    <row r="43" spans="1:17">
      <c r="A43" s="232"/>
      <c r="B43" s="232">
        <f t="shared" si="14"/>
        <v>32</v>
      </c>
      <c r="C43" s="238">
        <f t="shared" si="15"/>
        <v>1000000</v>
      </c>
      <c r="D43" s="232">
        <v>64</v>
      </c>
      <c r="E43" s="238">
        <v>1000000</v>
      </c>
      <c r="F43" s="232">
        <f t="shared" si="16"/>
        <v>128</v>
      </c>
      <c r="G43" s="238">
        <f t="shared" si="17"/>
        <v>1000000</v>
      </c>
      <c r="H43" s="232">
        <f t="shared" si="18"/>
        <v>320</v>
      </c>
      <c r="I43" s="238">
        <f t="shared" si="19"/>
        <v>1000000</v>
      </c>
      <c r="J43" s="232">
        <f t="shared" si="20"/>
        <v>640</v>
      </c>
      <c r="K43" s="238">
        <f t="shared" si="21"/>
        <v>1000000</v>
      </c>
      <c r="L43" s="232">
        <f t="shared" si="22"/>
        <v>1280</v>
      </c>
      <c r="M43" s="238">
        <f t="shared" si="23"/>
        <v>1000000</v>
      </c>
      <c r="N43" s="232">
        <f t="shared" si="24"/>
        <v>1920</v>
      </c>
      <c r="O43" s="238">
        <f t="shared" si="25"/>
        <v>1000000</v>
      </c>
      <c r="P43" s="232">
        <f t="shared" si="26"/>
        <v>3200</v>
      </c>
      <c r="Q43" s="238">
        <f t="shared" si="27"/>
        <v>1000000</v>
      </c>
    </row>
    <row r="44" spans="1:17">
      <c r="A44" s="232"/>
      <c r="B44" s="232">
        <f t="shared" si="14"/>
        <v>31.95</v>
      </c>
      <c r="C44" s="238">
        <f t="shared" si="15"/>
        <v>285714.28571428574</v>
      </c>
      <c r="D44" s="232">
        <v>63.9</v>
      </c>
      <c r="E44" s="238">
        <v>285714.28571428574</v>
      </c>
      <c r="F44" s="232">
        <f t="shared" si="16"/>
        <v>127.8</v>
      </c>
      <c r="G44" s="238">
        <f t="shared" si="17"/>
        <v>285714.28571428574</v>
      </c>
      <c r="H44" s="232">
        <f t="shared" si="18"/>
        <v>319.5</v>
      </c>
      <c r="I44" s="238">
        <f t="shared" si="19"/>
        <v>285714.28571428574</v>
      </c>
      <c r="J44" s="232">
        <f t="shared" si="20"/>
        <v>639</v>
      </c>
      <c r="K44" s="238">
        <f t="shared" si="21"/>
        <v>285714.28571428574</v>
      </c>
      <c r="L44" s="232">
        <f t="shared" si="22"/>
        <v>1278</v>
      </c>
      <c r="M44" s="238">
        <f t="shared" si="23"/>
        <v>285714.28571428574</v>
      </c>
      <c r="N44" s="232">
        <f t="shared" si="24"/>
        <v>1917</v>
      </c>
      <c r="O44" s="238">
        <f t="shared" si="25"/>
        <v>285714.28571428574</v>
      </c>
      <c r="P44" s="232">
        <f t="shared" si="26"/>
        <v>3195</v>
      </c>
      <c r="Q44" s="238">
        <f t="shared" si="27"/>
        <v>285714.28571428574</v>
      </c>
    </row>
    <row r="45" spans="1:17">
      <c r="A45" s="232"/>
      <c r="B45" s="232">
        <f t="shared" si="14"/>
        <v>31.75</v>
      </c>
      <c r="C45" s="238">
        <f t="shared" si="15"/>
        <v>285714.28571428574</v>
      </c>
      <c r="D45" s="232">
        <v>63.5</v>
      </c>
      <c r="E45" s="238">
        <v>285714.28571428574</v>
      </c>
      <c r="F45" s="232">
        <f t="shared" si="16"/>
        <v>127</v>
      </c>
      <c r="G45" s="238">
        <f t="shared" si="17"/>
        <v>285714.28571428574</v>
      </c>
      <c r="H45" s="232">
        <f t="shared" si="18"/>
        <v>317.5</v>
      </c>
      <c r="I45" s="238">
        <f t="shared" si="19"/>
        <v>285714.28571428574</v>
      </c>
      <c r="J45" s="232">
        <f t="shared" si="20"/>
        <v>635</v>
      </c>
      <c r="K45" s="238">
        <f t="shared" si="21"/>
        <v>285714.28571428574</v>
      </c>
      <c r="L45" s="232">
        <f t="shared" si="22"/>
        <v>1270</v>
      </c>
      <c r="M45" s="238">
        <f t="shared" si="23"/>
        <v>285714.28571428574</v>
      </c>
      <c r="N45" s="232">
        <f t="shared" si="24"/>
        <v>1905</v>
      </c>
      <c r="O45" s="238">
        <f t="shared" si="25"/>
        <v>285714.28571428574</v>
      </c>
      <c r="P45" s="232">
        <f t="shared" si="26"/>
        <v>3175</v>
      </c>
      <c r="Q45" s="238">
        <f t="shared" si="27"/>
        <v>285714.28571428574</v>
      </c>
    </row>
    <row r="46" spans="1:17">
      <c r="A46" s="232"/>
      <c r="B46" s="232">
        <f t="shared" si="14"/>
        <v>31.5</v>
      </c>
      <c r="C46" s="238">
        <f t="shared" si="15"/>
        <v>666666.66666666663</v>
      </c>
      <c r="D46" s="232">
        <v>63</v>
      </c>
      <c r="E46" s="238">
        <v>666666.66666666663</v>
      </c>
      <c r="F46" s="232">
        <f t="shared" si="16"/>
        <v>126</v>
      </c>
      <c r="G46" s="238">
        <f t="shared" si="17"/>
        <v>666666.66666666663</v>
      </c>
      <c r="H46" s="232">
        <f t="shared" si="18"/>
        <v>315</v>
      </c>
      <c r="I46" s="238">
        <f t="shared" si="19"/>
        <v>666666.66666666663</v>
      </c>
      <c r="J46" s="232">
        <f t="shared" si="20"/>
        <v>630</v>
      </c>
      <c r="K46" s="238">
        <f t="shared" si="21"/>
        <v>666666.66666666663</v>
      </c>
      <c r="L46" s="232">
        <f t="shared" si="22"/>
        <v>1260</v>
      </c>
      <c r="M46" s="238">
        <f t="shared" si="23"/>
        <v>666666.66666666663</v>
      </c>
      <c r="N46" s="232">
        <f t="shared" si="24"/>
        <v>1890</v>
      </c>
      <c r="O46" s="238">
        <f t="shared" si="25"/>
        <v>666666.66666666663</v>
      </c>
      <c r="P46" s="232">
        <f t="shared" si="26"/>
        <v>3150</v>
      </c>
      <c r="Q46" s="238">
        <f t="shared" si="27"/>
        <v>666666.66666666663</v>
      </c>
    </row>
    <row r="47" spans="1:17">
      <c r="A47" s="232"/>
      <c r="B47" s="232">
        <f t="shared" si="14"/>
        <v>30.5</v>
      </c>
      <c r="C47" s="238">
        <f t="shared" si="15"/>
        <v>400000</v>
      </c>
      <c r="D47" s="232">
        <v>61</v>
      </c>
      <c r="E47" s="238">
        <v>400000</v>
      </c>
      <c r="F47" s="232">
        <f t="shared" si="16"/>
        <v>122</v>
      </c>
      <c r="G47" s="238">
        <f t="shared" si="17"/>
        <v>400000</v>
      </c>
      <c r="H47" s="232">
        <f t="shared" si="18"/>
        <v>305</v>
      </c>
      <c r="I47" s="238">
        <f t="shared" si="19"/>
        <v>400000</v>
      </c>
      <c r="J47" s="232">
        <f t="shared" si="20"/>
        <v>610</v>
      </c>
      <c r="K47" s="238">
        <f t="shared" si="21"/>
        <v>400000</v>
      </c>
      <c r="L47" s="232">
        <f t="shared" si="22"/>
        <v>1220</v>
      </c>
      <c r="M47" s="238">
        <f t="shared" si="23"/>
        <v>400000</v>
      </c>
      <c r="N47" s="232">
        <f t="shared" si="24"/>
        <v>1830</v>
      </c>
      <c r="O47" s="238">
        <f t="shared" si="25"/>
        <v>400000</v>
      </c>
      <c r="P47" s="232">
        <f t="shared" si="26"/>
        <v>3050</v>
      </c>
      <c r="Q47" s="238">
        <f t="shared" si="27"/>
        <v>400000</v>
      </c>
    </row>
    <row r="48" spans="1:17">
      <c r="A48" s="232"/>
      <c r="B48" s="232">
        <f t="shared" si="14"/>
        <v>30.3</v>
      </c>
      <c r="C48" s="238">
        <f t="shared" si="15"/>
        <v>250000</v>
      </c>
      <c r="D48" s="232">
        <v>60.6</v>
      </c>
      <c r="E48" s="238">
        <v>250000</v>
      </c>
      <c r="F48" s="232">
        <f t="shared" si="16"/>
        <v>121.2</v>
      </c>
      <c r="G48" s="238">
        <f t="shared" si="17"/>
        <v>250000</v>
      </c>
      <c r="H48" s="232">
        <f t="shared" si="18"/>
        <v>303</v>
      </c>
      <c r="I48" s="238">
        <f t="shared" si="19"/>
        <v>250000</v>
      </c>
      <c r="J48" s="232">
        <f t="shared" si="20"/>
        <v>606</v>
      </c>
      <c r="K48" s="238">
        <f t="shared" si="21"/>
        <v>250000</v>
      </c>
      <c r="L48" s="232">
        <f t="shared" si="22"/>
        <v>1212</v>
      </c>
      <c r="M48" s="238">
        <f t="shared" si="23"/>
        <v>250000</v>
      </c>
      <c r="N48" s="232">
        <f t="shared" si="24"/>
        <v>1818</v>
      </c>
      <c r="O48" s="238">
        <f t="shared" si="25"/>
        <v>250000</v>
      </c>
      <c r="P48" s="232">
        <f t="shared" si="26"/>
        <v>3030</v>
      </c>
      <c r="Q48" s="238">
        <f t="shared" si="27"/>
        <v>250000</v>
      </c>
    </row>
    <row r="49" spans="1:17">
      <c r="A49" s="232"/>
      <c r="B49" s="232">
        <f t="shared" si="14"/>
        <v>30</v>
      </c>
      <c r="C49" s="238">
        <f t="shared" si="15"/>
        <v>48780.487804878052</v>
      </c>
      <c r="D49" s="232">
        <v>60</v>
      </c>
      <c r="E49" s="238">
        <v>48780.487804878052</v>
      </c>
      <c r="F49" s="232">
        <f t="shared" si="16"/>
        <v>120</v>
      </c>
      <c r="G49" s="238">
        <f t="shared" si="17"/>
        <v>48780.487804878052</v>
      </c>
      <c r="H49" s="232">
        <f t="shared" si="18"/>
        <v>300</v>
      </c>
      <c r="I49" s="238">
        <f t="shared" si="19"/>
        <v>48780.487804878052</v>
      </c>
      <c r="J49" s="232">
        <f t="shared" si="20"/>
        <v>600</v>
      </c>
      <c r="K49" s="238">
        <f t="shared" si="21"/>
        <v>48780.487804878052</v>
      </c>
      <c r="L49" s="232">
        <f t="shared" si="22"/>
        <v>1200</v>
      </c>
      <c r="M49" s="238">
        <f t="shared" si="23"/>
        <v>48780.487804878052</v>
      </c>
      <c r="N49" s="232">
        <f t="shared" si="24"/>
        <v>1800</v>
      </c>
      <c r="O49" s="238">
        <f t="shared" si="25"/>
        <v>48780.487804878052</v>
      </c>
      <c r="P49" s="232">
        <f t="shared" si="26"/>
        <v>3000</v>
      </c>
      <c r="Q49" s="238">
        <f t="shared" si="27"/>
        <v>48780.487804878052</v>
      </c>
    </row>
    <row r="50" spans="1:17">
      <c r="A50" s="232"/>
      <c r="B50" s="232">
        <f t="shared" si="14"/>
        <v>29.95</v>
      </c>
      <c r="C50" s="238">
        <f t="shared" si="15"/>
        <v>400000</v>
      </c>
      <c r="D50" s="232">
        <v>59.9</v>
      </c>
      <c r="E50" s="238">
        <v>400000</v>
      </c>
      <c r="F50" s="232">
        <f t="shared" si="16"/>
        <v>119.8</v>
      </c>
      <c r="G50" s="238">
        <f t="shared" si="17"/>
        <v>400000</v>
      </c>
      <c r="H50" s="232">
        <f t="shared" si="18"/>
        <v>299.5</v>
      </c>
      <c r="I50" s="238">
        <f t="shared" si="19"/>
        <v>400000</v>
      </c>
      <c r="J50" s="232">
        <f t="shared" si="20"/>
        <v>599</v>
      </c>
      <c r="K50" s="238">
        <f t="shared" si="21"/>
        <v>400000</v>
      </c>
      <c r="L50" s="232">
        <f t="shared" si="22"/>
        <v>1198</v>
      </c>
      <c r="M50" s="238">
        <f t="shared" si="23"/>
        <v>400000</v>
      </c>
      <c r="N50" s="232">
        <f t="shared" si="24"/>
        <v>1797</v>
      </c>
      <c r="O50" s="238">
        <f t="shared" si="25"/>
        <v>400000</v>
      </c>
      <c r="P50" s="232">
        <f t="shared" si="26"/>
        <v>2995</v>
      </c>
      <c r="Q50" s="238">
        <f t="shared" si="27"/>
        <v>400000</v>
      </c>
    </row>
    <row r="51" spans="1:17">
      <c r="A51" s="232"/>
      <c r="B51" s="232">
        <f t="shared" si="14"/>
        <v>29.5</v>
      </c>
      <c r="C51" s="238">
        <f t="shared" si="15"/>
        <v>250000</v>
      </c>
      <c r="D51" s="232">
        <v>59</v>
      </c>
      <c r="E51" s="238">
        <v>250000</v>
      </c>
      <c r="F51" s="232">
        <f t="shared" si="16"/>
        <v>118</v>
      </c>
      <c r="G51" s="238">
        <f t="shared" si="17"/>
        <v>250000</v>
      </c>
      <c r="H51" s="232">
        <f t="shared" si="18"/>
        <v>295</v>
      </c>
      <c r="I51" s="238">
        <f t="shared" si="19"/>
        <v>250000</v>
      </c>
      <c r="J51" s="232">
        <f t="shared" si="20"/>
        <v>590</v>
      </c>
      <c r="K51" s="238">
        <f t="shared" si="21"/>
        <v>250000</v>
      </c>
      <c r="L51" s="232">
        <f t="shared" si="22"/>
        <v>1180</v>
      </c>
      <c r="M51" s="238">
        <f t="shared" si="23"/>
        <v>250000</v>
      </c>
      <c r="N51" s="232">
        <f t="shared" si="24"/>
        <v>1770</v>
      </c>
      <c r="O51" s="238">
        <f t="shared" si="25"/>
        <v>250000</v>
      </c>
      <c r="P51" s="232">
        <f t="shared" si="26"/>
        <v>2950</v>
      </c>
      <c r="Q51" s="238">
        <f t="shared" si="27"/>
        <v>250000</v>
      </c>
    </row>
    <row r="52" spans="1:17">
      <c r="A52" s="232"/>
      <c r="B52" s="232">
        <f t="shared" si="14"/>
        <v>29.3</v>
      </c>
      <c r="C52" s="238">
        <f t="shared" si="15"/>
        <v>200000</v>
      </c>
      <c r="D52" s="232">
        <v>58.6</v>
      </c>
      <c r="E52" s="238">
        <v>200000</v>
      </c>
      <c r="F52" s="232">
        <f t="shared" si="16"/>
        <v>117.2</v>
      </c>
      <c r="G52" s="238">
        <f t="shared" si="17"/>
        <v>200000</v>
      </c>
      <c r="H52" s="232">
        <f t="shared" si="18"/>
        <v>293</v>
      </c>
      <c r="I52" s="238">
        <f t="shared" si="19"/>
        <v>200000</v>
      </c>
      <c r="J52" s="232">
        <f t="shared" si="20"/>
        <v>586</v>
      </c>
      <c r="K52" s="238">
        <f t="shared" si="21"/>
        <v>200000</v>
      </c>
      <c r="L52" s="232">
        <f t="shared" si="22"/>
        <v>1172</v>
      </c>
      <c r="M52" s="238">
        <f t="shared" si="23"/>
        <v>200000</v>
      </c>
      <c r="N52" s="232">
        <f t="shared" si="24"/>
        <v>1758</v>
      </c>
      <c r="O52" s="238">
        <f t="shared" si="25"/>
        <v>200000</v>
      </c>
      <c r="P52" s="232">
        <f t="shared" si="26"/>
        <v>2930</v>
      </c>
      <c r="Q52" s="238">
        <f t="shared" si="27"/>
        <v>200000</v>
      </c>
    </row>
    <row r="53" spans="1:17">
      <c r="A53" s="232"/>
      <c r="B53" s="232">
        <f t="shared" si="14"/>
        <v>29</v>
      </c>
      <c r="C53" s="238">
        <f t="shared" si="15"/>
        <v>17543.859649122805</v>
      </c>
      <c r="D53" s="232">
        <v>58</v>
      </c>
      <c r="E53" s="238">
        <v>17543.859649122805</v>
      </c>
      <c r="F53" s="232">
        <f t="shared" si="16"/>
        <v>116</v>
      </c>
      <c r="G53" s="238">
        <f t="shared" si="17"/>
        <v>17543.859649122805</v>
      </c>
      <c r="H53" s="232">
        <f t="shared" si="18"/>
        <v>290</v>
      </c>
      <c r="I53" s="238">
        <f t="shared" si="19"/>
        <v>17543.859649122805</v>
      </c>
      <c r="J53" s="232">
        <f t="shared" si="20"/>
        <v>580</v>
      </c>
      <c r="K53" s="238">
        <f t="shared" si="21"/>
        <v>17543.859649122805</v>
      </c>
      <c r="L53" s="232">
        <f t="shared" si="22"/>
        <v>1160</v>
      </c>
      <c r="M53" s="238">
        <f t="shared" si="23"/>
        <v>17543.859649122805</v>
      </c>
      <c r="N53" s="232">
        <f t="shared" si="24"/>
        <v>1740</v>
      </c>
      <c r="O53" s="238">
        <f t="shared" si="25"/>
        <v>17543.859649122805</v>
      </c>
      <c r="P53" s="232">
        <f t="shared" si="26"/>
        <v>2900</v>
      </c>
      <c r="Q53" s="238">
        <f t="shared" si="27"/>
        <v>17543.859649122805</v>
      </c>
    </row>
    <row r="54" spans="1:17">
      <c r="A54" s="232"/>
      <c r="B54" s="232">
        <f t="shared" si="14"/>
        <v>28.65</v>
      </c>
      <c r="C54" s="238">
        <f t="shared" si="15"/>
        <v>666666.66666666663</v>
      </c>
      <c r="D54" s="232">
        <v>57.3</v>
      </c>
      <c r="E54" s="238">
        <v>666666.66666666663</v>
      </c>
      <c r="F54" s="232">
        <f t="shared" si="16"/>
        <v>114.6</v>
      </c>
      <c r="G54" s="238">
        <f t="shared" si="17"/>
        <v>666666.66666666663</v>
      </c>
      <c r="H54" s="232">
        <f t="shared" si="18"/>
        <v>286.5</v>
      </c>
      <c r="I54" s="238">
        <f t="shared" si="19"/>
        <v>666666.66666666663</v>
      </c>
      <c r="J54" s="232">
        <f t="shared" si="20"/>
        <v>573</v>
      </c>
      <c r="K54" s="238">
        <f t="shared" si="21"/>
        <v>666666.66666666663</v>
      </c>
      <c r="L54" s="232">
        <f t="shared" si="22"/>
        <v>1146</v>
      </c>
      <c r="M54" s="238">
        <f t="shared" si="23"/>
        <v>666666.66666666663</v>
      </c>
      <c r="N54" s="232">
        <f t="shared" si="24"/>
        <v>1719</v>
      </c>
      <c r="O54" s="238">
        <f t="shared" si="25"/>
        <v>666666.66666666663</v>
      </c>
      <c r="P54" s="232">
        <f t="shared" si="26"/>
        <v>2865</v>
      </c>
      <c r="Q54" s="238">
        <f t="shared" si="27"/>
        <v>666666.66666666663</v>
      </c>
    </row>
    <row r="55" spans="1:17">
      <c r="A55" s="232"/>
      <c r="B55" s="232">
        <f t="shared" si="14"/>
        <v>28.5</v>
      </c>
      <c r="C55" s="238">
        <f t="shared" si="15"/>
        <v>18518.518518518518</v>
      </c>
      <c r="D55" s="232">
        <v>57</v>
      </c>
      <c r="E55" s="238">
        <v>18518.518518518518</v>
      </c>
      <c r="F55" s="232">
        <f t="shared" si="16"/>
        <v>114</v>
      </c>
      <c r="G55" s="238">
        <f t="shared" si="17"/>
        <v>18518.518518518518</v>
      </c>
      <c r="H55" s="232">
        <f t="shared" si="18"/>
        <v>285</v>
      </c>
      <c r="I55" s="238">
        <f t="shared" si="19"/>
        <v>18518.518518518518</v>
      </c>
      <c r="J55" s="232">
        <f t="shared" si="20"/>
        <v>570</v>
      </c>
      <c r="K55" s="238">
        <f t="shared" si="21"/>
        <v>18518.518518518518</v>
      </c>
      <c r="L55" s="232">
        <f t="shared" si="22"/>
        <v>1140</v>
      </c>
      <c r="M55" s="238">
        <f t="shared" si="23"/>
        <v>18518.518518518518</v>
      </c>
      <c r="N55" s="232">
        <f t="shared" si="24"/>
        <v>1710</v>
      </c>
      <c r="O55" s="238">
        <f t="shared" si="25"/>
        <v>18518.518518518518</v>
      </c>
      <c r="P55" s="232">
        <f t="shared" si="26"/>
        <v>2850</v>
      </c>
      <c r="Q55" s="238">
        <f t="shared" si="27"/>
        <v>18518.518518518518</v>
      </c>
    </row>
    <row r="56" spans="1:17">
      <c r="A56" s="232"/>
      <c r="B56" s="232">
        <f t="shared" si="14"/>
        <v>28.25</v>
      </c>
      <c r="C56" s="238">
        <f t="shared" si="15"/>
        <v>15037.593984962406</v>
      </c>
      <c r="D56" s="232">
        <v>56.5</v>
      </c>
      <c r="E56" s="238">
        <v>15037.593984962406</v>
      </c>
      <c r="F56" s="232">
        <f t="shared" si="16"/>
        <v>113</v>
      </c>
      <c r="G56" s="238">
        <f t="shared" si="17"/>
        <v>15037.593984962406</v>
      </c>
      <c r="H56" s="232">
        <f t="shared" si="18"/>
        <v>282.5</v>
      </c>
      <c r="I56" s="238">
        <f t="shared" si="19"/>
        <v>15037.593984962406</v>
      </c>
      <c r="J56" s="232">
        <f t="shared" si="20"/>
        <v>565</v>
      </c>
      <c r="K56" s="238">
        <f t="shared" si="21"/>
        <v>15037.593984962406</v>
      </c>
      <c r="L56" s="232">
        <f t="shared" si="22"/>
        <v>1130</v>
      </c>
      <c r="M56" s="238">
        <f t="shared" si="23"/>
        <v>15037.593984962406</v>
      </c>
      <c r="N56" s="232">
        <f t="shared" si="24"/>
        <v>1695</v>
      </c>
      <c r="O56" s="238">
        <f t="shared" si="25"/>
        <v>15037.593984962406</v>
      </c>
      <c r="P56" s="232">
        <f t="shared" si="26"/>
        <v>2825</v>
      </c>
      <c r="Q56" s="238">
        <f t="shared" si="27"/>
        <v>15037.593984962406</v>
      </c>
    </row>
    <row r="57" spans="1:17">
      <c r="A57" s="232"/>
      <c r="B57" s="232">
        <f t="shared" si="14"/>
        <v>28</v>
      </c>
      <c r="C57" s="238">
        <f t="shared" si="15"/>
        <v>16129.032258064517</v>
      </c>
      <c r="D57" s="232">
        <v>56</v>
      </c>
      <c r="E57" s="238">
        <v>16129.032258064517</v>
      </c>
      <c r="F57" s="232">
        <f t="shared" si="16"/>
        <v>112</v>
      </c>
      <c r="G57" s="238">
        <f t="shared" si="17"/>
        <v>16129.032258064517</v>
      </c>
      <c r="H57" s="232">
        <f t="shared" si="18"/>
        <v>280</v>
      </c>
      <c r="I57" s="238">
        <f t="shared" si="19"/>
        <v>16129.032258064517</v>
      </c>
      <c r="J57" s="232">
        <f t="shared" si="20"/>
        <v>560</v>
      </c>
      <c r="K57" s="238">
        <f t="shared" si="21"/>
        <v>16129.032258064517</v>
      </c>
      <c r="L57" s="232">
        <f t="shared" si="22"/>
        <v>1120</v>
      </c>
      <c r="M57" s="238">
        <f t="shared" si="23"/>
        <v>16129.032258064517</v>
      </c>
      <c r="N57" s="232">
        <f t="shared" si="24"/>
        <v>1680</v>
      </c>
      <c r="O57" s="238">
        <f t="shared" si="25"/>
        <v>16129.032258064517</v>
      </c>
      <c r="P57" s="232">
        <f t="shared" si="26"/>
        <v>2800</v>
      </c>
      <c r="Q57" s="238">
        <f t="shared" si="27"/>
        <v>16129.032258064517</v>
      </c>
    </row>
    <row r="58" spans="1:17">
      <c r="A58" s="232"/>
      <c r="B58" s="232">
        <f t="shared" si="14"/>
        <v>27.75</v>
      </c>
      <c r="C58" s="238">
        <f t="shared" si="15"/>
        <v>153846.15384615384</v>
      </c>
      <c r="D58" s="232">
        <v>55.5</v>
      </c>
      <c r="E58" s="238">
        <v>153846.15384615384</v>
      </c>
      <c r="F58" s="232">
        <f t="shared" si="16"/>
        <v>111</v>
      </c>
      <c r="G58" s="238">
        <f t="shared" si="17"/>
        <v>153846.15384615384</v>
      </c>
      <c r="H58" s="232">
        <f t="shared" si="18"/>
        <v>277.5</v>
      </c>
      <c r="I58" s="238">
        <f t="shared" si="19"/>
        <v>153846.15384615384</v>
      </c>
      <c r="J58" s="232">
        <f t="shared" si="20"/>
        <v>555</v>
      </c>
      <c r="K58" s="238">
        <f t="shared" si="21"/>
        <v>153846.15384615384</v>
      </c>
      <c r="L58" s="232">
        <f t="shared" si="22"/>
        <v>1110</v>
      </c>
      <c r="M58" s="238">
        <f t="shared" si="23"/>
        <v>153846.15384615384</v>
      </c>
      <c r="N58" s="232">
        <f t="shared" si="24"/>
        <v>1665</v>
      </c>
      <c r="O58" s="238">
        <f t="shared" si="25"/>
        <v>153846.15384615384</v>
      </c>
      <c r="P58" s="232">
        <f t="shared" si="26"/>
        <v>2775</v>
      </c>
      <c r="Q58" s="238">
        <f t="shared" si="27"/>
        <v>153846.15384615384</v>
      </c>
    </row>
    <row r="59" spans="1:17">
      <c r="A59" s="232"/>
      <c r="B59" s="232">
        <f t="shared" si="14"/>
        <v>27.65</v>
      </c>
      <c r="C59" s="238">
        <f t="shared" si="15"/>
        <v>250000</v>
      </c>
      <c r="D59" s="232">
        <v>55.3</v>
      </c>
      <c r="E59" s="238">
        <v>250000</v>
      </c>
      <c r="F59" s="232">
        <f t="shared" si="16"/>
        <v>110.6</v>
      </c>
      <c r="G59" s="238">
        <f t="shared" si="17"/>
        <v>250000</v>
      </c>
      <c r="H59" s="232">
        <f t="shared" si="18"/>
        <v>276.5</v>
      </c>
      <c r="I59" s="238">
        <f t="shared" si="19"/>
        <v>250000</v>
      </c>
      <c r="J59" s="232">
        <f t="shared" si="20"/>
        <v>553</v>
      </c>
      <c r="K59" s="238">
        <f t="shared" si="21"/>
        <v>250000</v>
      </c>
      <c r="L59" s="232">
        <f t="shared" si="22"/>
        <v>1106</v>
      </c>
      <c r="M59" s="238">
        <f t="shared" si="23"/>
        <v>250000</v>
      </c>
      <c r="N59" s="232">
        <f t="shared" si="24"/>
        <v>1659</v>
      </c>
      <c r="O59" s="238">
        <f t="shared" si="25"/>
        <v>250000</v>
      </c>
      <c r="P59" s="232">
        <f t="shared" si="26"/>
        <v>2765</v>
      </c>
      <c r="Q59" s="238">
        <f t="shared" si="27"/>
        <v>250000</v>
      </c>
    </row>
    <row r="60" spans="1:17">
      <c r="A60" s="232"/>
      <c r="B60" s="232">
        <f t="shared" si="14"/>
        <v>27.5</v>
      </c>
      <c r="C60" s="238">
        <f t="shared" si="15"/>
        <v>9523.8095238095229</v>
      </c>
      <c r="D60" s="232">
        <v>55</v>
      </c>
      <c r="E60" s="238">
        <v>9523.8095238095229</v>
      </c>
      <c r="F60" s="232">
        <f t="shared" si="16"/>
        <v>110</v>
      </c>
      <c r="G60" s="238">
        <f t="shared" si="17"/>
        <v>9523.8095238095229</v>
      </c>
      <c r="H60" s="232">
        <f t="shared" si="18"/>
        <v>275</v>
      </c>
      <c r="I60" s="238">
        <f t="shared" si="19"/>
        <v>9523.8095238095229</v>
      </c>
      <c r="J60" s="232">
        <f t="shared" si="20"/>
        <v>550</v>
      </c>
      <c r="K60" s="238">
        <f t="shared" si="21"/>
        <v>9523.8095238095229</v>
      </c>
      <c r="L60" s="232">
        <f t="shared" si="22"/>
        <v>1100</v>
      </c>
      <c r="M60" s="238">
        <f t="shared" si="23"/>
        <v>9523.8095238095229</v>
      </c>
      <c r="N60" s="232">
        <f t="shared" si="24"/>
        <v>1650</v>
      </c>
      <c r="O60" s="238">
        <f t="shared" si="25"/>
        <v>9523.8095238095229</v>
      </c>
      <c r="P60" s="232">
        <f t="shared" si="26"/>
        <v>2750</v>
      </c>
      <c r="Q60" s="238">
        <f t="shared" si="27"/>
        <v>9523.8095238095229</v>
      </c>
    </row>
    <row r="61" spans="1:17">
      <c r="A61" s="232"/>
      <c r="B61" s="232">
        <f t="shared" si="14"/>
        <v>27.25</v>
      </c>
      <c r="C61" s="238">
        <f t="shared" si="15"/>
        <v>86956.521739130432</v>
      </c>
      <c r="D61" s="232">
        <v>54.5</v>
      </c>
      <c r="E61" s="238">
        <v>86956.521739130432</v>
      </c>
      <c r="F61" s="232">
        <f t="shared" si="16"/>
        <v>109</v>
      </c>
      <c r="G61" s="238">
        <f t="shared" si="17"/>
        <v>86956.521739130432</v>
      </c>
      <c r="H61" s="232">
        <f t="shared" si="18"/>
        <v>272.5</v>
      </c>
      <c r="I61" s="238">
        <f t="shared" si="19"/>
        <v>86956.521739130432</v>
      </c>
      <c r="J61" s="232">
        <f t="shared" si="20"/>
        <v>545</v>
      </c>
      <c r="K61" s="238">
        <f t="shared" si="21"/>
        <v>86956.521739130432</v>
      </c>
      <c r="L61" s="232">
        <f t="shared" si="22"/>
        <v>1090</v>
      </c>
      <c r="M61" s="238">
        <f t="shared" si="23"/>
        <v>86956.521739130432</v>
      </c>
      <c r="N61" s="232">
        <f t="shared" si="24"/>
        <v>1635</v>
      </c>
      <c r="O61" s="238">
        <f t="shared" si="25"/>
        <v>86956.521739130432</v>
      </c>
      <c r="P61" s="232">
        <f t="shared" si="26"/>
        <v>2725</v>
      </c>
      <c r="Q61" s="238">
        <f t="shared" si="27"/>
        <v>86956.521739130432</v>
      </c>
    </row>
    <row r="62" spans="1:17">
      <c r="A62" s="232"/>
      <c r="B62" s="232">
        <f t="shared" si="14"/>
        <v>26.5</v>
      </c>
      <c r="C62" s="238">
        <f t="shared" si="15"/>
        <v>17699.115044247788</v>
      </c>
      <c r="D62" s="232">
        <v>53</v>
      </c>
      <c r="E62" s="238">
        <v>17699.115044247788</v>
      </c>
      <c r="F62" s="232">
        <f t="shared" si="16"/>
        <v>106</v>
      </c>
      <c r="G62" s="238">
        <f t="shared" si="17"/>
        <v>17699.115044247788</v>
      </c>
      <c r="H62" s="232">
        <f t="shared" si="18"/>
        <v>265</v>
      </c>
      <c r="I62" s="238">
        <f t="shared" si="19"/>
        <v>17699.115044247788</v>
      </c>
      <c r="J62" s="232">
        <f t="shared" si="20"/>
        <v>530</v>
      </c>
      <c r="K62" s="238">
        <f t="shared" si="21"/>
        <v>17699.115044247788</v>
      </c>
      <c r="L62" s="232">
        <f t="shared" si="22"/>
        <v>1060</v>
      </c>
      <c r="M62" s="238">
        <f t="shared" si="23"/>
        <v>17699.115044247788</v>
      </c>
      <c r="N62" s="232">
        <f t="shared" si="24"/>
        <v>1590</v>
      </c>
      <c r="O62" s="238">
        <f t="shared" si="25"/>
        <v>17699.115044247788</v>
      </c>
      <c r="P62" s="232">
        <f t="shared" si="26"/>
        <v>2650</v>
      </c>
      <c r="Q62" s="238">
        <f t="shared" si="27"/>
        <v>17699.115044247788</v>
      </c>
    </row>
    <row r="63" spans="1:17">
      <c r="A63" s="232"/>
      <c r="B63" s="232">
        <f t="shared" si="14"/>
        <v>26.05</v>
      </c>
      <c r="C63" s="238">
        <f t="shared" si="15"/>
        <v>222222.22222222222</v>
      </c>
      <c r="D63" s="232">
        <v>52.1</v>
      </c>
      <c r="E63" s="238">
        <v>222222.22222222222</v>
      </c>
      <c r="F63" s="232">
        <f t="shared" si="16"/>
        <v>104.2</v>
      </c>
      <c r="G63" s="238">
        <f t="shared" si="17"/>
        <v>222222.22222222222</v>
      </c>
      <c r="H63" s="232">
        <f t="shared" si="18"/>
        <v>260.5</v>
      </c>
      <c r="I63" s="238">
        <f t="shared" si="19"/>
        <v>222222.22222222222</v>
      </c>
      <c r="J63" s="232">
        <f t="shared" si="20"/>
        <v>521</v>
      </c>
      <c r="K63" s="238">
        <f t="shared" si="21"/>
        <v>222222.22222222222</v>
      </c>
      <c r="L63" s="232">
        <f t="shared" si="22"/>
        <v>1042</v>
      </c>
      <c r="M63" s="238">
        <f t="shared" si="23"/>
        <v>222222.22222222222</v>
      </c>
      <c r="N63" s="232">
        <f t="shared" si="24"/>
        <v>1563</v>
      </c>
      <c r="O63" s="238">
        <f t="shared" si="25"/>
        <v>222222.22222222222</v>
      </c>
      <c r="P63" s="232">
        <f t="shared" si="26"/>
        <v>2605</v>
      </c>
      <c r="Q63" s="238">
        <f t="shared" si="27"/>
        <v>222222.22222222222</v>
      </c>
    </row>
    <row r="64" spans="1:17">
      <c r="A64" s="232"/>
      <c r="B64" s="232">
        <f t="shared" si="14"/>
        <v>26</v>
      </c>
      <c r="C64" s="238">
        <f t="shared" si="15"/>
        <v>13513.513513513513</v>
      </c>
      <c r="D64" s="232">
        <v>52</v>
      </c>
      <c r="E64" s="238">
        <v>13513.513513513513</v>
      </c>
      <c r="F64" s="232">
        <f t="shared" si="16"/>
        <v>104</v>
      </c>
      <c r="G64" s="238">
        <f t="shared" si="17"/>
        <v>13513.513513513513</v>
      </c>
      <c r="H64" s="232">
        <f t="shared" si="18"/>
        <v>260</v>
      </c>
      <c r="I64" s="238">
        <f t="shared" si="19"/>
        <v>13513.513513513513</v>
      </c>
      <c r="J64" s="232">
        <f t="shared" si="20"/>
        <v>520</v>
      </c>
      <c r="K64" s="238">
        <f t="shared" si="21"/>
        <v>13513.513513513513</v>
      </c>
      <c r="L64" s="232">
        <f t="shared" si="22"/>
        <v>1040</v>
      </c>
      <c r="M64" s="238">
        <f t="shared" si="23"/>
        <v>13513.513513513513</v>
      </c>
      <c r="N64" s="232">
        <f t="shared" si="24"/>
        <v>1560</v>
      </c>
      <c r="O64" s="238">
        <f t="shared" si="25"/>
        <v>13513.513513513513</v>
      </c>
      <c r="P64" s="232">
        <f t="shared" si="26"/>
        <v>2600</v>
      </c>
      <c r="Q64" s="238">
        <f t="shared" si="27"/>
        <v>13513.513513513513</v>
      </c>
    </row>
    <row r="65" spans="1:17">
      <c r="A65" s="232"/>
      <c r="B65" s="232">
        <f t="shared" si="14"/>
        <v>25.95</v>
      </c>
      <c r="C65" s="238">
        <f t="shared" si="15"/>
        <v>222222.22222222222</v>
      </c>
      <c r="D65" s="232">
        <v>51.9</v>
      </c>
      <c r="E65" s="238">
        <v>222222.22222222222</v>
      </c>
      <c r="F65" s="232">
        <f t="shared" si="16"/>
        <v>103.8</v>
      </c>
      <c r="G65" s="238">
        <f t="shared" si="17"/>
        <v>222222.22222222222</v>
      </c>
      <c r="H65" s="232">
        <f t="shared" si="18"/>
        <v>259.5</v>
      </c>
      <c r="I65" s="238">
        <f t="shared" si="19"/>
        <v>222222.22222222222</v>
      </c>
      <c r="J65" s="232">
        <f t="shared" si="20"/>
        <v>519</v>
      </c>
      <c r="K65" s="238">
        <f t="shared" si="21"/>
        <v>222222.22222222222</v>
      </c>
      <c r="L65" s="232">
        <f t="shared" si="22"/>
        <v>1038</v>
      </c>
      <c r="M65" s="238">
        <f t="shared" si="23"/>
        <v>222222.22222222222</v>
      </c>
      <c r="N65" s="232">
        <f t="shared" si="24"/>
        <v>1557</v>
      </c>
      <c r="O65" s="238">
        <f t="shared" si="25"/>
        <v>222222.22222222222</v>
      </c>
      <c r="P65" s="232">
        <f t="shared" si="26"/>
        <v>2595</v>
      </c>
      <c r="Q65" s="238">
        <f t="shared" si="27"/>
        <v>222222.22222222222</v>
      </c>
    </row>
    <row r="66" spans="1:17">
      <c r="A66" s="232"/>
      <c r="B66" s="232">
        <f t="shared" si="14"/>
        <v>25.8</v>
      </c>
      <c r="C66" s="238">
        <f t="shared" si="15"/>
        <v>666666.66666666663</v>
      </c>
      <c r="D66" s="232">
        <v>51.6</v>
      </c>
      <c r="E66" s="238">
        <v>666666.66666666663</v>
      </c>
      <c r="F66" s="232">
        <f t="shared" si="16"/>
        <v>103.2</v>
      </c>
      <c r="G66" s="238">
        <f t="shared" si="17"/>
        <v>666666.66666666663</v>
      </c>
      <c r="H66" s="232">
        <f t="shared" si="18"/>
        <v>258</v>
      </c>
      <c r="I66" s="238">
        <f t="shared" si="19"/>
        <v>666666.66666666663</v>
      </c>
      <c r="J66" s="232">
        <f t="shared" si="20"/>
        <v>516</v>
      </c>
      <c r="K66" s="238">
        <f t="shared" si="21"/>
        <v>666666.66666666663</v>
      </c>
      <c r="L66" s="232">
        <f t="shared" si="22"/>
        <v>1032</v>
      </c>
      <c r="M66" s="238">
        <f t="shared" si="23"/>
        <v>666666.66666666663</v>
      </c>
      <c r="N66" s="232">
        <f t="shared" si="24"/>
        <v>1548</v>
      </c>
      <c r="O66" s="238">
        <f t="shared" si="25"/>
        <v>666666.66666666663</v>
      </c>
      <c r="P66" s="232">
        <f t="shared" si="26"/>
        <v>2580</v>
      </c>
      <c r="Q66" s="238">
        <f t="shared" si="27"/>
        <v>666666.66666666663</v>
      </c>
    </row>
    <row r="67" spans="1:17">
      <c r="A67" s="232"/>
      <c r="B67" s="232">
        <f t="shared" si="14"/>
        <v>25.75</v>
      </c>
      <c r="C67" s="238">
        <f t="shared" si="15"/>
        <v>117647.05882352941</v>
      </c>
      <c r="D67" s="232">
        <v>51.5</v>
      </c>
      <c r="E67" s="238">
        <v>117647.05882352941</v>
      </c>
      <c r="F67" s="232">
        <f t="shared" si="16"/>
        <v>103</v>
      </c>
      <c r="G67" s="238">
        <f t="shared" si="17"/>
        <v>117647.05882352941</v>
      </c>
      <c r="H67" s="232">
        <f t="shared" si="18"/>
        <v>257.5</v>
      </c>
      <c r="I67" s="238">
        <f t="shared" si="19"/>
        <v>117647.05882352941</v>
      </c>
      <c r="J67" s="232">
        <f t="shared" si="20"/>
        <v>515</v>
      </c>
      <c r="K67" s="238">
        <f t="shared" si="21"/>
        <v>117647.05882352941</v>
      </c>
      <c r="L67" s="232">
        <f t="shared" si="22"/>
        <v>1030</v>
      </c>
      <c r="M67" s="238">
        <f t="shared" si="23"/>
        <v>117647.05882352941</v>
      </c>
      <c r="N67" s="232">
        <f t="shared" si="24"/>
        <v>1545</v>
      </c>
      <c r="O67" s="238">
        <f t="shared" si="25"/>
        <v>117647.05882352941</v>
      </c>
      <c r="P67" s="232">
        <f t="shared" si="26"/>
        <v>2575</v>
      </c>
      <c r="Q67" s="238">
        <f t="shared" si="27"/>
        <v>117647.05882352941</v>
      </c>
    </row>
    <row r="68" spans="1:17">
      <c r="A68" s="232"/>
      <c r="B68" s="232">
        <f t="shared" ref="B68:B99" si="28">D68*0.5</f>
        <v>25.65</v>
      </c>
      <c r="C68" s="238">
        <f t="shared" ref="C68:C99" si="29">E68</f>
        <v>222222.22222222222</v>
      </c>
      <c r="D68" s="232">
        <v>51.3</v>
      </c>
      <c r="E68" s="238">
        <v>222222.22222222222</v>
      </c>
      <c r="F68" s="232">
        <f t="shared" ref="F68:F99" si="30">D68*2</f>
        <v>102.6</v>
      </c>
      <c r="G68" s="238">
        <f t="shared" ref="G68:G99" si="31">E68</f>
        <v>222222.22222222222</v>
      </c>
      <c r="H68" s="232">
        <f t="shared" ref="H68:H99" si="32">D68*5</f>
        <v>256.5</v>
      </c>
      <c r="I68" s="238">
        <f t="shared" ref="I68:I99" si="33">E68</f>
        <v>222222.22222222222</v>
      </c>
      <c r="J68" s="232">
        <f t="shared" ref="J68:J99" si="34">D68*10</f>
        <v>513</v>
      </c>
      <c r="K68" s="238">
        <f t="shared" ref="K68:K99" si="35">E68</f>
        <v>222222.22222222222</v>
      </c>
      <c r="L68" s="232">
        <f t="shared" ref="L68:L99" si="36">D68*20</f>
        <v>1026</v>
      </c>
      <c r="M68" s="238">
        <f t="shared" ref="M68:M99" si="37">K68</f>
        <v>222222.22222222222</v>
      </c>
      <c r="N68" s="232">
        <f t="shared" ref="N68:N99" si="38">D68*30</f>
        <v>1539</v>
      </c>
      <c r="O68" s="238">
        <f t="shared" ref="O68:O99" si="39">M68</f>
        <v>222222.22222222222</v>
      </c>
      <c r="P68" s="232">
        <f t="shared" ref="P68:P99" si="40">D68*50</f>
        <v>2565</v>
      </c>
      <c r="Q68" s="238">
        <f t="shared" ref="Q68:Q99" si="41">O68</f>
        <v>222222.22222222222</v>
      </c>
    </row>
    <row r="69" spans="1:17">
      <c r="A69" s="232"/>
      <c r="B69" s="232">
        <f t="shared" si="28"/>
        <v>25.5</v>
      </c>
      <c r="C69" s="238">
        <f t="shared" si="29"/>
        <v>100000</v>
      </c>
      <c r="D69" s="232">
        <v>51</v>
      </c>
      <c r="E69" s="238">
        <v>100000</v>
      </c>
      <c r="F69" s="232">
        <f t="shared" si="30"/>
        <v>102</v>
      </c>
      <c r="G69" s="238">
        <f t="shared" si="31"/>
        <v>100000</v>
      </c>
      <c r="H69" s="232">
        <f t="shared" si="32"/>
        <v>255</v>
      </c>
      <c r="I69" s="238">
        <f t="shared" si="33"/>
        <v>100000</v>
      </c>
      <c r="J69" s="232">
        <f t="shared" si="34"/>
        <v>510</v>
      </c>
      <c r="K69" s="238">
        <f t="shared" si="35"/>
        <v>100000</v>
      </c>
      <c r="L69" s="232">
        <f t="shared" si="36"/>
        <v>1020</v>
      </c>
      <c r="M69" s="238">
        <f t="shared" si="37"/>
        <v>100000</v>
      </c>
      <c r="N69" s="232">
        <f t="shared" si="38"/>
        <v>1530</v>
      </c>
      <c r="O69" s="238">
        <f t="shared" si="39"/>
        <v>100000</v>
      </c>
      <c r="P69" s="232">
        <f t="shared" si="40"/>
        <v>2550</v>
      </c>
      <c r="Q69" s="238">
        <f t="shared" si="41"/>
        <v>100000</v>
      </c>
    </row>
    <row r="70" spans="1:17">
      <c r="A70" s="232"/>
      <c r="B70" s="232">
        <f t="shared" si="28"/>
        <v>25.3</v>
      </c>
      <c r="C70" s="238">
        <f t="shared" si="29"/>
        <v>666666.66666666663</v>
      </c>
      <c r="D70" s="232">
        <v>50.6</v>
      </c>
      <c r="E70" s="238">
        <v>666666.66666666663</v>
      </c>
      <c r="F70" s="232">
        <f t="shared" si="30"/>
        <v>101.2</v>
      </c>
      <c r="G70" s="238">
        <f t="shared" si="31"/>
        <v>666666.66666666663</v>
      </c>
      <c r="H70" s="232">
        <f t="shared" si="32"/>
        <v>253</v>
      </c>
      <c r="I70" s="238">
        <f t="shared" si="33"/>
        <v>666666.66666666663</v>
      </c>
      <c r="J70" s="232">
        <f t="shared" si="34"/>
        <v>506</v>
      </c>
      <c r="K70" s="238">
        <f t="shared" si="35"/>
        <v>666666.66666666663</v>
      </c>
      <c r="L70" s="232">
        <f t="shared" si="36"/>
        <v>1012</v>
      </c>
      <c r="M70" s="238">
        <f t="shared" si="37"/>
        <v>666666.66666666663</v>
      </c>
      <c r="N70" s="232">
        <f t="shared" si="38"/>
        <v>1518</v>
      </c>
      <c r="O70" s="238">
        <f t="shared" si="39"/>
        <v>666666.66666666663</v>
      </c>
      <c r="P70" s="232">
        <f t="shared" si="40"/>
        <v>2530</v>
      </c>
      <c r="Q70" s="238">
        <f t="shared" si="41"/>
        <v>666666.66666666663</v>
      </c>
    </row>
    <row r="71" spans="1:17">
      <c r="A71" s="232"/>
      <c r="B71" s="232">
        <f t="shared" si="28"/>
        <v>25</v>
      </c>
      <c r="C71" s="238">
        <f t="shared" si="29"/>
        <v>2610.9660574412533</v>
      </c>
      <c r="D71" s="232">
        <v>50</v>
      </c>
      <c r="E71" s="238">
        <v>2610.9660574412533</v>
      </c>
      <c r="F71" s="232">
        <f t="shared" si="30"/>
        <v>100</v>
      </c>
      <c r="G71" s="238">
        <f t="shared" si="31"/>
        <v>2610.9660574412533</v>
      </c>
      <c r="H71" s="232">
        <f t="shared" si="32"/>
        <v>250</v>
      </c>
      <c r="I71" s="238">
        <f t="shared" si="33"/>
        <v>2610.9660574412533</v>
      </c>
      <c r="J71" s="232">
        <f t="shared" si="34"/>
        <v>500</v>
      </c>
      <c r="K71" s="238">
        <f t="shared" si="35"/>
        <v>2610.9660574412533</v>
      </c>
      <c r="L71" s="232">
        <f t="shared" si="36"/>
        <v>1000</v>
      </c>
      <c r="M71" s="238">
        <f t="shared" si="37"/>
        <v>2610.9660574412533</v>
      </c>
      <c r="N71" s="232">
        <f t="shared" si="38"/>
        <v>1500</v>
      </c>
      <c r="O71" s="238">
        <f t="shared" si="39"/>
        <v>2610.9660574412533</v>
      </c>
      <c r="P71" s="232">
        <f t="shared" si="40"/>
        <v>2500</v>
      </c>
      <c r="Q71" s="238">
        <f t="shared" si="41"/>
        <v>2610.9660574412533</v>
      </c>
    </row>
    <row r="72" spans="1:17">
      <c r="A72" s="232"/>
      <c r="B72" s="232">
        <f t="shared" si="28"/>
        <v>24.65</v>
      </c>
      <c r="C72" s="238">
        <f t="shared" si="29"/>
        <v>222222.22222222222</v>
      </c>
      <c r="D72" s="232">
        <v>49.3</v>
      </c>
      <c r="E72" s="238">
        <v>222222.22222222222</v>
      </c>
      <c r="F72" s="232">
        <f t="shared" si="30"/>
        <v>98.6</v>
      </c>
      <c r="G72" s="238">
        <f t="shared" si="31"/>
        <v>222222.22222222222</v>
      </c>
      <c r="H72" s="232">
        <f t="shared" si="32"/>
        <v>246.5</v>
      </c>
      <c r="I72" s="238">
        <f t="shared" si="33"/>
        <v>222222.22222222222</v>
      </c>
      <c r="J72" s="232">
        <f t="shared" si="34"/>
        <v>493</v>
      </c>
      <c r="K72" s="238">
        <f t="shared" si="35"/>
        <v>222222.22222222222</v>
      </c>
      <c r="L72" s="232">
        <f t="shared" si="36"/>
        <v>986</v>
      </c>
      <c r="M72" s="238">
        <f t="shared" si="37"/>
        <v>222222.22222222222</v>
      </c>
      <c r="N72" s="232">
        <f t="shared" si="38"/>
        <v>1479</v>
      </c>
      <c r="O72" s="238">
        <f t="shared" si="39"/>
        <v>222222.22222222222</v>
      </c>
      <c r="P72" s="232">
        <f t="shared" si="40"/>
        <v>2465</v>
      </c>
      <c r="Q72" s="238">
        <f t="shared" si="41"/>
        <v>222222.22222222222</v>
      </c>
    </row>
    <row r="73" spans="1:17">
      <c r="A73" s="232"/>
      <c r="B73" s="232">
        <f t="shared" si="28"/>
        <v>24.55</v>
      </c>
      <c r="C73" s="238">
        <f t="shared" si="29"/>
        <v>111111.11111111111</v>
      </c>
      <c r="D73" s="232">
        <v>49.1</v>
      </c>
      <c r="E73" s="238">
        <v>111111.11111111111</v>
      </c>
      <c r="F73" s="232">
        <f t="shared" si="30"/>
        <v>98.2</v>
      </c>
      <c r="G73" s="238">
        <f t="shared" si="31"/>
        <v>111111.11111111111</v>
      </c>
      <c r="H73" s="232">
        <f t="shared" si="32"/>
        <v>245.5</v>
      </c>
      <c r="I73" s="238">
        <f t="shared" si="33"/>
        <v>111111.11111111111</v>
      </c>
      <c r="J73" s="232">
        <f t="shared" si="34"/>
        <v>491</v>
      </c>
      <c r="K73" s="238">
        <f t="shared" si="35"/>
        <v>111111.11111111111</v>
      </c>
      <c r="L73" s="232">
        <f t="shared" si="36"/>
        <v>982</v>
      </c>
      <c r="M73" s="238">
        <f t="shared" si="37"/>
        <v>111111.11111111111</v>
      </c>
      <c r="N73" s="232">
        <f t="shared" si="38"/>
        <v>1473</v>
      </c>
      <c r="O73" s="238">
        <f t="shared" si="39"/>
        <v>111111.11111111111</v>
      </c>
      <c r="P73" s="232">
        <f t="shared" si="40"/>
        <v>2455</v>
      </c>
      <c r="Q73" s="238">
        <f t="shared" si="41"/>
        <v>111111.11111111111</v>
      </c>
    </row>
    <row r="74" spans="1:17">
      <c r="A74" s="232"/>
      <c r="B74" s="232">
        <f t="shared" si="28"/>
        <v>24.5</v>
      </c>
      <c r="C74" s="238">
        <f t="shared" si="29"/>
        <v>222222.22222222222</v>
      </c>
      <c r="D74" s="232">
        <v>49</v>
      </c>
      <c r="E74" s="238">
        <v>222222.22222222222</v>
      </c>
      <c r="F74" s="232">
        <f t="shared" si="30"/>
        <v>98</v>
      </c>
      <c r="G74" s="238">
        <f t="shared" si="31"/>
        <v>222222.22222222222</v>
      </c>
      <c r="H74" s="232">
        <f t="shared" si="32"/>
        <v>245</v>
      </c>
      <c r="I74" s="238">
        <f t="shared" si="33"/>
        <v>222222.22222222222</v>
      </c>
      <c r="J74" s="232">
        <f t="shared" si="34"/>
        <v>490</v>
      </c>
      <c r="K74" s="238">
        <f t="shared" si="35"/>
        <v>222222.22222222222</v>
      </c>
      <c r="L74" s="232">
        <f t="shared" si="36"/>
        <v>980</v>
      </c>
      <c r="M74" s="238">
        <f t="shared" si="37"/>
        <v>222222.22222222222</v>
      </c>
      <c r="N74" s="232">
        <f t="shared" si="38"/>
        <v>1470</v>
      </c>
      <c r="O74" s="238">
        <f t="shared" si="39"/>
        <v>222222.22222222222</v>
      </c>
      <c r="P74" s="232">
        <f t="shared" si="40"/>
        <v>2450</v>
      </c>
      <c r="Q74" s="238">
        <f t="shared" si="41"/>
        <v>222222.22222222222</v>
      </c>
    </row>
    <row r="75" spans="1:17">
      <c r="A75" s="232"/>
      <c r="B75" s="232">
        <f t="shared" si="28"/>
        <v>24.45</v>
      </c>
      <c r="C75" s="238">
        <f t="shared" si="29"/>
        <v>20000</v>
      </c>
      <c r="D75" s="232">
        <v>48.9</v>
      </c>
      <c r="E75" s="238">
        <v>20000</v>
      </c>
      <c r="F75" s="232">
        <f t="shared" si="30"/>
        <v>97.8</v>
      </c>
      <c r="G75" s="238">
        <f t="shared" si="31"/>
        <v>20000</v>
      </c>
      <c r="H75" s="232">
        <f t="shared" si="32"/>
        <v>244.5</v>
      </c>
      <c r="I75" s="238">
        <f t="shared" si="33"/>
        <v>20000</v>
      </c>
      <c r="J75" s="232">
        <f t="shared" si="34"/>
        <v>489</v>
      </c>
      <c r="K75" s="238">
        <f t="shared" si="35"/>
        <v>20000</v>
      </c>
      <c r="L75" s="232">
        <f t="shared" si="36"/>
        <v>978</v>
      </c>
      <c r="M75" s="238">
        <f t="shared" si="37"/>
        <v>20000</v>
      </c>
      <c r="N75" s="232">
        <f t="shared" si="38"/>
        <v>1467</v>
      </c>
      <c r="O75" s="238">
        <f t="shared" si="39"/>
        <v>20000</v>
      </c>
      <c r="P75" s="232">
        <f t="shared" si="40"/>
        <v>2445</v>
      </c>
      <c r="Q75" s="238">
        <f t="shared" si="41"/>
        <v>20000</v>
      </c>
    </row>
    <row r="76" spans="1:17">
      <c r="A76" s="232"/>
      <c r="B76" s="232">
        <f t="shared" si="28"/>
        <v>24</v>
      </c>
      <c r="C76" s="238">
        <f t="shared" si="29"/>
        <v>10000</v>
      </c>
      <c r="D76" s="232">
        <v>48</v>
      </c>
      <c r="E76" s="238">
        <v>10000</v>
      </c>
      <c r="F76" s="232">
        <f t="shared" si="30"/>
        <v>96</v>
      </c>
      <c r="G76" s="238">
        <f t="shared" si="31"/>
        <v>10000</v>
      </c>
      <c r="H76" s="232">
        <f t="shared" si="32"/>
        <v>240</v>
      </c>
      <c r="I76" s="238">
        <f t="shared" si="33"/>
        <v>10000</v>
      </c>
      <c r="J76" s="232">
        <f t="shared" si="34"/>
        <v>480</v>
      </c>
      <c r="K76" s="238">
        <f t="shared" si="35"/>
        <v>10000</v>
      </c>
      <c r="L76" s="232">
        <f t="shared" si="36"/>
        <v>960</v>
      </c>
      <c r="M76" s="238">
        <f t="shared" si="37"/>
        <v>10000</v>
      </c>
      <c r="N76" s="232">
        <f t="shared" si="38"/>
        <v>1440</v>
      </c>
      <c r="O76" s="238">
        <f t="shared" si="39"/>
        <v>10000</v>
      </c>
      <c r="P76" s="232">
        <f t="shared" si="40"/>
        <v>2400</v>
      </c>
      <c r="Q76" s="238">
        <f t="shared" si="41"/>
        <v>10000</v>
      </c>
    </row>
    <row r="77" spans="1:17">
      <c r="A77" s="232"/>
      <c r="B77" s="232">
        <f t="shared" si="28"/>
        <v>23.5</v>
      </c>
      <c r="C77" s="238">
        <f t="shared" si="29"/>
        <v>13157.894736842105</v>
      </c>
      <c r="D77" s="232">
        <v>47</v>
      </c>
      <c r="E77" s="238">
        <v>13157.894736842105</v>
      </c>
      <c r="F77" s="232">
        <f t="shared" si="30"/>
        <v>94</v>
      </c>
      <c r="G77" s="238">
        <f t="shared" si="31"/>
        <v>13157.894736842105</v>
      </c>
      <c r="H77" s="232">
        <f t="shared" si="32"/>
        <v>235</v>
      </c>
      <c r="I77" s="238">
        <f t="shared" si="33"/>
        <v>13157.894736842105</v>
      </c>
      <c r="J77" s="232">
        <f t="shared" si="34"/>
        <v>470</v>
      </c>
      <c r="K77" s="238">
        <f t="shared" si="35"/>
        <v>13157.894736842105</v>
      </c>
      <c r="L77" s="232">
        <f t="shared" si="36"/>
        <v>940</v>
      </c>
      <c r="M77" s="238">
        <f t="shared" si="37"/>
        <v>13157.894736842105</v>
      </c>
      <c r="N77" s="232">
        <f t="shared" si="38"/>
        <v>1410</v>
      </c>
      <c r="O77" s="238">
        <f t="shared" si="39"/>
        <v>13157.894736842105</v>
      </c>
      <c r="P77" s="232">
        <f t="shared" si="40"/>
        <v>2350</v>
      </c>
      <c r="Q77" s="238">
        <f t="shared" si="41"/>
        <v>13157.894736842105</v>
      </c>
    </row>
    <row r="78" spans="1:17">
      <c r="A78" s="232"/>
      <c r="B78" s="232">
        <f t="shared" si="28"/>
        <v>23.45</v>
      </c>
      <c r="C78" s="238">
        <f t="shared" si="29"/>
        <v>20000</v>
      </c>
      <c r="D78" s="232">
        <v>46.9</v>
      </c>
      <c r="E78" s="238">
        <v>20000</v>
      </c>
      <c r="F78" s="232">
        <f t="shared" si="30"/>
        <v>93.8</v>
      </c>
      <c r="G78" s="238">
        <f t="shared" si="31"/>
        <v>20000</v>
      </c>
      <c r="H78" s="232">
        <f t="shared" si="32"/>
        <v>234.5</v>
      </c>
      <c r="I78" s="238">
        <f t="shared" si="33"/>
        <v>20000</v>
      </c>
      <c r="J78" s="232">
        <f t="shared" si="34"/>
        <v>469</v>
      </c>
      <c r="K78" s="238">
        <f t="shared" si="35"/>
        <v>20000</v>
      </c>
      <c r="L78" s="232">
        <f t="shared" si="36"/>
        <v>938</v>
      </c>
      <c r="M78" s="238">
        <f t="shared" si="37"/>
        <v>20000</v>
      </c>
      <c r="N78" s="232">
        <f t="shared" si="38"/>
        <v>1407</v>
      </c>
      <c r="O78" s="238">
        <f t="shared" si="39"/>
        <v>20000</v>
      </c>
      <c r="P78" s="232">
        <f t="shared" si="40"/>
        <v>2345</v>
      </c>
      <c r="Q78" s="238">
        <f t="shared" si="41"/>
        <v>20000</v>
      </c>
    </row>
    <row r="79" spans="1:17">
      <c r="A79" s="232"/>
      <c r="B79" s="232">
        <f t="shared" si="28"/>
        <v>23.2</v>
      </c>
      <c r="C79" s="238">
        <f t="shared" si="29"/>
        <v>200000</v>
      </c>
      <c r="D79" s="232">
        <v>46.4</v>
      </c>
      <c r="E79" s="238">
        <v>200000</v>
      </c>
      <c r="F79" s="232">
        <f t="shared" si="30"/>
        <v>92.8</v>
      </c>
      <c r="G79" s="238">
        <f t="shared" si="31"/>
        <v>200000</v>
      </c>
      <c r="H79" s="232">
        <f t="shared" si="32"/>
        <v>232</v>
      </c>
      <c r="I79" s="238">
        <f t="shared" si="33"/>
        <v>200000</v>
      </c>
      <c r="J79" s="232">
        <f t="shared" si="34"/>
        <v>464</v>
      </c>
      <c r="K79" s="238">
        <f t="shared" si="35"/>
        <v>200000</v>
      </c>
      <c r="L79" s="232">
        <f t="shared" si="36"/>
        <v>928</v>
      </c>
      <c r="M79" s="238">
        <f t="shared" si="37"/>
        <v>200000</v>
      </c>
      <c r="N79" s="232">
        <f t="shared" si="38"/>
        <v>1392</v>
      </c>
      <c r="O79" s="238">
        <f t="shared" si="39"/>
        <v>200000</v>
      </c>
      <c r="P79" s="232">
        <f t="shared" si="40"/>
        <v>2320</v>
      </c>
      <c r="Q79" s="238">
        <f t="shared" si="41"/>
        <v>200000</v>
      </c>
    </row>
    <row r="80" spans="1:17">
      <c r="A80" s="232"/>
      <c r="B80" s="232">
        <f t="shared" si="28"/>
        <v>22.8</v>
      </c>
      <c r="C80" s="238">
        <f t="shared" si="29"/>
        <v>40000</v>
      </c>
      <c r="D80" s="232">
        <v>45.6</v>
      </c>
      <c r="E80" s="238">
        <v>40000</v>
      </c>
      <c r="F80" s="232">
        <f t="shared" si="30"/>
        <v>91.2</v>
      </c>
      <c r="G80" s="238">
        <f t="shared" si="31"/>
        <v>40000</v>
      </c>
      <c r="H80" s="232">
        <f t="shared" si="32"/>
        <v>228</v>
      </c>
      <c r="I80" s="238">
        <f t="shared" si="33"/>
        <v>40000</v>
      </c>
      <c r="J80" s="232">
        <f t="shared" si="34"/>
        <v>456</v>
      </c>
      <c r="K80" s="238">
        <f t="shared" si="35"/>
        <v>40000</v>
      </c>
      <c r="L80" s="232">
        <f t="shared" si="36"/>
        <v>912</v>
      </c>
      <c r="M80" s="238">
        <f t="shared" si="37"/>
        <v>40000</v>
      </c>
      <c r="N80" s="232">
        <f t="shared" si="38"/>
        <v>1368</v>
      </c>
      <c r="O80" s="238">
        <f t="shared" si="39"/>
        <v>40000</v>
      </c>
      <c r="P80" s="232">
        <f t="shared" si="40"/>
        <v>2280</v>
      </c>
      <c r="Q80" s="238">
        <f t="shared" si="41"/>
        <v>40000</v>
      </c>
    </row>
    <row r="81" spans="1:17">
      <c r="A81" s="232"/>
      <c r="B81" s="232">
        <f t="shared" si="28"/>
        <v>22.5</v>
      </c>
      <c r="C81" s="238">
        <f t="shared" si="29"/>
        <v>13422.818791946309</v>
      </c>
      <c r="D81" s="232">
        <v>45</v>
      </c>
      <c r="E81" s="238">
        <v>13422.818791946309</v>
      </c>
      <c r="F81" s="232">
        <f t="shared" si="30"/>
        <v>90</v>
      </c>
      <c r="G81" s="238">
        <f t="shared" si="31"/>
        <v>13422.818791946309</v>
      </c>
      <c r="H81" s="232">
        <f t="shared" si="32"/>
        <v>225</v>
      </c>
      <c r="I81" s="238">
        <f t="shared" si="33"/>
        <v>13422.818791946309</v>
      </c>
      <c r="J81" s="232">
        <f t="shared" si="34"/>
        <v>450</v>
      </c>
      <c r="K81" s="238">
        <f t="shared" si="35"/>
        <v>13422.818791946309</v>
      </c>
      <c r="L81" s="232">
        <f t="shared" si="36"/>
        <v>900</v>
      </c>
      <c r="M81" s="238">
        <f t="shared" si="37"/>
        <v>13422.818791946309</v>
      </c>
      <c r="N81" s="232">
        <f t="shared" si="38"/>
        <v>1350</v>
      </c>
      <c r="O81" s="238">
        <f t="shared" si="39"/>
        <v>13422.818791946309</v>
      </c>
      <c r="P81" s="232">
        <f t="shared" si="40"/>
        <v>2250</v>
      </c>
      <c r="Q81" s="238">
        <f t="shared" si="41"/>
        <v>13422.818791946309</v>
      </c>
    </row>
    <row r="82" spans="1:17">
      <c r="A82" s="232"/>
      <c r="B82" s="232">
        <f t="shared" si="28"/>
        <v>22.45</v>
      </c>
      <c r="C82" s="238">
        <f t="shared" si="29"/>
        <v>200000</v>
      </c>
      <c r="D82" s="232">
        <v>44.9</v>
      </c>
      <c r="E82" s="238">
        <v>200000</v>
      </c>
      <c r="F82" s="232">
        <f t="shared" si="30"/>
        <v>89.8</v>
      </c>
      <c r="G82" s="238">
        <f t="shared" si="31"/>
        <v>200000</v>
      </c>
      <c r="H82" s="232">
        <f t="shared" si="32"/>
        <v>224.5</v>
      </c>
      <c r="I82" s="238">
        <f t="shared" si="33"/>
        <v>200000</v>
      </c>
      <c r="J82" s="232">
        <f t="shared" si="34"/>
        <v>449</v>
      </c>
      <c r="K82" s="238">
        <f t="shared" si="35"/>
        <v>200000</v>
      </c>
      <c r="L82" s="232">
        <f t="shared" si="36"/>
        <v>898</v>
      </c>
      <c r="M82" s="238">
        <f t="shared" si="37"/>
        <v>200000</v>
      </c>
      <c r="N82" s="232">
        <f t="shared" si="38"/>
        <v>1347</v>
      </c>
      <c r="O82" s="238">
        <f t="shared" si="39"/>
        <v>200000</v>
      </c>
      <c r="P82" s="232">
        <f t="shared" si="40"/>
        <v>2245</v>
      </c>
      <c r="Q82" s="238">
        <f t="shared" si="41"/>
        <v>200000</v>
      </c>
    </row>
    <row r="83" spans="1:17">
      <c r="A83" s="232"/>
      <c r="B83" s="232">
        <f t="shared" si="28"/>
        <v>22.05</v>
      </c>
      <c r="C83" s="238">
        <f t="shared" si="29"/>
        <v>17543.859649122805</v>
      </c>
      <c r="D83" s="232">
        <v>44.1</v>
      </c>
      <c r="E83" s="238">
        <v>17543.859649122805</v>
      </c>
      <c r="F83" s="232">
        <f t="shared" si="30"/>
        <v>88.2</v>
      </c>
      <c r="G83" s="238">
        <f t="shared" si="31"/>
        <v>17543.859649122805</v>
      </c>
      <c r="H83" s="232">
        <f t="shared" si="32"/>
        <v>220.5</v>
      </c>
      <c r="I83" s="238">
        <f t="shared" si="33"/>
        <v>17543.859649122805</v>
      </c>
      <c r="J83" s="232">
        <f t="shared" si="34"/>
        <v>441</v>
      </c>
      <c r="K83" s="238">
        <f t="shared" si="35"/>
        <v>17543.859649122805</v>
      </c>
      <c r="L83" s="232">
        <f t="shared" si="36"/>
        <v>882</v>
      </c>
      <c r="M83" s="238">
        <f t="shared" si="37"/>
        <v>17543.859649122805</v>
      </c>
      <c r="N83" s="232">
        <f t="shared" si="38"/>
        <v>1323</v>
      </c>
      <c r="O83" s="238">
        <f t="shared" si="39"/>
        <v>17543.859649122805</v>
      </c>
      <c r="P83" s="232">
        <f t="shared" si="40"/>
        <v>2205</v>
      </c>
      <c r="Q83" s="238">
        <f t="shared" si="41"/>
        <v>17543.859649122805</v>
      </c>
    </row>
    <row r="84" spans="1:17">
      <c r="A84" s="232"/>
      <c r="B84" s="232">
        <f t="shared" si="28"/>
        <v>22</v>
      </c>
      <c r="C84" s="238">
        <f t="shared" si="29"/>
        <v>18181.81818181818</v>
      </c>
      <c r="D84" s="232">
        <v>44</v>
      </c>
      <c r="E84" s="238">
        <v>18181.81818181818</v>
      </c>
      <c r="F84" s="232">
        <f t="shared" si="30"/>
        <v>88</v>
      </c>
      <c r="G84" s="238">
        <f t="shared" si="31"/>
        <v>18181.81818181818</v>
      </c>
      <c r="H84" s="232">
        <f t="shared" si="32"/>
        <v>220</v>
      </c>
      <c r="I84" s="238">
        <f t="shared" si="33"/>
        <v>18181.81818181818</v>
      </c>
      <c r="J84" s="232">
        <f t="shared" si="34"/>
        <v>440</v>
      </c>
      <c r="K84" s="238">
        <f t="shared" si="35"/>
        <v>18181.81818181818</v>
      </c>
      <c r="L84" s="232">
        <f t="shared" si="36"/>
        <v>880</v>
      </c>
      <c r="M84" s="238">
        <f t="shared" si="37"/>
        <v>18181.81818181818</v>
      </c>
      <c r="N84" s="232">
        <f t="shared" si="38"/>
        <v>1320</v>
      </c>
      <c r="O84" s="238">
        <f t="shared" si="39"/>
        <v>18181.81818181818</v>
      </c>
      <c r="P84" s="232">
        <f t="shared" si="40"/>
        <v>2200</v>
      </c>
      <c r="Q84" s="238">
        <f t="shared" si="41"/>
        <v>18181.81818181818</v>
      </c>
    </row>
    <row r="85" spans="1:17">
      <c r="A85" s="232"/>
      <c r="B85" s="232">
        <f t="shared" si="28"/>
        <v>21.7</v>
      </c>
      <c r="C85" s="238">
        <f t="shared" si="29"/>
        <v>181818.18181818182</v>
      </c>
      <c r="D85" s="232">
        <v>43.4</v>
      </c>
      <c r="E85" s="238">
        <v>181818.18181818182</v>
      </c>
      <c r="F85" s="232">
        <f t="shared" si="30"/>
        <v>86.8</v>
      </c>
      <c r="G85" s="238">
        <f t="shared" si="31"/>
        <v>181818.18181818182</v>
      </c>
      <c r="H85" s="232">
        <f t="shared" si="32"/>
        <v>217</v>
      </c>
      <c r="I85" s="238">
        <f t="shared" si="33"/>
        <v>181818.18181818182</v>
      </c>
      <c r="J85" s="232">
        <f t="shared" si="34"/>
        <v>434</v>
      </c>
      <c r="K85" s="238">
        <f t="shared" si="35"/>
        <v>181818.18181818182</v>
      </c>
      <c r="L85" s="232">
        <f t="shared" si="36"/>
        <v>868</v>
      </c>
      <c r="M85" s="238">
        <f t="shared" si="37"/>
        <v>181818.18181818182</v>
      </c>
      <c r="N85" s="232">
        <f t="shared" si="38"/>
        <v>1302</v>
      </c>
      <c r="O85" s="238">
        <f t="shared" si="39"/>
        <v>181818.18181818182</v>
      </c>
      <c r="P85" s="232">
        <f t="shared" si="40"/>
        <v>2170</v>
      </c>
      <c r="Q85" s="238">
        <f t="shared" si="41"/>
        <v>181818.18181818182</v>
      </c>
    </row>
    <row r="86" spans="1:17">
      <c r="A86" s="232"/>
      <c r="B86" s="232">
        <f t="shared" si="28"/>
        <v>21.5</v>
      </c>
      <c r="C86" s="238">
        <f t="shared" si="29"/>
        <v>71428.571428571435</v>
      </c>
      <c r="D86" s="232">
        <v>43</v>
      </c>
      <c r="E86" s="238">
        <v>71428.571428571435</v>
      </c>
      <c r="F86" s="232">
        <f t="shared" si="30"/>
        <v>86</v>
      </c>
      <c r="G86" s="238">
        <f t="shared" si="31"/>
        <v>71428.571428571435</v>
      </c>
      <c r="H86" s="232">
        <f t="shared" si="32"/>
        <v>215</v>
      </c>
      <c r="I86" s="238">
        <f t="shared" si="33"/>
        <v>71428.571428571435</v>
      </c>
      <c r="J86" s="232">
        <f t="shared" si="34"/>
        <v>430</v>
      </c>
      <c r="K86" s="238">
        <f t="shared" si="35"/>
        <v>71428.571428571435</v>
      </c>
      <c r="L86" s="232">
        <f t="shared" si="36"/>
        <v>860</v>
      </c>
      <c r="M86" s="238">
        <f t="shared" si="37"/>
        <v>71428.571428571435</v>
      </c>
      <c r="N86" s="232">
        <f t="shared" si="38"/>
        <v>1290</v>
      </c>
      <c r="O86" s="238">
        <f t="shared" si="39"/>
        <v>71428.571428571435</v>
      </c>
      <c r="P86" s="232">
        <f t="shared" si="40"/>
        <v>2150</v>
      </c>
      <c r="Q86" s="238">
        <f t="shared" si="41"/>
        <v>71428.571428571435</v>
      </c>
    </row>
    <row r="87" spans="1:17">
      <c r="A87" s="232"/>
      <c r="B87" s="232">
        <f t="shared" si="28"/>
        <v>21</v>
      </c>
      <c r="C87" s="238">
        <f t="shared" si="29"/>
        <v>7490.63670411985</v>
      </c>
      <c r="D87" s="232">
        <v>42</v>
      </c>
      <c r="E87" s="238">
        <v>7490.63670411985</v>
      </c>
      <c r="F87" s="232">
        <f t="shared" si="30"/>
        <v>84</v>
      </c>
      <c r="G87" s="238">
        <f t="shared" si="31"/>
        <v>7490.63670411985</v>
      </c>
      <c r="H87" s="232">
        <f t="shared" si="32"/>
        <v>210</v>
      </c>
      <c r="I87" s="238">
        <f t="shared" si="33"/>
        <v>7490.63670411985</v>
      </c>
      <c r="J87" s="232">
        <f t="shared" si="34"/>
        <v>420</v>
      </c>
      <c r="K87" s="238">
        <f t="shared" si="35"/>
        <v>7490.63670411985</v>
      </c>
      <c r="L87" s="232">
        <f t="shared" si="36"/>
        <v>840</v>
      </c>
      <c r="M87" s="238">
        <f t="shared" si="37"/>
        <v>7490.63670411985</v>
      </c>
      <c r="N87" s="232">
        <f t="shared" si="38"/>
        <v>1260</v>
      </c>
      <c r="O87" s="238">
        <f t="shared" si="39"/>
        <v>7490.63670411985</v>
      </c>
      <c r="P87" s="232">
        <f t="shared" si="40"/>
        <v>2100</v>
      </c>
      <c r="Q87" s="238">
        <f t="shared" si="41"/>
        <v>7490.63670411985</v>
      </c>
    </row>
    <row r="88" spans="1:17">
      <c r="A88" s="232"/>
      <c r="B88" s="232">
        <f t="shared" si="28"/>
        <v>20.95</v>
      </c>
      <c r="C88" s="238">
        <f t="shared" si="29"/>
        <v>20000</v>
      </c>
      <c r="D88" s="232">
        <v>41.9</v>
      </c>
      <c r="E88" s="238">
        <v>20000</v>
      </c>
      <c r="F88" s="232">
        <f t="shared" si="30"/>
        <v>83.8</v>
      </c>
      <c r="G88" s="238">
        <f t="shared" si="31"/>
        <v>20000</v>
      </c>
      <c r="H88" s="232">
        <f t="shared" si="32"/>
        <v>209.5</v>
      </c>
      <c r="I88" s="238">
        <f t="shared" si="33"/>
        <v>20000</v>
      </c>
      <c r="J88" s="232">
        <f t="shared" si="34"/>
        <v>419</v>
      </c>
      <c r="K88" s="238">
        <f t="shared" si="35"/>
        <v>20000</v>
      </c>
      <c r="L88" s="232">
        <f t="shared" si="36"/>
        <v>838</v>
      </c>
      <c r="M88" s="238">
        <f t="shared" si="37"/>
        <v>20000</v>
      </c>
      <c r="N88" s="232">
        <f t="shared" si="38"/>
        <v>1257</v>
      </c>
      <c r="O88" s="238">
        <f t="shared" si="39"/>
        <v>20000</v>
      </c>
      <c r="P88" s="232">
        <f t="shared" si="40"/>
        <v>2095</v>
      </c>
      <c r="Q88" s="238">
        <f t="shared" si="41"/>
        <v>20000</v>
      </c>
    </row>
    <row r="89" spans="1:17">
      <c r="A89" s="232"/>
      <c r="B89" s="232">
        <f t="shared" si="28"/>
        <v>20.5</v>
      </c>
      <c r="C89" s="238">
        <f t="shared" si="29"/>
        <v>95238.095238095237</v>
      </c>
      <c r="D89" s="232">
        <v>41</v>
      </c>
      <c r="E89" s="238">
        <v>95238.095238095237</v>
      </c>
      <c r="F89" s="232">
        <f t="shared" si="30"/>
        <v>82</v>
      </c>
      <c r="G89" s="238">
        <f t="shared" si="31"/>
        <v>95238.095238095237</v>
      </c>
      <c r="H89" s="232">
        <f t="shared" si="32"/>
        <v>205</v>
      </c>
      <c r="I89" s="238">
        <f t="shared" si="33"/>
        <v>95238.095238095237</v>
      </c>
      <c r="J89" s="232">
        <f t="shared" si="34"/>
        <v>410</v>
      </c>
      <c r="K89" s="238">
        <f t="shared" si="35"/>
        <v>95238.095238095237</v>
      </c>
      <c r="L89" s="232">
        <f t="shared" si="36"/>
        <v>820</v>
      </c>
      <c r="M89" s="238">
        <f t="shared" si="37"/>
        <v>95238.095238095237</v>
      </c>
      <c r="N89" s="232">
        <f t="shared" si="38"/>
        <v>1230</v>
      </c>
      <c r="O89" s="238">
        <f t="shared" si="39"/>
        <v>95238.095238095237</v>
      </c>
      <c r="P89" s="232">
        <f t="shared" si="40"/>
        <v>2050</v>
      </c>
      <c r="Q89" s="238">
        <f t="shared" si="41"/>
        <v>95238.095238095237</v>
      </c>
    </row>
    <row r="90" spans="1:17">
      <c r="A90" s="232"/>
      <c r="B90" s="232">
        <f t="shared" si="28"/>
        <v>20.45</v>
      </c>
      <c r="C90" s="238">
        <f t="shared" si="29"/>
        <v>20000</v>
      </c>
      <c r="D90" s="232">
        <v>40.9</v>
      </c>
      <c r="E90" s="238">
        <v>20000</v>
      </c>
      <c r="F90" s="232">
        <f t="shared" si="30"/>
        <v>81.8</v>
      </c>
      <c r="G90" s="238">
        <f t="shared" si="31"/>
        <v>20000</v>
      </c>
      <c r="H90" s="232">
        <f t="shared" si="32"/>
        <v>204.5</v>
      </c>
      <c r="I90" s="238">
        <f t="shared" si="33"/>
        <v>20000</v>
      </c>
      <c r="J90" s="232">
        <f t="shared" si="34"/>
        <v>409</v>
      </c>
      <c r="K90" s="238">
        <f t="shared" si="35"/>
        <v>20000</v>
      </c>
      <c r="L90" s="232">
        <f t="shared" si="36"/>
        <v>818</v>
      </c>
      <c r="M90" s="238">
        <f t="shared" si="37"/>
        <v>20000</v>
      </c>
      <c r="N90" s="232">
        <f t="shared" si="38"/>
        <v>1227</v>
      </c>
      <c r="O90" s="238">
        <f t="shared" si="39"/>
        <v>20000</v>
      </c>
      <c r="P90" s="232">
        <f t="shared" si="40"/>
        <v>2045</v>
      </c>
      <c r="Q90" s="238">
        <f t="shared" si="41"/>
        <v>20000</v>
      </c>
    </row>
    <row r="91" spans="1:17">
      <c r="A91" s="232"/>
      <c r="B91" s="232">
        <f t="shared" si="28"/>
        <v>20.3</v>
      </c>
      <c r="C91" s="238">
        <f t="shared" si="29"/>
        <v>166666.66666666666</v>
      </c>
      <c r="D91" s="232">
        <v>40.6</v>
      </c>
      <c r="E91" s="238">
        <v>166666.66666666666</v>
      </c>
      <c r="F91" s="232">
        <f t="shared" si="30"/>
        <v>81.2</v>
      </c>
      <c r="G91" s="238">
        <f t="shared" si="31"/>
        <v>166666.66666666666</v>
      </c>
      <c r="H91" s="232">
        <f t="shared" si="32"/>
        <v>203</v>
      </c>
      <c r="I91" s="238">
        <f t="shared" si="33"/>
        <v>166666.66666666666</v>
      </c>
      <c r="J91" s="232">
        <f t="shared" si="34"/>
        <v>406</v>
      </c>
      <c r="K91" s="238">
        <f t="shared" si="35"/>
        <v>166666.66666666666</v>
      </c>
      <c r="L91" s="232">
        <f t="shared" si="36"/>
        <v>812</v>
      </c>
      <c r="M91" s="238">
        <f t="shared" si="37"/>
        <v>166666.66666666666</v>
      </c>
      <c r="N91" s="232">
        <f t="shared" si="38"/>
        <v>1218</v>
      </c>
      <c r="O91" s="238">
        <f t="shared" si="39"/>
        <v>166666.66666666666</v>
      </c>
      <c r="P91" s="232">
        <f t="shared" si="40"/>
        <v>2030</v>
      </c>
      <c r="Q91" s="238">
        <f t="shared" si="41"/>
        <v>166666.66666666666</v>
      </c>
    </row>
    <row r="92" spans="1:17">
      <c r="A92" s="232"/>
      <c r="B92" s="232">
        <f t="shared" si="28"/>
        <v>20</v>
      </c>
      <c r="C92" s="238">
        <f t="shared" si="29"/>
        <v>3025.7186081694404</v>
      </c>
      <c r="D92" s="232">
        <v>40</v>
      </c>
      <c r="E92" s="238">
        <v>3025.7186081694404</v>
      </c>
      <c r="F92" s="232">
        <f t="shared" si="30"/>
        <v>80</v>
      </c>
      <c r="G92" s="238">
        <f t="shared" si="31"/>
        <v>3025.7186081694404</v>
      </c>
      <c r="H92" s="232">
        <f t="shared" si="32"/>
        <v>200</v>
      </c>
      <c r="I92" s="238">
        <f t="shared" si="33"/>
        <v>3025.7186081694404</v>
      </c>
      <c r="J92" s="232">
        <f t="shared" si="34"/>
        <v>400</v>
      </c>
      <c r="K92" s="238">
        <f t="shared" si="35"/>
        <v>3025.7186081694404</v>
      </c>
      <c r="L92" s="232">
        <f t="shared" si="36"/>
        <v>800</v>
      </c>
      <c r="M92" s="238">
        <f t="shared" si="37"/>
        <v>3025.7186081694404</v>
      </c>
      <c r="N92" s="232">
        <f t="shared" si="38"/>
        <v>1200</v>
      </c>
      <c r="O92" s="238">
        <f t="shared" si="39"/>
        <v>3025.7186081694404</v>
      </c>
      <c r="P92" s="232">
        <f t="shared" si="40"/>
        <v>2000</v>
      </c>
      <c r="Q92" s="238">
        <f t="shared" si="41"/>
        <v>3025.7186081694404</v>
      </c>
    </row>
    <row r="93" spans="1:17">
      <c r="A93" s="232"/>
      <c r="B93" s="232">
        <f t="shared" si="28"/>
        <v>19.649999999999999</v>
      </c>
      <c r="C93" s="238">
        <f t="shared" si="29"/>
        <v>20000</v>
      </c>
      <c r="D93" s="232">
        <v>39.299999999999997</v>
      </c>
      <c r="E93" s="238">
        <v>20000</v>
      </c>
      <c r="F93" s="232">
        <f t="shared" si="30"/>
        <v>78.599999999999994</v>
      </c>
      <c r="G93" s="238">
        <f t="shared" si="31"/>
        <v>20000</v>
      </c>
      <c r="H93" s="232">
        <f t="shared" si="32"/>
        <v>196.5</v>
      </c>
      <c r="I93" s="238">
        <f t="shared" si="33"/>
        <v>20000</v>
      </c>
      <c r="J93" s="232">
        <f t="shared" si="34"/>
        <v>393</v>
      </c>
      <c r="K93" s="238">
        <f t="shared" si="35"/>
        <v>20000</v>
      </c>
      <c r="L93" s="232">
        <f t="shared" si="36"/>
        <v>786</v>
      </c>
      <c r="M93" s="238">
        <f t="shared" si="37"/>
        <v>20000</v>
      </c>
      <c r="N93" s="232">
        <f t="shared" si="38"/>
        <v>1179</v>
      </c>
      <c r="O93" s="238">
        <f t="shared" si="39"/>
        <v>20000</v>
      </c>
      <c r="P93" s="232">
        <f t="shared" si="40"/>
        <v>1964.9999999999998</v>
      </c>
      <c r="Q93" s="238">
        <f t="shared" si="41"/>
        <v>20000</v>
      </c>
    </row>
    <row r="94" spans="1:17">
      <c r="A94" s="232"/>
      <c r="B94" s="232">
        <f t="shared" si="28"/>
        <v>19.5</v>
      </c>
      <c r="C94" s="238">
        <f t="shared" si="29"/>
        <v>10000</v>
      </c>
      <c r="D94" s="232">
        <v>39</v>
      </c>
      <c r="E94" s="238">
        <v>10000</v>
      </c>
      <c r="F94" s="232">
        <f t="shared" si="30"/>
        <v>78</v>
      </c>
      <c r="G94" s="238">
        <f t="shared" si="31"/>
        <v>10000</v>
      </c>
      <c r="H94" s="232">
        <f t="shared" si="32"/>
        <v>195</v>
      </c>
      <c r="I94" s="238">
        <f t="shared" si="33"/>
        <v>10000</v>
      </c>
      <c r="J94" s="232">
        <f t="shared" si="34"/>
        <v>390</v>
      </c>
      <c r="K94" s="238">
        <f t="shared" si="35"/>
        <v>10000</v>
      </c>
      <c r="L94" s="232">
        <f t="shared" si="36"/>
        <v>780</v>
      </c>
      <c r="M94" s="238">
        <f t="shared" si="37"/>
        <v>10000</v>
      </c>
      <c r="N94" s="232">
        <f t="shared" si="38"/>
        <v>1170</v>
      </c>
      <c r="O94" s="238">
        <f t="shared" si="39"/>
        <v>10000</v>
      </c>
      <c r="P94" s="232">
        <f t="shared" si="40"/>
        <v>1950</v>
      </c>
      <c r="Q94" s="238">
        <f t="shared" si="41"/>
        <v>10000</v>
      </c>
    </row>
    <row r="95" spans="1:17">
      <c r="A95" s="232"/>
      <c r="B95" s="232">
        <f t="shared" si="28"/>
        <v>19.3</v>
      </c>
      <c r="C95" s="238">
        <f t="shared" si="29"/>
        <v>10000</v>
      </c>
      <c r="D95" s="232">
        <v>38.6</v>
      </c>
      <c r="E95" s="238">
        <v>10000</v>
      </c>
      <c r="F95" s="232">
        <f t="shared" si="30"/>
        <v>77.2</v>
      </c>
      <c r="G95" s="238">
        <f t="shared" si="31"/>
        <v>10000</v>
      </c>
      <c r="H95" s="232">
        <f t="shared" si="32"/>
        <v>193</v>
      </c>
      <c r="I95" s="238">
        <f t="shared" si="33"/>
        <v>10000</v>
      </c>
      <c r="J95" s="232">
        <f t="shared" si="34"/>
        <v>386</v>
      </c>
      <c r="K95" s="238">
        <f t="shared" si="35"/>
        <v>10000</v>
      </c>
      <c r="L95" s="232">
        <f t="shared" si="36"/>
        <v>772</v>
      </c>
      <c r="M95" s="238">
        <f t="shared" si="37"/>
        <v>10000</v>
      </c>
      <c r="N95" s="232">
        <f t="shared" si="38"/>
        <v>1158</v>
      </c>
      <c r="O95" s="238">
        <f t="shared" si="39"/>
        <v>10000</v>
      </c>
      <c r="P95" s="232">
        <f t="shared" si="40"/>
        <v>1930</v>
      </c>
      <c r="Q95" s="238">
        <f t="shared" si="41"/>
        <v>10000</v>
      </c>
    </row>
    <row r="96" spans="1:17">
      <c r="A96" s="232"/>
      <c r="B96" s="232">
        <f t="shared" si="28"/>
        <v>18.649999999999999</v>
      </c>
      <c r="C96" s="238">
        <f t="shared" si="29"/>
        <v>15384.615384615385</v>
      </c>
      <c r="D96" s="232">
        <v>37.299999999999997</v>
      </c>
      <c r="E96" s="238">
        <v>15384.615384615385</v>
      </c>
      <c r="F96" s="232">
        <f t="shared" si="30"/>
        <v>74.599999999999994</v>
      </c>
      <c r="G96" s="238">
        <f t="shared" si="31"/>
        <v>15384.615384615385</v>
      </c>
      <c r="H96" s="232">
        <f t="shared" si="32"/>
        <v>186.5</v>
      </c>
      <c r="I96" s="238">
        <f t="shared" si="33"/>
        <v>15384.615384615385</v>
      </c>
      <c r="J96" s="232">
        <f t="shared" si="34"/>
        <v>373</v>
      </c>
      <c r="K96" s="238">
        <f t="shared" si="35"/>
        <v>15384.615384615385</v>
      </c>
      <c r="L96" s="232">
        <f t="shared" si="36"/>
        <v>746</v>
      </c>
      <c r="M96" s="238">
        <f t="shared" si="37"/>
        <v>15384.615384615385</v>
      </c>
      <c r="N96" s="232">
        <f t="shared" si="38"/>
        <v>1119</v>
      </c>
      <c r="O96" s="238">
        <f t="shared" si="39"/>
        <v>15384.615384615385</v>
      </c>
      <c r="P96" s="232">
        <f t="shared" si="40"/>
        <v>1864.9999999999998</v>
      </c>
      <c r="Q96" s="238">
        <f t="shared" si="41"/>
        <v>15384.615384615385</v>
      </c>
    </row>
    <row r="97" spans="1:17">
      <c r="A97" s="232"/>
      <c r="B97" s="232">
        <f t="shared" si="28"/>
        <v>18.600000000000001</v>
      </c>
      <c r="C97" s="238">
        <f t="shared" si="29"/>
        <v>117647.05882352941</v>
      </c>
      <c r="D97" s="232">
        <v>37.200000000000003</v>
      </c>
      <c r="E97" s="238">
        <v>117647.05882352941</v>
      </c>
      <c r="F97" s="232">
        <f t="shared" si="30"/>
        <v>74.400000000000006</v>
      </c>
      <c r="G97" s="238">
        <f t="shared" si="31"/>
        <v>117647.05882352941</v>
      </c>
      <c r="H97" s="232">
        <f t="shared" si="32"/>
        <v>186</v>
      </c>
      <c r="I97" s="238">
        <f t="shared" si="33"/>
        <v>117647.05882352941</v>
      </c>
      <c r="J97" s="232">
        <f t="shared" si="34"/>
        <v>372</v>
      </c>
      <c r="K97" s="238">
        <f t="shared" si="35"/>
        <v>117647.05882352941</v>
      </c>
      <c r="L97" s="232">
        <f t="shared" si="36"/>
        <v>744</v>
      </c>
      <c r="M97" s="238">
        <f t="shared" si="37"/>
        <v>117647.05882352941</v>
      </c>
      <c r="N97" s="232">
        <f t="shared" si="38"/>
        <v>1116</v>
      </c>
      <c r="O97" s="238">
        <f t="shared" si="39"/>
        <v>117647.05882352941</v>
      </c>
      <c r="P97" s="232">
        <f t="shared" si="40"/>
        <v>1860.0000000000002</v>
      </c>
      <c r="Q97" s="238">
        <f t="shared" si="41"/>
        <v>117647.05882352941</v>
      </c>
    </row>
    <row r="98" spans="1:17">
      <c r="A98" s="232"/>
      <c r="B98" s="232">
        <f t="shared" si="28"/>
        <v>18.5</v>
      </c>
      <c r="C98" s="238">
        <f t="shared" si="29"/>
        <v>2430.1336573511544</v>
      </c>
      <c r="D98" s="232">
        <v>37</v>
      </c>
      <c r="E98" s="238">
        <v>2430.1336573511544</v>
      </c>
      <c r="F98" s="232">
        <f t="shared" si="30"/>
        <v>74</v>
      </c>
      <c r="G98" s="238">
        <f t="shared" si="31"/>
        <v>2430.1336573511544</v>
      </c>
      <c r="H98" s="232">
        <f t="shared" si="32"/>
        <v>185</v>
      </c>
      <c r="I98" s="238">
        <f t="shared" si="33"/>
        <v>2430.1336573511544</v>
      </c>
      <c r="J98" s="232">
        <f t="shared" si="34"/>
        <v>370</v>
      </c>
      <c r="K98" s="238">
        <f t="shared" si="35"/>
        <v>2430.1336573511544</v>
      </c>
      <c r="L98" s="232">
        <f t="shared" si="36"/>
        <v>740</v>
      </c>
      <c r="M98" s="238">
        <f t="shared" si="37"/>
        <v>2430.1336573511544</v>
      </c>
      <c r="N98" s="232">
        <f t="shared" si="38"/>
        <v>1110</v>
      </c>
      <c r="O98" s="238">
        <f t="shared" si="39"/>
        <v>2430.1336573511544</v>
      </c>
      <c r="P98" s="232">
        <f t="shared" si="40"/>
        <v>1850</v>
      </c>
      <c r="Q98" s="238">
        <f t="shared" si="41"/>
        <v>2430.1336573511544</v>
      </c>
    </row>
    <row r="99" spans="1:17">
      <c r="A99" s="232"/>
      <c r="B99" s="232">
        <f t="shared" si="28"/>
        <v>18</v>
      </c>
      <c r="C99" s="238">
        <f t="shared" si="29"/>
        <v>153846.15384615384</v>
      </c>
      <c r="D99" s="232">
        <v>36</v>
      </c>
      <c r="E99" s="238">
        <v>153846.15384615384</v>
      </c>
      <c r="F99" s="232">
        <f t="shared" si="30"/>
        <v>72</v>
      </c>
      <c r="G99" s="238">
        <f t="shared" si="31"/>
        <v>153846.15384615384</v>
      </c>
      <c r="H99" s="232">
        <f t="shared" si="32"/>
        <v>180</v>
      </c>
      <c r="I99" s="238">
        <f t="shared" si="33"/>
        <v>153846.15384615384</v>
      </c>
      <c r="J99" s="232">
        <f t="shared" si="34"/>
        <v>360</v>
      </c>
      <c r="K99" s="238">
        <f t="shared" si="35"/>
        <v>153846.15384615384</v>
      </c>
      <c r="L99" s="232">
        <f t="shared" si="36"/>
        <v>720</v>
      </c>
      <c r="M99" s="238">
        <f t="shared" si="37"/>
        <v>153846.15384615384</v>
      </c>
      <c r="N99" s="232">
        <f t="shared" si="38"/>
        <v>1080</v>
      </c>
      <c r="O99" s="238">
        <f t="shared" si="39"/>
        <v>153846.15384615384</v>
      </c>
      <c r="P99" s="232">
        <f t="shared" si="40"/>
        <v>1800</v>
      </c>
      <c r="Q99" s="238">
        <f t="shared" si="41"/>
        <v>153846.15384615384</v>
      </c>
    </row>
    <row r="100" spans="1:17">
      <c r="A100" s="232"/>
      <c r="B100" s="232">
        <f t="shared" ref="B100:B131" si="42">D100*0.5</f>
        <v>17.7</v>
      </c>
      <c r="C100" s="238">
        <f t="shared" ref="C100:C131" si="43">E100</f>
        <v>20000</v>
      </c>
      <c r="D100" s="232">
        <v>35.4</v>
      </c>
      <c r="E100" s="238">
        <v>20000</v>
      </c>
      <c r="F100" s="232">
        <f t="shared" ref="F100:F131" si="44">D100*2</f>
        <v>70.8</v>
      </c>
      <c r="G100" s="238">
        <f t="shared" ref="G100:G131" si="45">E100</f>
        <v>20000</v>
      </c>
      <c r="H100" s="232">
        <f t="shared" ref="H100:H131" si="46">D100*5</f>
        <v>177</v>
      </c>
      <c r="I100" s="238">
        <f t="shared" ref="I100:I131" si="47">E100</f>
        <v>20000</v>
      </c>
      <c r="J100" s="232">
        <f t="shared" ref="J100:J131" si="48">D100*10</f>
        <v>354</v>
      </c>
      <c r="K100" s="238">
        <f t="shared" ref="K100:K131" si="49">E100</f>
        <v>20000</v>
      </c>
      <c r="L100" s="232">
        <f t="shared" ref="L100:L131" si="50">D100*20</f>
        <v>708</v>
      </c>
      <c r="M100" s="238">
        <f t="shared" ref="M100:M131" si="51">K100</f>
        <v>20000</v>
      </c>
      <c r="N100" s="232">
        <f t="shared" ref="N100:N131" si="52">D100*30</f>
        <v>1062</v>
      </c>
      <c r="O100" s="238">
        <f t="shared" ref="O100:O131" si="53">M100</f>
        <v>20000</v>
      </c>
      <c r="P100" s="232">
        <f t="shared" ref="P100:P131" si="54">D100*50</f>
        <v>1770</v>
      </c>
      <c r="Q100" s="238">
        <f t="shared" ref="Q100:Q131" si="55">O100</f>
        <v>20000</v>
      </c>
    </row>
    <row r="101" spans="1:17">
      <c r="A101" s="232"/>
      <c r="B101" s="232">
        <f t="shared" si="42"/>
        <v>17.649999999999999</v>
      </c>
      <c r="C101" s="238">
        <f t="shared" si="43"/>
        <v>20000</v>
      </c>
      <c r="D101" s="232">
        <v>35.299999999999997</v>
      </c>
      <c r="E101" s="238">
        <v>20000</v>
      </c>
      <c r="F101" s="232">
        <f t="shared" si="44"/>
        <v>70.599999999999994</v>
      </c>
      <c r="G101" s="238">
        <f t="shared" si="45"/>
        <v>20000</v>
      </c>
      <c r="H101" s="232">
        <f t="shared" si="46"/>
        <v>176.5</v>
      </c>
      <c r="I101" s="238">
        <f t="shared" si="47"/>
        <v>20000</v>
      </c>
      <c r="J101" s="232">
        <f t="shared" si="48"/>
        <v>353</v>
      </c>
      <c r="K101" s="238">
        <f t="shared" si="49"/>
        <v>20000</v>
      </c>
      <c r="L101" s="232">
        <f t="shared" si="50"/>
        <v>706</v>
      </c>
      <c r="M101" s="238">
        <f t="shared" si="51"/>
        <v>20000</v>
      </c>
      <c r="N101" s="232">
        <f t="shared" si="52"/>
        <v>1059</v>
      </c>
      <c r="O101" s="238">
        <f t="shared" si="53"/>
        <v>20000</v>
      </c>
      <c r="P101" s="232">
        <f t="shared" si="54"/>
        <v>1764.9999999999998</v>
      </c>
      <c r="Q101" s="238">
        <f t="shared" si="55"/>
        <v>20000</v>
      </c>
    </row>
    <row r="102" spans="1:17">
      <c r="A102" s="232"/>
      <c r="B102" s="232">
        <f t="shared" si="42"/>
        <v>17.55</v>
      </c>
      <c r="C102" s="238">
        <f t="shared" si="43"/>
        <v>20000</v>
      </c>
      <c r="D102" s="232">
        <v>35.1</v>
      </c>
      <c r="E102" s="238">
        <v>20000</v>
      </c>
      <c r="F102" s="232">
        <f t="shared" si="44"/>
        <v>70.2</v>
      </c>
      <c r="G102" s="238">
        <f t="shared" si="45"/>
        <v>20000</v>
      </c>
      <c r="H102" s="232">
        <f t="shared" si="46"/>
        <v>175.5</v>
      </c>
      <c r="I102" s="238">
        <f t="shared" si="47"/>
        <v>20000</v>
      </c>
      <c r="J102" s="232">
        <f t="shared" si="48"/>
        <v>351</v>
      </c>
      <c r="K102" s="238">
        <f t="shared" si="49"/>
        <v>20000</v>
      </c>
      <c r="L102" s="232">
        <f t="shared" si="50"/>
        <v>702</v>
      </c>
      <c r="M102" s="238">
        <f t="shared" si="51"/>
        <v>20000</v>
      </c>
      <c r="N102" s="232">
        <f t="shared" si="52"/>
        <v>1053</v>
      </c>
      <c r="O102" s="238">
        <f t="shared" si="53"/>
        <v>20000</v>
      </c>
      <c r="P102" s="232">
        <f t="shared" si="54"/>
        <v>1755</v>
      </c>
      <c r="Q102" s="238">
        <f t="shared" si="55"/>
        <v>20000</v>
      </c>
    </row>
    <row r="103" spans="1:17">
      <c r="A103" s="232"/>
      <c r="B103" s="232">
        <f t="shared" si="42"/>
        <v>17.5</v>
      </c>
      <c r="C103" s="238">
        <f t="shared" si="43"/>
        <v>3616.6365280289333</v>
      </c>
      <c r="D103" s="232">
        <v>35</v>
      </c>
      <c r="E103" s="238">
        <v>3616.6365280289333</v>
      </c>
      <c r="F103" s="232">
        <f t="shared" si="44"/>
        <v>70</v>
      </c>
      <c r="G103" s="238">
        <f t="shared" si="45"/>
        <v>3616.6365280289333</v>
      </c>
      <c r="H103" s="232">
        <f t="shared" si="46"/>
        <v>175</v>
      </c>
      <c r="I103" s="238">
        <f t="shared" si="47"/>
        <v>3616.6365280289333</v>
      </c>
      <c r="J103" s="232">
        <f t="shared" si="48"/>
        <v>350</v>
      </c>
      <c r="K103" s="238">
        <f t="shared" si="49"/>
        <v>3616.6365280289333</v>
      </c>
      <c r="L103" s="232">
        <f t="shared" si="50"/>
        <v>700</v>
      </c>
      <c r="M103" s="238">
        <f t="shared" si="51"/>
        <v>3616.6365280289333</v>
      </c>
      <c r="N103" s="232">
        <f t="shared" si="52"/>
        <v>1050</v>
      </c>
      <c r="O103" s="238">
        <f t="shared" si="53"/>
        <v>3616.6365280289333</v>
      </c>
      <c r="P103" s="232">
        <f t="shared" si="54"/>
        <v>1750</v>
      </c>
      <c r="Q103" s="238">
        <f t="shared" si="55"/>
        <v>3616.6365280289333</v>
      </c>
    </row>
    <row r="104" spans="1:17">
      <c r="A104" s="232"/>
      <c r="B104" s="232">
        <f t="shared" si="42"/>
        <v>17.45</v>
      </c>
      <c r="C104" s="238">
        <f t="shared" si="43"/>
        <v>20000</v>
      </c>
      <c r="D104" s="232">
        <v>34.9</v>
      </c>
      <c r="E104" s="238">
        <v>20000</v>
      </c>
      <c r="F104" s="232">
        <f t="shared" si="44"/>
        <v>69.8</v>
      </c>
      <c r="G104" s="238">
        <f t="shared" si="45"/>
        <v>20000</v>
      </c>
      <c r="H104" s="232">
        <f t="shared" si="46"/>
        <v>174.5</v>
      </c>
      <c r="I104" s="238">
        <f t="shared" si="47"/>
        <v>20000</v>
      </c>
      <c r="J104" s="232">
        <f t="shared" si="48"/>
        <v>349</v>
      </c>
      <c r="K104" s="238">
        <f t="shared" si="49"/>
        <v>20000</v>
      </c>
      <c r="L104" s="232">
        <f t="shared" si="50"/>
        <v>698</v>
      </c>
      <c r="M104" s="238">
        <f t="shared" si="51"/>
        <v>20000</v>
      </c>
      <c r="N104" s="232">
        <f t="shared" si="52"/>
        <v>1047</v>
      </c>
      <c r="O104" s="238">
        <f t="shared" si="53"/>
        <v>20000</v>
      </c>
      <c r="P104" s="232">
        <f t="shared" si="54"/>
        <v>1745</v>
      </c>
      <c r="Q104" s="238">
        <f t="shared" si="55"/>
        <v>20000</v>
      </c>
    </row>
    <row r="105" spans="1:17">
      <c r="A105" s="232"/>
      <c r="B105" s="232">
        <f t="shared" si="42"/>
        <v>17.350000000000001</v>
      </c>
      <c r="C105" s="238">
        <f t="shared" si="43"/>
        <v>40000</v>
      </c>
      <c r="D105" s="232">
        <v>34.700000000000003</v>
      </c>
      <c r="E105" s="238">
        <v>40000</v>
      </c>
      <c r="F105" s="232">
        <f t="shared" si="44"/>
        <v>69.400000000000006</v>
      </c>
      <c r="G105" s="238">
        <f t="shared" si="45"/>
        <v>40000</v>
      </c>
      <c r="H105" s="232">
        <f t="shared" si="46"/>
        <v>173.5</v>
      </c>
      <c r="I105" s="238">
        <f t="shared" si="47"/>
        <v>40000</v>
      </c>
      <c r="J105" s="232">
        <f t="shared" si="48"/>
        <v>347</v>
      </c>
      <c r="K105" s="238">
        <f t="shared" si="49"/>
        <v>40000</v>
      </c>
      <c r="L105" s="232">
        <f t="shared" si="50"/>
        <v>694</v>
      </c>
      <c r="M105" s="238">
        <f t="shared" si="51"/>
        <v>40000</v>
      </c>
      <c r="N105" s="232">
        <f t="shared" si="52"/>
        <v>1041</v>
      </c>
      <c r="O105" s="238">
        <f t="shared" si="53"/>
        <v>40000</v>
      </c>
      <c r="P105" s="232">
        <f t="shared" si="54"/>
        <v>1735.0000000000002</v>
      </c>
      <c r="Q105" s="238">
        <f t="shared" si="55"/>
        <v>40000</v>
      </c>
    </row>
    <row r="106" spans="1:17">
      <c r="A106" s="232"/>
      <c r="B106" s="232">
        <f t="shared" si="42"/>
        <v>17</v>
      </c>
      <c r="C106" s="238">
        <f t="shared" si="43"/>
        <v>125000</v>
      </c>
      <c r="D106" s="232">
        <v>34</v>
      </c>
      <c r="E106" s="238">
        <v>125000</v>
      </c>
      <c r="F106" s="232">
        <f t="shared" si="44"/>
        <v>68</v>
      </c>
      <c r="G106" s="238">
        <f t="shared" si="45"/>
        <v>125000</v>
      </c>
      <c r="H106" s="232">
        <f t="shared" si="46"/>
        <v>170</v>
      </c>
      <c r="I106" s="238">
        <f t="shared" si="47"/>
        <v>125000</v>
      </c>
      <c r="J106" s="232">
        <f t="shared" si="48"/>
        <v>340</v>
      </c>
      <c r="K106" s="238">
        <f t="shared" si="49"/>
        <v>125000</v>
      </c>
      <c r="L106" s="232">
        <f t="shared" si="50"/>
        <v>680</v>
      </c>
      <c r="M106" s="238">
        <f t="shared" si="51"/>
        <v>125000</v>
      </c>
      <c r="N106" s="232">
        <f t="shared" si="52"/>
        <v>1020</v>
      </c>
      <c r="O106" s="238">
        <f t="shared" si="53"/>
        <v>125000</v>
      </c>
      <c r="P106" s="232">
        <f t="shared" si="54"/>
        <v>1700</v>
      </c>
      <c r="Q106" s="238">
        <f t="shared" si="55"/>
        <v>125000</v>
      </c>
    </row>
    <row r="107" spans="1:17">
      <c r="A107" s="232"/>
      <c r="B107" s="232">
        <f t="shared" si="42"/>
        <v>16.8</v>
      </c>
      <c r="C107" s="238">
        <f t="shared" si="43"/>
        <v>40000</v>
      </c>
      <c r="D107" s="232">
        <v>33.6</v>
      </c>
      <c r="E107" s="238">
        <v>40000</v>
      </c>
      <c r="F107" s="232">
        <f t="shared" si="44"/>
        <v>67.2</v>
      </c>
      <c r="G107" s="238">
        <f t="shared" si="45"/>
        <v>40000</v>
      </c>
      <c r="H107" s="232">
        <f t="shared" si="46"/>
        <v>168</v>
      </c>
      <c r="I107" s="238">
        <f t="shared" si="47"/>
        <v>40000</v>
      </c>
      <c r="J107" s="232">
        <f t="shared" si="48"/>
        <v>336</v>
      </c>
      <c r="K107" s="238">
        <f t="shared" si="49"/>
        <v>40000</v>
      </c>
      <c r="L107" s="232">
        <f t="shared" si="50"/>
        <v>672</v>
      </c>
      <c r="M107" s="238">
        <f t="shared" si="51"/>
        <v>40000</v>
      </c>
      <c r="N107" s="232">
        <f t="shared" si="52"/>
        <v>1008</v>
      </c>
      <c r="O107" s="238">
        <f t="shared" si="53"/>
        <v>40000</v>
      </c>
      <c r="P107" s="232">
        <f t="shared" si="54"/>
        <v>1680</v>
      </c>
      <c r="Q107" s="238">
        <f t="shared" si="55"/>
        <v>40000</v>
      </c>
    </row>
    <row r="108" spans="1:17">
      <c r="A108" s="232"/>
      <c r="B108" s="232">
        <f t="shared" si="42"/>
        <v>16.649999999999999</v>
      </c>
      <c r="C108" s="238">
        <f t="shared" si="43"/>
        <v>20000</v>
      </c>
      <c r="D108" s="232">
        <v>33.299999999999997</v>
      </c>
      <c r="E108" s="238">
        <v>20000</v>
      </c>
      <c r="F108" s="232">
        <f t="shared" si="44"/>
        <v>66.599999999999994</v>
      </c>
      <c r="G108" s="238">
        <f t="shared" si="45"/>
        <v>20000</v>
      </c>
      <c r="H108" s="232">
        <f t="shared" si="46"/>
        <v>166.5</v>
      </c>
      <c r="I108" s="238">
        <f t="shared" si="47"/>
        <v>20000</v>
      </c>
      <c r="J108" s="232">
        <f t="shared" si="48"/>
        <v>333</v>
      </c>
      <c r="K108" s="238">
        <f t="shared" si="49"/>
        <v>20000</v>
      </c>
      <c r="L108" s="232">
        <f t="shared" si="50"/>
        <v>666</v>
      </c>
      <c r="M108" s="238">
        <f t="shared" si="51"/>
        <v>20000</v>
      </c>
      <c r="N108" s="232">
        <f t="shared" si="52"/>
        <v>998.99999999999989</v>
      </c>
      <c r="O108" s="238">
        <f t="shared" si="53"/>
        <v>20000</v>
      </c>
      <c r="P108" s="232">
        <f t="shared" si="54"/>
        <v>1664.9999999999998</v>
      </c>
      <c r="Q108" s="238">
        <f t="shared" si="55"/>
        <v>20000</v>
      </c>
    </row>
    <row r="109" spans="1:17">
      <c r="A109" s="232"/>
      <c r="B109" s="232">
        <f t="shared" si="42"/>
        <v>16.600000000000001</v>
      </c>
      <c r="C109" s="238">
        <f t="shared" si="43"/>
        <v>40000</v>
      </c>
      <c r="D109" s="232">
        <v>33.200000000000003</v>
      </c>
      <c r="E109" s="238">
        <v>40000</v>
      </c>
      <c r="F109" s="232">
        <f t="shared" si="44"/>
        <v>66.400000000000006</v>
      </c>
      <c r="G109" s="238">
        <f t="shared" si="45"/>
        <v>40000</v>
      </c>
      <c r="H109" s="232">
        <f t="shared" si="46"/>
        <v>166</v>
      </c>
      <c r="I109" s="238">
        <f t="shared" si="47"/>
        <v>40000</v>
      </c>
      <c r="J109" s="232">
        <f t="shared" si="48"/>
        <v>332</v>
      </c>
      <c r="K109" s="238">
        <f t="shared" si="49"/>
        <v>40000</v>
      </c>
      <c r="L109" s="232">
        <f t="shared" si="50"/>
        <v>664</v>
      </c>
      <c r="M109" s="238">
        <f t="shared" si="51"/>
        <v>40000</v>
      </c>
      <c r="N109" s="232">
        <f t="shared" si="52"/>
        <v>996.00000000000011</v>
      </c>
      <c r="O109" s="238">
        <f t="shared" si="53"/>
        <v>40000</v>
      </c>
      <c r="P109" s="232">
        <f t="shared" si="54"/>
        <v>1660.0000000000002</v>
      </c>
      <c r="Q109" s="238">
        <f t="shared" si="55"/>
        <v>40000</v>
      </c>
    </row>
    <row r="110" spans="1:17">
      <c r="A110" s="232"/>
      <c r="B110" s="232">
        <f t="shared" si="42"/>
        <v>16.25</v>
      </c>
      <c r="C110" s="238">
        <f t="shared" si="43"/>
        <v>7936.5079365079364</v>
      </c>
      <c r="D110" s="232">
        <v>32.5</v>
      </c>
      <c r="E110" s="238">
        <v>7936.5079365079364</v>
      </c>
      <c r="F110" s="232">
        <f t="shared" si="44"/>
        <v>65</v>
      </c>
      <c r="G110" s="238">
        <f t="shared" si="45"/>
        <v>7936.5079365079364</v>
      </c>
      <c r="H110" s="232">
        <f t="shared" si="46"/>
        <v>162.5</v>
      </c>
      <c r="I110" s="238">
        <f t="shared" si="47"/>
        <v>7936.5079365079364</v>
      </c>
      <c r="J110" s="232">
        <f t="shared" si="48"/>
        <v>325</v>
      </c>
      <c r="K110" s="238">
        <f t="shared" si="49"/>
        <v>7936.5079365079364</v>
      </c>
      <c r="L110" s="232">
        <f t="shared" si="50"/>
        <v>650</v>
      </c>
      <c r="M110" s="238">
        <f t="shared" si="51"/>
        <v>7936.5079365079364</v>
      </c>
      <c r="N110" s="232">
        <f t="shared" si="52"/>
        <v>975</v>
      </c>
      <c r="O110" s="238">
        <f t="shared" si="53"/>
        <v>7936.5079365079364</v>
      </c>
      <c r="P110" s="232">
        <f t="shared" si="54"/>
        <v>1625</v>
      </c>
      <c r="Q110" s="238">
        <f t="shared" si="55"/>
        <v>7936.5079365079364</v>
      </c>
    </row>
    <row r="111" spans="1:17">
      <c r="A111" s="232"/>
      <c r="B111" s="232">
        <f t="shared" si="42"/>
        <v>16</v>
      </c>
      <c r="C111" s="238">
        <f t="shared" si="43"/>
        <v>6349.2063492063489</v>
      </c>
      <c r="D111" s="232">
        <v>32</v>
      </c>
      <c r="E111" s="238">
        <v>6349.2063492063489</v>
      </c>
      <c r="F111" s="232">
        <f t="shared" si="44"/>
        <v>64</v>
      </c>
      <c r="G111" s="238">
        <f t="shared" si="45"/>
        <v>6349.2063492063489</v>
      </c>
      <c r="H111" s="232">
        <f t="shared" si="46"/>
        <v>160</v>
      </c>
      <c r="I111" s="238">
        <f t="shared" si="47"/>
        <v>6349.2063492063489</v>
      </c>
      <c r="J111" s="232">
        <f t="shared" si="48"/>
        <v>320</v>
      </c>
      <c r="K111" s="238">
        <f t="shared" si="49"/>
        <v>6349.2063492063489</v>
      </c>
      <c r="L111" s="232">
        <f t="shared" si="50"/>
        <v>640</v>
      </c>
      <c r="M111" s="238">
        <f t="shared" si="51"/>
        <v>6349.2063492063489</v>
      </c>
      <c r="N111" s="232">
        <f t="shared" si="52"/>
        <v>960</v>
      </c>
      <c r="O111" s="238">
        <f t="shared" si="53"/>
        <v>6349.2063492063489</v>
      </c>
      <c r="P111" s="232">
        <f t="shared" si="54"/>
        <v>1600</v>
      </c>
      <c r="Q111" s="238">
        <f t="shared" si="55"/>
        <v>6349.2063492063489</v>
      </c>
    </row>
    <row r="112" spans="1:17">
      <c r="A112" s="232"/>
      <c r="B112" s="232">
        <f t="shared" si="42"/>
        <v>15.75</v>
      </c>
      <c r="C112" s="238">
        <f t="shared" si="43"/>
        <v>13333.333333333334</v>
      </c>
      <c r="D112" s="232">
        <v>31.5</v>
      </c>
      <c r="E112" s="238">
        <v>13333.333333333334</v>
      </c>
      <c r="F112" s="232">
        <f t="shared" si="44"/>
        <v>63</v>
      </c>
      <c r="G112" s="238">
        <f t="shared" si="45"/>
        <v>13333.333333333334</v>
      </c>
      <c r="H112" s="232">
        <f t="shared" si="46"/>
        <v>157.5</v>
      </c>
      <c r="I112" s="238">
        <f t="shared" si="47"/>
        <v>13333.333333333334</v>
      </c>
      <c r="J112" s="232">
        <f t="shared" si="48"/>
        <v>315</v>
      </c>
      <c r="K112" s="238">
        <f t="shared" si="49"/>
        <v>13333.333333333334</v>
      </c>
      <c r="L112" s="232">
        <f t="shared" si="50"/>
        <v>630</v>
      </c>
      <c r="M112" s="238">
        <f t="shared" si="51"/>
        <v>13333.333333333334</v>
      </c>
      <c r="N112" s="232">
        <f t="shared" si="52"/>
        <v>945</v>
      </c>
      <c r="O112" s="238">
        <f t="shared" si="53"/>
        <v>13333.333333333334</v>
      </c>
      <c r="P112" s="232">
        <f t="shared" si="54"/>
        <v>1575</v>
      </c>
      <c r="Q112" s="238">
        <f t="shared" si="55"/>
        <v>13333.333333333334</v>
      </c>
    </row>
    <row r="113" spans="1:17">
      <c r="A113" s="232"/>
      <c r="B113" s="232">
        <f t="shared" si="42"/>
        <v>15.65</v>
      </c>
      <c r="C113" s="238">
        <f t="shared" si="43"/>
        <v>40000</v>
      </c>
      <c r="D113" s="232">
        <v>31.3</v>
      </c>
      <c r="E113" s="238">
        <v>40000</v>
      </c>
      <c r="F113" s="232">
        <f t="shared" si="44"/>
        <v>62.6</v>
      </c>
      <c r="G113" s="238">
        <f t="shared" si="45"/>
        <v>40000</v>
      </c>
      <c r="H113" s="232">
        <f t="shared" si="46"/>
        <v>156.5</v>
      </c>
      <c r="I113" s="238">
        <f t="shared" si="47"/>
        <v>40000</v>
      </c>
      <c r="J113" s="232">
        <f t="shared" si="48"/>
        <v>313</v>
      </c>
      <c r="K113" s="238">
        <f t="shared" si="49"/>
        <v>40000</v>
      </c>
      <c r="L113" s="232">
        <f t="shared" si="50"/>
        <v>626</v>
      </c>
      <c r="M113" s="238">
        <f t="shared" si="51"/>
        <v>40000</v>
      </c>
      <c r="N113" s="232">
        <f t="shared" si="52"/>
        <v>939</v>
      </c>
      <c r="O113" s="238">
        <f t="shared" si="53"/>
        <v>40000</v>
      </c>
      <c r="P113" s="232">
        <f t="shared" si="54"/>
        <v>1565</v>
      </c>
      <c r="Q113" s="238">
        <f t="shared" si="55"/>
        <v>40000</v>
      </c>
    </row>
    <row r="114" spans="1:17">
      <c r="A114" s="232"/>
      <c r="B114" s="232">
        <f t="shared" si="42"/>
        <v>15.5</v>
      </c>
      <c r="C114" s="238">
        <f t="shared" si="43"/>
        <v>10000</v>
      </c>
      <c r="D114" s="232">
        <v>31</v>
      </c>
      <c r="E114" s="238">
        <v>10000</v>
      </c>
      <c r="F114" s="232">
        <f t="shared" si="44"/>
        <v>62</v>
      </c>
      <c r="G114" s="238">
        <f t="shared" si="45"/>
        <v>10000</v>
      </c>
      <c r="H114" s="232">
        <f t="shared" si="46"/>
        <v>155</v>
      </c>
      <c r="I114" s="238">
        <f t="shared" si="47"/>
        <v>10000</v>
      </c>
      <c r="J114" s="232">
        <f t="shared" si="48"/>
        <v>310</v>
      </c>
      <c r="K114" s="238">
        <f t="shared" si="49"/>
        <v>10000</v>
      </c>
      <c r="L114" s="232">
        <f t="shared" si="50"/>
        <v>620</v>
      </c>
      <c r="M114" s="238">
        <f t="shared" si="51"/>
        <v>10000</v>
      </c>
      <c r="N114" s="232">
        <f t="shared" si="52"/>
        <v>930</v>
      </c>
      <c r="O114" s="238">
        <f t="shared" si="53"/>
        <v>10000</v>
      </c>
      <c r="P114" s="232">
        <f t="shared" si="54"/>
        <v>1550</v>
      </c>
      <c r="Q114" s="238">
        <f t="shared" si="55"/>
        <v>10000</v>
      </c>
    </row>
    <row r="115" spans="1:17">
      <c r="A115" s="232"/>
      <c r="B115" s="232">
        <f t="shared" si="42"/>
        <v>15.3</v>
      </c>
      <c r="C115" s="238">
        <f t="shared" si="43"/>
        <v>20000</v>
      </c>
      <c r="D115" s="232">
        <v>30.6</v>
      </c>
      <c r="E115" s="238">
        <v>20000</v>
      </c>
      <c r="F115" s="232">
        <f t="shared" si="44"/>
        <v>61.2</v>
      </c>
      <c r="G115" s="238">
        <f t="shared" si="45"/>
        <v>20000</v>
      </c>
      <c r="H115" s="232">
        <f t="shared" si="46"/>
        <v>153</v>
      </c>
      <c r="I115" s="238">
        <f t="shared" si="47"/>
        <v>20000</v>
      </c>
      <c r="J115" s="232">
        <f t="shared" si="48"/>
        <v>306</v>
      </c>
      <c r="K115" s="238">
        <f t="shared" si="49"/>
        <v>20000</v>
      </c>
      <c r="L115" s="232">
        <f t="shared" si="50"/>
        <v>612</v>
      </c>
      <c r="M115" s="238">
        <f t="shared" si="51"/>
        <v>20000</v>
      </c>
      <c r="N115" s="232">
        <f t="shared" si="52"/>
        <v>918</v>
      </c>
      <c r="O115" s="238">
        <f t="shared" si="53"/>
        <v>20000</v>
      </c>
      <c r="P115" s="232">
        <f t="shared" si="54"/>
        <v>1530</v>
      </c>
      <c r="Q115" s="238">
        <f t="shared" si="55"/>
        <v>20000</v>
      </c>
    </row>
    <row r="116" spans="1:17">
      <c r="A116" s="232"/>
      <c r="B116" s="232">
        <f t="shared" si="42"/>
        <v>15.25</v>
      </c>
      <c r="C116" s="238">
        <f t="shared" si="43"/>
        <v>40000</v>
      </c>
      <c r="D116" s="232">
        <v>30.5</v>
      </c>
      <c r="E116" s="238">
        <v>40000</v>
      </c>
      <c r="F116" s="232">
        <f t="shared" si="44"/>
        <v>61</v>
      </c>
      <c r="G116" s="238">
        <f t="shared" si="45"/>
        <v>40000</v>
      </c>
      <c r="H116" s="232">
        <f t="shared" si="46"/>
        <v>152.5</v>
      </c>
      <c r="I116" s="238">
        <f t="shared" si="47"/>
        <v>40000</v>
      </c>
      <c r="J116" s="232">
        <f t="shared" si="48"/>
        <v>305</v>
      </c>
      <c r="K116" s="238">
        <f t="shared" si="49"/>
        <v>40000</v>
      </c>
      <c r="L116" s="232">
        <f t="shared" si="50"/>
        <v>610</v>
      </c>
      <c r="M116" s="238">
        <f t="shared" si="51"/>
        <v>40000</v>
      </c>
      <c r="N116" s="232">
        <f t="shared" si="52"/>
        <v>915</v>
      </c>
      <c r="O116" s="238">
        <f t="shared" si="53"/>
        <v>40000</v>
      </c>
      <c r="P116" s="232">
        <f t="shared" si="54"/>
        <v>1525</v>
      </c>
      <c r="Q116" s="238">
        <f t="shared" si="55"/>
        <v>40000</v>
      </c>
    </row>
    <row r="117" spans="1:17">
      <c r="B117" s="232">
        <f t="shared" si="42"/>
        <v>15.2</v>
      </c>
      <c r="C117" s="238">
        <f t="shared" si="43"/>
        <v>40000</v>
      </c>
      <c r="D117" s="232">
        <v>30.4</v>
      </c>
      <c r="E117" s="238">
        <v>40000</v>
      </c>
      <c r="F117" s="232">
        <f t="shared" si="44"/>
        <v>60.8</v>
      </c>
      <c r="G117" s="238">
        <f t="shared" si="45"/>
        <v>40000</v>
      </c>
      <c r="H117" s="232">
        <f t="shared" si="46"/>
        <v>152</v>
      </c>
      <c r="I117" s="238">
        <f t="shared" si="47"/>
        <v>40000</v>
      </c>
      <c r="J117" s="232">
        <f t="shared" si="48"/>
        <v>304</v>
      </c>
      <c r="K117" s="238">
        <f t="shared" si="49"/>
        <v>40000</v>
      </c>
      <c r="L117" s="232">
        <f t="shared" si="50"/>
        <v>608</v>
      </c>
      <c r="M117" s="238">
        <f t="shared" si="51"/>
        <v>40000</v>
      </c>
      <c r="N117" s="232">
        <f t="shared" si="52"/>
        <v>912</v>
      </c>
      <c r="O117" s="238">
        <f t="shared" si="53"/>
        <v>40000</v>
      </c>
      <c r="P117" s="232">
        <f t="shared" si="54"/>
        <v>1520</v>
      </c>
      <c r="Q117" s="238">
        <f t="shared" si="55"/>
        <v>40000</v>
      </c>
    </row>
    <row r="118" spans="1:17">
      <c r="B118" s="232">
        <f t="shared" si="42"/>
        <v>15.15</v>
      </c>
      <c r="C118" s="238">
        <f t="shared" si="43"/>
        <v>40000</v>
      </c>
      <c r="D118" s="232">
        <v>30.3</v>
      </c>
      <c r="E118" s="238">
        <v>40000</v>
      </c>
      <c r="F118" s="232">
        <f t="shared" si="44"/>
        <v>60.6</v>
      </c>
      <c r="G118" s="238">
        <f t="shared" si="45"/>
        <v>40000</v>
      </c>
      <c r="H118" s="232">
        <f t="shared" si="46"/>
        <v>151.5</v>
      </c>
      <c r="I118" s="238">
        <f t="shared" si="47"/>
        <v>40000</v>
      </c>
      <c r="J118" s="232">
        <f t="shared" si="48"/>
        <v>303</v>
      </c>
      <c r="K118" s="238">
        <f t="shared" si="49"/>
        <v>40000</v>
      </c>
      <c r="L118" s="232">
        <f t="shared" si="50"/>
        <v>606</v>
      </c>
      <c r="M118" s="238">
        <f t="shared" si="51"/>
        <v>40000</v>
      </c>
      <c r="N118" s="232">
        <f t="shared" si="52"/>
        <v>909</v>
      </c>
      <c r="O118" s="238">
        <f t="shared" si="53"/>
        <v>40000</v>
      </c>
      <c r="P118" s="232">
        <f t="shared" si="54"/>
        <v>1515</v>
      </c>
      <c r="Q118" s="238">
        <f t="shared" si="55"/>
        <v>40000</v>
      </c>
    </row>
    <row r="119" spans="1:17" s="302" customFormat="1" ht="13.8" customHeight="1">
      <c r="B119" s="303">
        <f t="shared" si="42"/>
        <v>15</v>
      </c>
      <c r="C119" s="238">
        <f t="shared" si="43"/>
        <v>1261.0340479192939</v>
      </c>
      <c r="D119" s="303">
        <v>30</v>
      </c>
      <c r="E119" s="238">
        <v>1261.0340479192939</v>
      </c>
      <c r="F119" s="303">
        <f t="shared" si="44"/>
        <v>60</v>
      </c>
      <c r="G119" s="238">
        <f t="shared" si="45"/>
        <v>1261.0340479192939</v>
      </c>
      <c r="H119" s="303">
        <f t="shared" si="46"/>
        <v>150</v>
      </c>
      <c r="I119" s="238">
        <f t="shared" si="47"/>
        <v>1261.0340479192939</v>
      </c>
      <c r="J119" s="303">
        <f t="shared" si="48"/>
        <v>300</v>
      </c>
      <c r="K119" s="238">
        <f t="shared" si="49"/>
        <v>1261.0340479192939</v>
      </c>
      <c r="L119" s="303">
        <f t="shared" si="50"/>
        <v>600</v>
      </c>
      <c r="M119" s="238">
        <f t="shared" si="51"/>
        <v>1261.0340479192939</v>
      </c>
      <c r="N119" s="303">
        <f t="shared" si="52"/>
        <v>900</v>
      </c>
      <c r="O119" s="238">
        <f t="shared" si="53"/>
        <v>1261.0340479192939</v>
      </c>
      <c r="P119" s="303">
        <f t="shared" si="54"/>
        <v>1500</v>
      </c>
      <c r="Q119" s="238">
        <f t="shared" si="55"/>
        <v>1261.0340479192939</v>
      </c>
    </row>
    <row r="120" spans="1:17" s="302" customFormat="1" ht="13.8" customHeight="1">
      <c r="B120" s="303">
        <f t="shared" si="42"/>
        <v>14.75</v>
      </c>
      <c r="C120" s="238">
        <f t="shared" si="43"/>
        <v>40000</v>
      </c>
      <c r="D120" s="303">
        <v>29.5</v>
      </c>
      <c r="E120" s="238">
        <v>40000</v>
      </c>
      <c r="F120" s="303">
        <f t="shared" si="44"/>
        <v>59</v>
      </c>
      <c r="G120" s="238">
        <f t="shared" si="45"/>
        <v>40000</v>
      </c>
      <c r="H120" s="303">
        <f t="shared" si="46"/>
        <v>147.5</v>
      </c>
      <c r="I120" s="238">
        <f t="shared" si="47"/>
        <v>40000</v>
      </c>
      <c r="J120" s="303">
        <f t="shared" si="48"/>
        <v>295</v>
      </c>
      <c r="K120" s="238">
        <f t="shared" si="49"/>
        <v>40000</v>
      </c>
      <c r="L120" s="303">
        <f t="shared" si="50"/>
        <v>590</v>
      </c>
      <c r="M120" s="238">
        <f t="shared" si="51"/>
        <v>40000</v>
      </c>
      <c r="N120" s="303">
        <f t="shared" si="52"/>
        <v>885</v>
      </c>
      <c r="O120" s="238">
        <f t="shared" si="53"/>
        <v>40000</v>
      </c>
      <c r="P120" s="303">
        <f t="shared" si="54"/>
        <v>1475</v>
      </c>
      <c r="Q120" s="238">
        <f t="shared" si="55"/>
        <v>40000</v>
      </c>
    </row>
    <row r="121" spans="1:17" s="302" customFormat="1" ht="13.8" customHeight="1">
      <c r="B121" s="303">
        <f t="shared" si="42"/>
        <v>14.6</v>
      </c>
      <c r="C121" s="238">
        <f t="shared" si="43"/>
        <v>20000</v>
      </c>
      <c r="D121" s="303">
        <v>29.2</v>
      </c>
      <c r="E121" s="238">
        <v>20000</v>
      </c>
      <c r="F121" s="303">
        <f t="shared" si="44"/>
        <v>58.4</v>
      </c>
      <c r="G121" s="238">
        <f t="shared" si="45"/>
        <v>20000</v>
      </c>
      <c r="H121" s="303">
        <f t="shared" si="46"/>
        <v>146</v>
      </c>
      <c r="I121" s="238">
        <f t="shared" si="47"/>
        <v>20000</v>
      </c>
      <c r="J121" s="303">
        <f t="shared" si="48"/>
        <v>292</v>
      </c>
      <c r="K121" s="238">
        <f t="shared" si="49"/>
        <v>20000</v>
      </c>
      <c r="L121" s="303">
        <f t="shared" si="50"/>
        <v>584</v>
      </c>
      <c r="M121" s="238">
        <f t="shared" si="51"/>
        <v>20000</v>
      </c>
      <c r="N121" s="303">
        <f t="shared" si="52"/>
        <v>876</v>
      </c>
      <c r="O121" s="238">
        <f t="shared" si="53"/>
        <v>20000</v>
      </c>
      <c r="P121" s="303">
        <f t="shared" si="54"/>
        <v>1460</v>
      </c>
      <c r="Q121" s="238">
        <f t="shared" si="55"/>
        <v>20000</v>
      </c>
    </row>
    <row r="122" spans="1:17" s="302" customFormat="1" ht="13.8" customHeight="1">
      <c r="B122" s="303">
        <f t="shared" si="42"/>
        <v>14.5</v>
      </c>
      <c r="C122" s="238">
        <f t="shared" si="43"/>
        <v>4282.655246252677</v>
      </c>
      <c r="D122" s="303">
        <v>29</v>
      </c>
      <c r="E122" s="238">
        <v>4282.655246252677</v>
      </c>
      <c r="F122" s="303">
        <f t="shared" si="44"/>
        <v>58</v>
      </c>
      <c r="G122" s="238">
        <f t="shared" si="45"/>
        <v>4282.655246252677</v>
      </c>
      <c r="H122" s="303">
        <f t="shared" si="46"/>
        <v>145</v>
      </c>
      <c r="I122" s="238">
        <f t="shared" si="47"/>
        <v>4282.655246252677</v>
      </c>
      <c r="J122" s="303">
        <f t="shared" si="48"/>
        <v>290</v>
      </c>
      <c r="K122" s="238">
        <f t="shared" si="49"/>
        <v>4282.655246252677</v>
      </c>
      <c r="L122" s="303">
        <f t="shared" si="50"/>
        <v>580</v>
      </c>
      <c r="M122" s="238">
        <f t="shared" si="51"/>
        <v>4282.655246252677</v>
      </c>
      <c r="N122" s="303">
        <f t="shared" si="52"/>
        <v>870</v>
      </c>
      <c r="O122" s="238">
        <f t="shared" si="53"/>
        <v>4282.655246252677</v>
      </c>
      <c r="P122" s="303">
        <f t="shared" si="54"/>
        <v>1450</v>
      </c>
      <c r="Q122" s="238">
        <f t="shared" si="55"/>
        <v>4282.655246252677</v>
      </c>
    </row>
    <row r="123" spans="1:17" s="302" customFormat="1" ht="13.8" customHeight="1">
      <c r="B123" s="303">
        <f t="shared" si="42"/>
        <v>14.3</v>
      </c>
      <c r="C123" s="238">
        <f t="shared" si="43"/>
        <v>20000</v>
      </c>
      <c r="D123" s="303">
        <v>28.6</v>
      </c>
      <c r="E123" s="238">
        <v>20000</v>
      </c>
      <c r="F123" s="303">
        <f t="shared" si="44"/>
        <v>57.2</v>
      </c>
      <c r="G123" s="238">
        <f t="shared" si="45"/>
        <v>20000</v>
      </c>
      <c r="H123" s="303">
        <f t="shared" si="46"/>
        <v>143</v>
      </c>
      <c r="I123" s="238">
        <f t="shared" si="47"/>
        <v>20000</v>
      </c>
      <c r="J123" s="303">
        <f t="shared" si="48"/>
        <v>286</v>
      </c>
      <c r="K123" s="238">
        <f t="shared" si="49"/>
        <v>20000</v>
      </c>
      <c r="L123" s="303">
        <f t="shared" si="50"/>
        <v>572</v>
      </c>
      <c r="M123" s="238">
        <f t="shared" si="51"/>
        <v>20000</v>
      </c>
      <c r="N123" s="303">
        <f t="shared" si="52"/>
        <v>858</v>
      </c>
      <c r="O123" s="238">
        <f t="shared" si="53"/>
        <v>20000</v>
      </c>
      <c r="P123" s="303">
        <f t="shared" si="54"/>
        <v>1430</v>
      </c>
      <c r="Q123" s="238">
        <f t="shared" si="55"/>
        <v>20000</v>
      </c>
    </row>
    <row r="124" spans="1:17" s="302" customFormat="1" ht="13.8" customHeight="1">
      <c r="B124" s="303">
        <f t="shared" si="42"/>
        <v>14.25</v>
      </c>
      <c r="C124" s="238">
        <f t="shared" si="43"/>
        <v>117647.05882352941</v>
      </c>
      <c r="D124" s="303">
        <v>28.5</v>
      </c>
      <c r="E124" s="238">
        <v>117647.05882352941</v>
      </c>
      <c r="F124" s="303">
        <f t="shared" si="44"/>
        <v>57</v>
      </c>
      <c r="G124" s="238">
        <f t="shared" si="45"/>
        <v>117647.05882352941</v>
      </c>
      <c r="H124" s="303">
        <f t="shared" si="46"/>
        <v>142.5</v>
      </c>
      <c r="I124" s="238">
        <f t="shared" si="47"/>
        <v>117647.05882352941</v>
      </c>
      <c r="J124" s="303">
        <f t="shared" si="48"/>
        <v>285</v>
      </c>
      <c r="K124" s="238">
        <f t="shared" si="49"/>
        <v>117647.05882352941</v>
      </c>
      <c r="L124" s="303">
        <f t="shared" si="50"/>
        <v>570</v>
      </c>
      <c r="M124" s="238">
        <f t="shared" si="51"/>
        <v>117647.05882352941</v>
      </c>
      <c r="N124" s="303">
        <f t="shared" si="52"/>
        <v>855</v>
      </c>
      <c r="O124" s="238">
        <f t="shared" si="53"/>
        <v>117647.05882352941</v>
      </c>
      <c r="P124" s="303">
        <f t="shared" si="54"/>
        <v>1425</v>
      </c>
      <c r="Q124" s="238">
        <f t="shared" si="55"/>
        <v>117647.05882352941</v>
      </c>
    </row>
    <row r="125" spans="1:17" s="302" customFormat="1" ht="13.8" customHeight="1">
      <c r="B125" s="303">
        <f t="shared" si="42"/>
        <v>14.2</v>
      </c>
      <c r="C125" s="238">
        <f t="shared" si="43"/>
        <v>40000</v>
      </c>
      <c r="D125" s="303">
        <v>28.4</v>
      </c>
      <c r="E125" s="238">
        <v>40000</v>
      </c>
      <c r="F125" s="303">
        <f t="shared" si="44"/>
        <v>56.8</v>
      </c>
      <c r="G125" s="238">
        <f t="shared" si="45"/>
        <v>40000</v>
      </c>
      <c r="H125" s="303">
        <f t="shared" si="46"/>
        <v>142</v>
      </c>
      <c r="I125" s="238">
        <f t="shared" si="47"/>
        <v>40000</v>
      </c>
      <c r="J125" s="303">
        <f t="shared" si="48"/>
        <v>284</v>
      </c>
      <c r="K125" s="238">
        <f t="shared" si="49"/>
        <v>40000</v>
      </c>
      <c r="L125" s="303">
        <f t="shared" si="50"/>
        <v>568</v>
      </c>
      <c r="M125" s="238">
        <f t="shared" si="51"/>
        <v>40000</v>
      </c>
      <c r="N125" s="303">
        <f t="shared" si="52"/>
        <v>852</v>
      </c>
      <c r="O125" s="238">
        <f t="shared" si="53"/>
        <v>40000</v>
      </c>
      <c r="P125" s="303">
        <f t="shared" si="54"/>
        <v>1420</v>
      </c>
      <c r="Q125" s="238">
        <f t="shared" si="55"/>
        <v>40000</v>
      </c>
    </row>
    <row r="126" spans="1:17" s="302" customFormat="1" ht="13.8" customHeight="1">
      <c r="B126" s="303">
        <f t="shared" si="42"/>
        <v>14</v>
      </c>
      <c r="C126" s="238">
        <f t="shared" si="43"/>
        <v>1563.721657544957</v>
      </c>
      <c r="D126" s="303">
        <v>28</v>
      </c>
      <c r="E126" s="238">
        <v>1563.721657544957</v>
      </c>
      <c r="F126" s="303">
        <f t="shared" si="44"/>
        <v>56</v>
      </c>
      <c r="G126" s="238">
        <f t="shared" si="45"/>
        <v>1563.721657544957</v>
      </c>
      <c r="H126" s="303">
        <f t="shared" si="46"/>
        <v>140</v>
      </c>
      <c r="I126" s="238">
        <f t="shared" si="47"/>
        <v>1563.721657544957</v>
      </c>
      <c r="J126" s="303">
        <f t="shared" si="48"/>
        <v>280</v>
      </c>
      <c r="K126" s="238">
        <f t="shared" si="49"/>
        <v>1563.721657544957</v>
      </c>
      <c r="L126" s="303">
        <f t="shared" si="50"/>
        <v>560</v>
      </c>
      <c r="M126" s="238">
        <f t="shared" si="51"/>
        <v>1563.721657544957</v>
      </c>
      <c r="N126" s="303">
        <f t="shared" si="52"/>
        <v>840</v>
      </c>
      <c r="O126" s="238">
        <f t="shared" si="53"/>
        <v>1563.721657544957</v>
      </c>
      <c r="P126" s="303">
        <f t="shared" si="54"/>
        <v>1400</v>
      </c>
      <c r="Q126" s="238">
        <f t="shared" si="55"/>
        <v>1563.721657544957</v>
      </c>
    </row>
    <row r="127" spans="1:17" s="302" customFormat="1" ht="13.8" customHeight="1">
      <c r="B127" s="303">
        <f t="shared" si="42"/>
        <v>13.65</v>
      </c>
      <c r="C127" s="238">
        <f t="shared" si="43"/>
        <v>13333.333333333334</v>
      </c>
      <c r="D127" s="303">
        <v>27.3</v>
      </c>
      <c r="E127" s="238">
        <v>13333.333333333334</v>
      </c>
      <c r="F127" s="303">
        <f t="shared" si="44"/>
        <v>54.6</v>
      </c>
      <c r="G127" s="238">
        <f t="shared" si="45"/>
        <v>13333.333333333334</v>
      </c>
      <c r="H127" s="303">
        <f t="shared" si="46"/>
        <v>136.5</v>
      </c>
      <c r="I127" s="238">
        <f t="shared" si="47"/>
        <v>13333.333333333334</v>
      </c>
      <c r="J127" s="303">
        <f t="shared" si="48"/>
        <v>273</v>
      </c>
      <c r="K127" s="238">
        <f t="shared" si="49"/>
        <v>13333.333333333334</v>
      </c>
      <c r="L127" s="303">
        <f t="shared" si="50"/>
        <v>546</v>
      </c>
      <c r="M127" s="238">
        <f t="shared" si="51"/>
        <v>13333.333333333334</v>
      </c>
      <c r="N127" s="303">
        <f t="shared" si="52"/>
        <v>819</v>
      </c>
      <c r="O127" s="238">
        <f t="shared" si="53"/>
        <v>13333.333333333334</v>
      </c>
      <c r="P127" s="303">
        <f t="shared" si="54"/>
        <v>1365</v>
      </c>
      <c r="Q127" s="238">
        <f t="shared" si="55"/>
        <v>13333.333333333334</v>
      </c>
    </row>
    <row r="128" spans="1:17" s="302" customFormat="1" ht="13.8" customHeight="1">
      <c r="B128" s="303">
        <f t="shared" si="42"/>
        <v>13.5</v>
      </c>
      <c r="C128" s="238">
        <f t="shared" si="43"/>
        <v>2645.5026455026455</v>
      </c>
      <c r="D128" s="303">
        <v>27</v>
      </c>
      <c r="E128" s="238">
        <v>2645.5026455026455</v>
      </c>
      <c r="F128" s="303">
        <f t="shared" si="44"/>
        <v>54</v>
      </c>
      <c r="G128" s="238">
        <f t="shared" si="45"/>
        <v>2645.5026455026455</v>
      </c>
      <c r="H128" s="303">
        <f t="shared" si="46"/>
        <v>135</v>
      </c>
      <c r="I128" s="238">
        <f t="shared" si="47"/>
        <v>2645.5026455026455</v>
      </c>
      <c r="J128" s="303">
        <f t="shared" si="48"/>
        <v>270</v>
      </c>
      <c r="K128" s="238">
        <f t="shared" si="49"/>
        <v>2645.5026455026455</v>
      </c>
      <c r="L128" s="303">
        <f t="shared" si="50"/>
        <v>540</v>
      </c>
      <c r="M128" s="238">
        <f t="shared" si="51"/>
        <v>2645.5026455026455</v>
      </c>
      <c r="N128" s="303">
        <f t="shared" si="52"/>
        <v>810</v>
      </c>
      <c r="O128" s="238">
        <f t="shared" si="53"/>
        <v>2645.5026455026455</v>
      </c>
      <c r="P128" s="303">
        <f t="shared" si="54"/>
        <v>1350</v>
      </c>
      <c r="Q128" s="238">
        <f t="shared" si="55"/>
        <v>2645.5026455026455</v>
      </c>
    </row>
    <row r="129" spans="2:17" s="302" customFormat="1" ht="13.8" customHeight="1">
      <c r="B129" s="303">
        <f t="shared" si="42"/>
        <v>13.4</v>
      </c>
      <c r="C129" s="238">
        <f t="shared" si="43"/>
        <v>40000</v>
      </c>
      <c r="D129" s="303">
        <v>26.8</v>
      </c>
      <c r="E129" s="238">
        <v>40000</v>
      </c>
      <c r="F129" s="303">
        <f t="shared" si="44"/>
        <v>53.6</v>
      </c>
      <c r="G129" s="238">
        <f t="shared" si="45"/>
        <v>40000</v>
      </c>
      <c r="H129" s="303">
        <f t="shared" si="46"/>
        <v>134</v>
      </c>
      <c r="I129" s="238">
        <f t="shared" si="47"/>
        <v>40000</v>
      </c>
      <c r="J129" s="303">
        <f t="shared" si="48"/>
        <v>268</v>
      </c>
      <c r="K129" s="238">
        <f t="shared" si="49"/>
        <v>40000</v>
      </c>
      <c r="L129" s="303">
        <f t="shared" si="50"/>
        <v>536</v>
      </c>
      <c r="M129" s="238">
        <f t="shared" si="51"/>
        <v>40000</v>
      </c>
      <c r="N129" s="303">
        <f t="shared" si="52"/>
        <v>804</v>
      </c>
      <c r="O129" s="238">
        <f t="shared" si="53"/>
        <v>40000</v>
      </c>
      <c r="P129" s="303">
        <f t="shared" si="54"/>
        <v>1340</v>
      </c>
      <c r="Q129" s="238">
        <f t="shared" si="55"/>
        <v>40000</v>
      </c>
    </row>
    <row r="130" spans="2:17" s="302" customFormat="1" ht="13.8" customHeight="1">
      <c r="B130" s="303">
        <f t="shared" si="42"/>
        <v>13.35</v>
      </c>
      <c r="C130" s="238">
        <f t="shared" si="43"/>
        <v>5000</v>
      </c>
      <c r="D130" s="303">
        <v>26.7</v>
      </c>
      <c r="E130" s="238">
        <v>5000</v>
      </c>
      <c r="F130" s="303">
        <f t="shared" si="44"/>
        <v>53.4</v>
      </c>
      <c r="G130" s="238">
        <f t="shared" si="45"/>
        <v>5000</v>
      </c>
      <c r="H130" s="303">
        <f t="shared" si="46"/>
        <v>133.5</v>
      </c>
      <c r="I130" s="238">
        <f t="shared" si="47"/>
        <v>5000</v>
      </c>
      <c r="J130" s="303">
        <f t="shared" si="48"/>
        <v>267</v>
      </c>
      <c r="K130" s="238">
        <f t="shared" si="49"/>
        <v>5000</v>
      </c>
      <c r="L130" s="303">
        <f t="shared" si="50"/>
        <v>534</v>
      </c>
      <c r="M130" s="238">
        <f t="shared" si="51"/>
        <v>5000</v>
      </c>
      <c r="N130" s="303">
        <f t="shared" si="52"/>
        <v>801</v>
      </c>
      <c r="O130" s="238">
        <f t="shared" si="53"/>
        <v>5000</v>
      </c>
      <c r="P130" s="303">
        <f t="shared" si="54"/>
        <v>1335</v>
      </c>
      <c r="Q130" s="238">
        <f t="shared" si="55"/>
        <v>5000</v>
      </c>
    </row>
    <row r="131" spans="2:17" s="302" customFormat="1" ht="13.8" customHeight="1">
      <c r="B131" s="303">
        <f t="shared" si="42"/>
        <v>13.25</v>
      </c>
      <c r="C131" s="238">
        <f t="shared" si="43"/>
        <v>111111.11111111111</v>
      </c>
      <c r="D131" s="303">
        <v>26.5</v>
      </c>
      <c r="E131" s="238">
        <v>111111.11111111111</v>
      </c>
      <c r="F131" s="303">
        <f t="shared" si="44"/>
        <v>53</v>
      </c>
      <c r="G131" s="238">
        <f t="shared" si="45"/>
        <v>111111.11111111111</v>
      </c>
      <c r="H131" s="303">
        <f t="shared" si="46"/>
        <v>132.5</v>
      </c>
      <c r="I131" s="238">
        <f t="shared" si="47"/>
        <v>111111.11111111111</v>
      </c>
      <c r="J131" s="303">
        <f t="shared" si="48"/>
        <v>265</v>
      </c>
      <c r="K131" s="238">
        <f t="shared" si="49"/>
        <v>111111.11111111111</v>
      </c>
      <c r="L131" s="303">
        <f t="shared" si="50"/>
        <v>530</v>
      </c>
      <c r="M131" s="238">
        <f t="shared" si="51"/>
        <v>111111.11111111111</v>
      </c>
      <c r="N131" s="303">
        <f t="shared" si="52"/>
        <v>795</v>
      </c>
      <c r="O131" s="238">
        <f t="shared" si="53"/>
        <v>111111.11111111111</v>
      </c>
      <c r="P131" s="303">
        <f t="shared" si="54"/>
        <v>1325</v>
      </c>
      <c r="Q131" s="238">
        <f t="shared" si="55"/>
        <v>111111.11111111111</v>
      </c>
    </row>
    <row r="132" spans="2:17" s="302" customFormat="1" ht="13.8" customHeight="1">
      <c r="B132" s="303">
        <f t="shared" ref="B132:B163" si="56">D132*0.5</f>
        <v>13</v>
      </c>
      <c r="C132" s="238">
        <f t="shared" ref="C132:C163" si="57">E132</f>
        <v>2136.7521367521367</v>
      </c>
      <c r="D132" s="303">
        <v>26</v>
      </c>
      <c r="E132" s="238">
        <v>2136.7521367521367</v>
      </c>
      <c r="F132" s="303">
        <f t="shared" ref="F132:F163" si="58">D132*2</f>
        <v>52</v>
      </c>
      <c r="G132" s="238">
        <f t="shared" ref="G132:G163" si="59">E132</f>
        <v>2136.7521367521367</v>
      </c>
      <c r="H132" s="303">
        <f t="shared" ref="H132:H163" si="60">D132*5</f>
        <v>130</v>
      </c>
      <c r="I132" s="238">
        <f t="shared" ref="I132:I163" si="61">E132</f>
        <v>2136.7521367521367</v>
      </c>
      <c r="J132" s="303">
        <f t="shared" ref="J132:J163" si="62">D132*10</f>
        <v>260</v>
      </c>
      <c r="K132" s="238">
        <f t="shared" ref="K132:K163" si="63">E132</f>
        <v>2136.7521367521367</v>
      </c>
      <c r="L132" s="303">
        <f t="shared" ref="L132:L163" si="64">D132*20</f>
        <v>520</v>
      </c>
      <c r="M132" s="238">
        <f t="shared" ref="M132:M163" si="65">K132</f>
        <v>2136.7521367521367</v>
      </c>
      <c r="N132" s="303">
        <f t="shared" ref="N132:N163" si="66">D132*30</f>
        <v>780</v>
      </c>
      <c r="O132" s="238">
        <f t="shared" ref="O132:O163" si="67">M132</f>
        <v>2136.7521367521367</v>
      </c>
      <c r="P132" s="303">
        <f t="shared" ref="P132:P163" si="68">D132*50</f>
        <v>1300</v>
      </c>
      <c r="Q132" s="238">
        <f t="shared" ref="Q132:Q163" si="69">O132</f>
        <v>2136.7521367521367</v>
      </c>
    </row>
    <row r="133" spans="2:17" s="302" customFormat="1" ht="13.8" customHeight="1">
      <c r="B133" s="303">
        <f t="shared" si="56"/>
        <v>12.85</v>
      </c>
      <c r="C133" s="238">
        <f t="shared" si="57"/>
        <v>20000</v>
      </c>
      <c r="D133" s="303">
        <v>25.7</v>
      </c>
      <c r="E133" s="238">
        <v>20000</v>
      </c>
      <c r="F133" s="303">
        <f t="shared" si="58"/>
        <v>51.4</v>
      </c>
      <c r="G133" s="238">
        <f t="shared" si="59"/>
        <v>20000</v>
      </c>
      <c r="H133" s="303">
        <f t="shared" si="60"/>
        <v>128.5</v>
      </c>
      <c r="I133" s="238">
        <f t="shared" si="61"/>
        <v>20000</v>
      </c>
      <c r="J133" s="303">
        <f t="shared" si="62"/>
        <v>257</v>
      </c>
      <c r="K133" s="238">
        <f t="shared" si="63"/>
        <v>20000</v>
      </c>
      <c r="L133" s="303">
        <f t="shared" si="64"/>
        <v>514</v>
      </c>
      <c r="M133" s="238">
        <f t="shared" si="65"/>
        <v>20000</v>
      </c>
      <c r="N133" s="303">
        <f t="shared" si="66"/>
        <v>771</v>
      </c>
      <c r="O133" s="238">
        <f t="shared" si="67"/>
        <v>20000</v>
      </c>
      <c r="P133" s="303">
        <f t="shared" si="68"/>
        <v>1285</v>
      </c>
      <c r="Q133" s="238">
        <f t="shared" si="69"/>
        <v>20000</v>
      </c>
    </row>
    <row r="134" spans="2:17" s="302" customFormat="1" ht="13.8" customHeight="1">
      <c r="B134" s="303">
        <f t="shared" si="56"/>
        <v>12.75</v>
      </c>
      <c r="C134" s="238">
        <f t="shared" si="57"/>
        <v>16806.722689075632</v>
      </c>
      <c r="D134" s="303">
        <v>25.5</v>
      </c>
      <c r="E134" s="238">
        <v>16806.722689075632</v>
      </c>
      <c r="F134" s="303">
        <f t="shared" si="58"/>
        <v>51</v>
      </c>
      <c r="G134" s="238">
        <f t="shared" si="59"/>
        <v>16806.722689075632</v>
      </c>
      <c r="H134" s="303">
        <f t="shared" si="60"/>
        <v>127.5</v>
      </c>
      <c r="I134" s="238">
        <f t="shared" si="61"/>
        <v>16806.722689075632</v>
      </c>
      <c r="J134" s="303">
        <f t="shared" si="62"/>
        <v>255</v>
      </c>
      <c r="K134" s="238">
        <f t="shared" si="63"/>
        <v>16806.722689075632</v>
      </c>
      <c r="L134" s="303">
        <f t="shared" si="64"/>
        <v>510</v>
      </c>
      <c r="M134" s="238">
        <f t="shared" si="65"/>
        <v>16806.722689075632</v>
      </c>
      <c r="N134" s="303">
        <f t="shared" si="66"/>
        <v>765</v>
      </c>
      <c r="O134" s="238">
        <f t="shared" si="67"/>
        <v>16806.722689075632</v>
      </c>
      <c r="P134" s="303">
        <f t="shared" si="68"/>
        <v>1275</v>
      </c>
      <c r="Q134" s="238">
        <f t="shared" si="69"/>
        <v>16806.722689075632</v>
      </c>
    </row>
    <row r="135" spans="2:17" s="302" customFormat="1" ht="13.8" customHeight="1">
      <c r="B135" s="303">
        <f t="shared" si="56"/>
        <v>12.7</v>
      </c>
      <c r="C135" s="238">
        <f t="shared" si="57"/>
        <v>5000</v>
      </c>
      <c r="D135" s="303">
        <v>25.4</v>
      </c>
      <c r="E135" s="238">
        <v>5000</v>
      </c>
      <c r="F135" s="303">
        <f t="shared" si="58"/>
        <v>50.8</v>
      </c>
      <c r="G135" s="238">
        <f t="shared" si="59"/>
        <v>5000</v>
      </c>
      <c r="H135" s="303">
        <f t="shared" si="60"/>
        <v>127</v>
      </c>
      <c r="I135" s="238">
        <f t="shared" si="61"/>
        <v>5000</v>
      </c>
      <c r="J135" s="303">
        <f t="shared" si="62"/>
        <v>254</v>
      </c>
      <c r="K135" s="238">
        <f t="shared" si="63"/>
        <v>5000</v>
      </c>
      <c r="L135" s="303">
        <f t="shared" si="64"/>
        <v>508</v>
      </c>
      <c r="M135" s="238">
        <f t="shared" si="65"/>
        <v>5000</v>
      </c>
      <c r="N135" s="303">
        <f t="shared" si="66"/>
        <v>762</v>
      </c>
      <c r="O135" s="238">
        <f t="shared" si="67"/>
        <v>5000</v>
      </c>
      <c r="P135" s="303">
        <f t="shared" si="68"/>
        <v>1270</v>
      </c>
      <c r="Q135" s="238">
        <f t="shared" si="69"/>
        <v>5000</v>
      </c>
    </row>
    <row r="136" spans="2:17" s="302" customFormat="1" ht="13.8" customHeight="1">
      <c r="B136" s="303">
        <f t="shared" si="56"/>
        <v>12.65</v>
      </c>
      <c r="C136" s="238">
        <f t="shared" si="57"/>
        <v>4000</v>
      </c>
      <c r="D136" s="303">
        <v>25.3</v>
      </c>
      <c r="E136" s="238">
        <v>4000</v>
      </c>
      <c r="F136" s="303">
        <f t="shared" si="58"/>
        <v>50.6</v>
      </c>
      <c r="G136" s="238">
        <f t="shared" si="59"/>
        <v>4000</v>
      </c>
      <c r="H136" s="303">
        <f t="shared" si="60"/>
        <v>126.5</v>
      </c>
      <c r="I136" s="238">
        <f t="shared" si="61"/>
        <v>4000</v>
      </c>
      <c r="J136" s="303">
        <f t="shared" si="62"/>
        <v>253</v>
      </c>
      <c r="K136" s="238">
        <f t="shared" si="63"/>
        <v>4000</v>
      </c>
      <c r="L136" s="303">
        <f t="shared" si="64"/>
        <v>506</v>
      </c>
      <c r="M136" s="238">
        <f t="shared" si="65"/>
        <v>4000</v>
      </c>
      <c r="N136" s="303">
        <f t="shared" si="66"/>
        <v>759</v>
      </c>
      <c r="O136" s="238">
        <f t="shared" si="67"/>
        <v>4000</v>
      </c>
      <c r="P136" s="303">
        <f t="shared" si="68"/>
        <v>1265</v>
      </c>
      <c r="Q136" s="238">
        <f t="shared" si="69"/>
        <v>4000</v>
      </c>
    </row>
    <row r="137" spans="2:17" s="302" customFormat="1" ht="13.8" customHeight="1">
      <c r="B137" s="303">
        <f t="shared" si="56"/>
        <v>12.5</v>
      </c>
      <c r="C137" s="238">
        <f t="shared" si="57"/>
        <v>918.27364554637279</v>
      </c>
      <c r="D137" s="303">
        <v>25</v>
      </c>
      <c r="E137" s="238">
        <v>918.27364554637279</v>
      </c>
      <c r="F137" s="303">
        <f t="shared" si="58"/>
        <v>50</v>
      </c>
      <c r="G137" s="238">
        <f t="shared" si="59"/>
        <v>918.27364554637279</v>
      </c>
      <c r="H137" s="303">
        <f t="shared" si="60"/>
        <v>125</v>
      </c>
      <c r="I137" s="238">
        <f t="shared" si="61"/>
        <v>918.27364554637279</v>
      </c>
      <c r="J137" s="303">
        <f t="shared" si="62"/>
        <v>250</v>
      </c>
      <c r="K137" s="238">
        <f t="shared" si="63"/>
        <v>918.27364554637279</v>
      </c>
      <c r="L137" s="303">
        <f t="shared" si="64"/>
        <v>500</v>
      </c>
      <c r="M137" s="238">
        <f t="shared" si="65"/>
        <v>918.27364554637279</v>
      </c>
      <c r="N137" s="303">
        <f t="shared" si="66"/>
        <v>750</v>
      </c>
      <c r="O137" s="238">
        <f t="shared" si="67"/>
        <v>918.27364554637279</v>
      </c>
      <c r="P137" s="303">
        <f t="shared" si="68"/>
        <v>1250</v>
      </c>
      <c r="Q137" s="238">
        <f t="shared" si="69"/>
        <v>918.27364554637279</v>
      </c>
    </row>
    <row r="138" spans="2:17" s="302" customFormat="1" ht="13.8" customHeight="1">
      <c r="B138" s="303">
        <f t="shared" si="56"/>
        <v>12.35</v>
      </c>
      <c r="C138" s="238">
        <f t="shared" si="57"/>
        <v>5000</v>
      </c>
      <c r="D138" s="303">
        <v>24.7</v>
      </c>
      <c r="E138" s="238">
        <v>5000</v>
      </c>
      <c r="F138" s="303">
        <f t="shared" si="58"/>
        <v>49.4</v>
      </c>
      <c r="G138" s="238">
        <f t="shared" si="59"/>
        <v>5000</v>
      </c>
      <c r="H138" s="303">
        <f t="shared" si="60"/>
        <v>123.5</v>
      </c>
      <c r="I138" s="238">
        <f t="shared" si="61"/>
        <v>5000</v>
      </c>
      <c r="J138" s="303">
        <f t="shared" si="62"/>
        <v>247</v>
      </c>
      <c r="K138" s="238">
        <f t="shared" si="63"/>
        <v>5000</v>
      </c>
      <c r="L138" s="303">
        <f t="shared" si="64"/>
        <v>494</v>
      </c>
      <c r="M138" s="238">
        <f t="shared" si="65"/>
        <v>5000</v>
      </c>
      <c r="N138" s="303">
        <f t="shared" si="66"/>
        <v>741</v>
      </c>
      <c r="O138" s="238">
        <f t="shared" si="67"/>
        <v>5000</v>
      </c>
      <c r="P138" s="303">
        <f t="shared" si="68"/>
        <v>1235</v>
      </c>
      <c r="Q138" s="238">
        <f t="shared" si="69"/>
        <v>5000</v>
      </c>
    </row>
    <row r="139" spans="2:17" s="302" customFormat="1" ht="13.8" customHeight="1">
      <c r="B139" s="303">
        <f t="shared" si="56"/>
        <v>12.3</v>
      </c>
      <c r="C139" s="238">
        <f t="shared" si="57"/>
        <v>6666.666666666667</v>
      </c>
      <c r="D139" s="303">
        <v>24.6</v>
      </c>
      <c r="E139" s="238">
        <v>6666.666666666667</v>
      </c>
      <c r="F139" s="303">
        <f t="shared" si="58"/>
        <v>49.2</v>
      </c>
      <c r="G139" s="238">
        <f t="shared" si="59"/>
        <v>6666.666666666667</v>
      </c>
      <c r="H139" s="303">
        <f t="shared" si="60"/>
        <v>123</v>
      </c>
      <c r="I139" s="238">
        <f t="shared" si="61"/>
        <v>6666.666666666667</v>
      </c>
      <c r="J139" s="303">
        <f t="shared" si="62"/>
        <v>246</v>
      </c>
      <c r="K139" s="238">
        <f t="shared" si="63"/>
        <v>6666.666666666667</v>
      </c>
      <c r="L139" s="303">
        <f t="shared" si="64"/>
        <v>492</v>
      </c>
      <c r="M139" s="238">
        <f t="shared" si="65"/>
        <v>6666.666666666667</v>
      </c>
      <c r="N139" s="303">
        <f t="shared" si="66"/>
        <v>738</v>
      </c>
      <c r="O139" s="238">
        <f t="shared" si="67"/>
        <v>6666.666666666667</v>
      </c>
      <c r="P139" s="303">
        <f t="shared" si="68"/>
        <v>1230</v>
      </c>
      <c r="Q139" s="238">
        <f t="shared" si="69"/>
        <v>6666.666666666667</v>
      </c>
    </row>
    <row r="140" spans="2:17" s="302" customFormat="1" ht="13.8" customHeight="1">
      <c r="B140" s="303">
        <f t="shared" si="56"/>
        <v>12.25</v>
      </c>
      <c r="C140" s="238">
        <f t="shared" si="57"/>
        <v>105263.15789473684</v>
      </c>
      <c r="D140" s="303">
        <v>24.5</v>
      </c>
      <c r="E140" s="238">
        <v>105263.15789473684</v>
      </c>
      <c r="F140" s="303">
        <f t="shared" si="58"/>
        <v>49</v>
      </c>
      <c r="G140" s="238">
        <f t="shared" si="59"/>
        <v>105263.15789473684</v>
      </c>
      <c r="H140" s="303">
        <f t="shared" si="60"/>
        <v>122.5</v>
      </c>
      <c r="I140" s="238">
        <f t="shared" si="61"/>
        <v>105263.15789473684</v>
      </c>
      <c r="J140" s="303">
        <f t="shared" si="62"/>
        <v>245</v>
      </c>
      <c r="K140" s="238">
        <f t="shared" si="63"/>
        <v>105263.15789473684</v>
      </c>
      <c r="L140" s="303">
        <f t="shared" si="64"/>
        <v>490</v>
      </c>
      <c r="M140" s="238">
        <f t="shared" si="65"/>
        <v>105263.15789473684</v>
      </c>
      <c r="N140" s="303">
        <f t="shared" si="66"/>
        <v>735</v>
      </c>
      <c r="O140" s="238">
        <f t="shared" si="67"/>
        <v>105263.15789473684</v>
      </c>
      <c r="P140" s="303">
        <f t="shared" si="68"/>
        <v>1225</v>
      </c>
      <c r="Q140" s="238">
        <f t="shared" si="69"/>
        <v>105263.15789473684</v>
      </c>
    </row>
    <row r="141" spans="2:17" s="302" customFormat="1" ht="13.8" customHeight="1">
      <c r="B141" s="303">
        <f t="shared" si="56"/>
        <v>12</v>
      </c>
      <c r="C141" s="238">
        <f t="shared" si="57"/>
        <v>47619.047619047618</v>
      </c>
      <c r="D141" s="303">
        <v>24</v>
      </c>
      <c r="E141" s="238">
        <v>47619.047619047618</v>
      </c>
      <c r="F141" s="303">
        <f t="shared" si="58"/>
        <v>48</v>
      </c>
      <c r="G141" s="238">
        <f t="shared" si="59"/>
        <v>47619.047619047618</v>
      </c>
      <c r="H141" s="303">
        <f t="shared" si="60"/>
        <v>120</v>
      </c>
      <c r="I141" s="238">
        <f t="shared" si="61"/>
        <v>47619.047619047618</v>
      </c>
      <c r="J141" s="303">
        <f t="shared" si="62"/>
        <v>240</v>
      </c>
      <c r="K141" s="238">
        <f t="shared" si="63"/>
        <v>47619.047619047618</v>
      </c>
      <c r="L141" s="303">
        <f t="shared" si="64"/>
        <v>480</v>
      </c>
      <c r="M141" s="238">
        <f t="shared" si="65"/>
        <v>47619.047619047618</v>
      </c>
      <c r="N141" s="303">
        <f t="shared" si="66"/>
        <v>720</v>
      </c>
      <c r="O141" s="238">
        <f t="shared" si="67"/>
        <v>47619.047619047618</v>
      </c>
      <c r="P141" s="303">
        <f t="shared" si="68"/>
        <v>1200</v>
      </c>
      <c r="Q141" s="238">
        <f t="shared" si="69"/>
        <v>47619.047619047618</v>
      </c>
    </row>
    <row r="142" spans="2:17" s="302" customFormat="1" ht="13.8" customHeight="1">
      <c r="B142" s="303">
        <f t="shared" si="56"/>
        <v>11.75</v>
      </c>
      <c r="C142" s="238">
        <f t="shared" si="57"/>
        <v>20000</v>
      </c>
      <c r="D142" s="303">
        <v>23.5</v>
      </c>
      <c r="E142" s="238">
        <v>20000</v>
      </c>
      <c r="F142" s="303">
        <f t="shared" si="58"/>
        <v>47</v>
      </c>
      <c r="G142" s="238">
        <f t="shared" si="59"/>
        <v>20000</v>
      </c>
      <c r="H142" s="303">
        <f t="shared" si="60"/>
        <v>117.5</v>
      </c>
      <c r="I142" s="238">
        <f t="shared" si="61"/>
        <v>20000</v>
      </c>
      <c r="J142" s="303">
        <f t="shared" si="62"/>
        <v>235</v>
      </c>
      <c r="K142" s="238">
        <f t="shared" si="63"/>
        <v>20000</v>
      </c>
      <c r="L142" s="303">
        <f t="shared" si="64"/>
        <v>470</v>
      </c>
      <c r="M142" s="238">
        <f t="shared" si="65"/>
        <v>20000</v>
      </c>
      <c r="N142" s="303">
        <f t="shared" si="66"/>
        <v>705</v>
      </c>
      <c r="O142" s="238">
        <f t="shared" si="67"/>
        <v>20000</v>
      </c>
      <c r="P142" s="303">
        <f t="shared" si="68"/>
        <v>1175</v>
      </c>
      <c r="Q142" s="238">
        <f t="shared" si="69"/>
        <v>20000</v>
      </c>
    </row>
    <row r="143" spans="2:17" s="302" customFormat="1" ht="13.8" customHeight="1">
      <c r="B143" s="303">
        <f t="shared" si="56"/>
        <v>11.65</v>
      </c>
      <c r="C143" s="238">
        <f t="shared" si="57"/>
        <v>5000</v>
      </c>
      <c r="D143" s="303">
        <v>23.3</v>
      </c>
      <c r="E143" s="238">
        <v>5000</v>
      </c>
      <c r="F143" s="303">
        <f t="shared" si="58"/>
        <v>46.6</v>
      </c>
      <c r="G143" s="238">
        <f t="shared" si="59"/>
        <v>5000</v>
      </c>
      <c r="H143" s="303">
        <f t="shared" si="60"/>
        <v>116.5</v>
      </c>
      <c r="I143" s="238">
        <f t="shared" si="61"/>
        <v>5000</v>
      </c>
      <c r="J143" s="303">
        <f t="shared" si="62"/>
        <v>233</v>
      </c>
      <c r="K143" s="238">
        <f t="shared" si="63"/>
        <v>5000</v>
      </c>
      <c r="L143" s="303">
        <f t="shared" si="64"/>
        <v>466</v>
      </c>
      <c r="M143" s="238">
        <f t="shared" si="65"/>
        <v>5000</v>
      </c>
      <c r="N143" s="303">
        <f t="shared" si="66"/>
        <v>699</v>
      </c>
      <c r="O143" s="238">
        <f t="shared" si="67"/>
        <v>5000</v>
      </c>
      <c r="P143" s="303">
        <f t="shared" si="68"/>
        <v>1165</v>
      </c>
      <c r="Q143" s="238">
        <f t="shared" si="69"/>
        <v>5000</v>
      </c>
    </row>
    <row r="144" spans="2:17" s="302" customFormat="1" ht="13.8" customHeight="1">
      <c r="B144" s="303">
        <f t="shared" si="56"/>
        <v>11.5</v>
      </c>
      <c r="C144" s="238">
        <f t="shared" si="57"/>
        <v>8438.818565400843</v>
      </c>
      <c r="D144" s="303">
        <v>23</v>
      </c>
      <c r="E144" s="238">
        <v>8438.818565400843</v>
      </c>
      <c r="F144" s="303">
        <f t="shared" si="58"/>
        <v>46</v>
      </c>
      <c r="G144" s="238">
        <f t="shared" si="59"/>
        <v>8438.818565400843</v>
      </c>
      <c r="H144" s="303">
        <f t="shared" si="60"/>
        <v>115</v>
      </c>
      <c r="I144" s="238">
        <f t="shared" si="61"/>
        <v>8438.818565400843</v>
      </c>
      <c r="J144" s="303">
        <f t="shared" si="62"/>
        <v>230</v>
      </c>
      <c r="K144" s="238">
        <f t="shared" si="63"/>
        <v>8438.818565400843</v>
      </c>
      <c r="L144" s="303">
        <f t="shared" si="64"/>
        <v>460</v>
      </c>
      <c r="M144" s="238">
        <f t="shared" si="65"/>
        <v>8438.818565400843</v>
      </c>
      <c r="N144" s="303">
        <f t="shared" si="66"/>
        <v>690</v>
      </c>
      <c r="O144" s="238">
        <f t="shared" si="67"/>
        <v>8438.818565400843</v>
      </c>
      <c r="P144" s="303">
        <f t="shared" si="68"/>
        <v>1150</v>
      </c>
      <c r="Q144" s="238">
        <f t="shared" si="69"/>
        <v>8438.818565400843</v>
      </c>
    </row>
    <row r="145" spans="2:17" s="302" customFormat="1" ht="13.8" customHeight="1">
      <c r="B145" s="303">
        <f t="shared" si="56"/>
        <v>11.3</v>
      </c>
      <c r="C145" s="238">
        <f t="shared" si="57"/>
        <v>20000</v>
      </c>
      <c r="D145" s="303">
        <v>22.6</v>
      </c>
      <c r="E145" s="238">
        <v>20000</v>
      </c>
      <c r="F145" s="303">
        <f t="shared" si="58"/>
        <v>45.2</v>
      </c>
      <c r="G145" s="238">
        <f t="shared" si="59"/>
        <v>20000</v>
      </c>
      <c r="H145" s="303">
        <f t="shared" si="60"/>
        <v>113</v>
      </c>
      <c r="I145" s="238">
        <f t="shared" si="61"/>
        <v>20000</v>
      </c>
      <c r="J145" s="303">
        <f t="shared" si="62"/>
        <v>226</v>
      </c>
      <c r="K145" s="238">
        <f t="shared" si="63"/>
        <v>20000</v>
      </c>
      <c r="L145" s="303">
        <f t="shared" si="64"/>
        <v>452</v>
      </c>
      <c r="M145" s="238">
        <f t="shared" si="65"/>
        <v>20000</v>
      </c>
      <c r="N145" s="303">
        <f t="shared" si="66"/>
        <v>678</v>
      </c>
      <c r="O145" s="238">
        <f t="shared" si="67"/>
        <v>20000</v>
      </c>
      <c r="P145" s="303">
        <f t="shared" si="68"/>
        <v>1130</v>
      </c>
      <c r="Q145" s="238">
        <f t="shared" si="69"/>
        <v>20000</v>
      </c>
    </row>
    <row r="146" spans="2:17" s="302" customFormat="1" ht="13.8" customHeight="1">
      <c r="B146" s="303">
        <f t="shared" si="56"/>
        <v>11.1</v>
      </c>
      <c r="C146" s="238">
        <f t="shared" si="57"/>
        <v>95238.095238095237</v>
      </c>
      <c r="D146" s="303">
        <v>22.2</v>
      </c>
      <c r="E146" s="238">
        <v>95238.095238095237</v>
      </c>
      <c r="F146" s="303">
        <f t="shared" si="58"/>
        <v>44.4</v>
      </c>
      <c r="G146" s="238">
        <f t="shared" si="59"/>
        <v>95238.095238095237</v>
      </c>
      <c r="H146" s="303">
        <f t="shared" si="60"/>
        <v>111</v>
      </c>
      <c r="I146" s="238">
        <f t="shared" si="61"/>
        <v>95238.095238095237</v>
      </c>
      <c r="J146" s="303">
        <f t="shared" si="62"/>
        <v>222</v>
      </c>
      <c r="K146" s="238">
        <f t="shared" si="63"/>
        <v>95238.095238095237</v>
      </c>
      <c r="L146" s="303">
        <f t="shared" si="64"/>
        <v>444</v>
      </c>
      <c r="M146" s="238">
        <f t="shared" si="65"/>
        <v>95238.095238095237</v>
      </c>
      <c r="N146" s="303">
        <f t="shared" si="66"/>
        <v>666</v>
      </c>
      <c r="O146" s="238">
        <f t="shared" si="67"/>
        <v>95238.095238095237</v>
      </c>
      <c r="P146" s="303">
        <f t="shared" si="68"/>
        <v>1110</v>
      </c>
      <c r="Q146" s="238">
        <f t="shared" si="69"/>
        <v>95238.095238095237</v>
      </c>
    </row>
    <row r="147" spans="2:17" s="302" customFormat="1" ht="13.8" customHeight="1">
      <c r="B147" s="303">
        <f t="shared" si="56"/>
        <v>11</v>
      </c>
      <c r="C147" s="238">
        <f t="shared" si="57"/>
        <v>1040.5827263267429</v>
      </c>
      <c r="D147" s="303">
        <v>22</v>
      </c>
      <c r="E147" s="238">
        <v>1040.5827263267429</v>
      </c>
      <c r="F147" s="303">
        <f t="shared" si="58"/>
        <v>44</v>
      </c>
      <c r="G147" s="238">
        <f t="shared" si="59"/>
        <v>1040.5827263267429</v>
      </c>
      <c r="H147" s="303">
        <f t="shared" si="60"/>
        <v>110</v>
      </c>
      <c r="I147" s="238">
        <f t="shared" si="61"/>
        <v>1040.5827263267429</v>
      </c>
      <c r="J147" s="303">
        <f t="shared" si="62"/>
        <v>220</v>
      </c>
      <c r="K147" s="238">
        <f t="shared" si="63"/>
        <v>1040.5827263267429</v>
      </c>
      <c r="L147" s="303">
        <f t="shared" si="64"/>
        <v>440</v>
      </c>
      <c r="M147" s="238">
        <f t="shared" si="65"/>
        <v>1040.5827263267429</v>
      </c>
      <c r="N147" s="303">
        <f t="shared" si="66"/>
        <v>660</v>
      </c>
      <c r="O147" s="238">
        <f t="shared" si="67"/>
        <v>1040.5827263267429</v>
      </c>
      <c r="P147" s="303">
        <f t="shared" si="68"/>
        <v>1100</v>
      </c>
      <c r="Q147" s="238">
        <f t="shared" si="69"/>
        <v>1040.5827263267429</v>
      </c>
    </row>
    <row r="148" spans="2:17" s="302" customFormat="1" ht="13.8" customHeight="1">
      <c r="B148" s="303">
        <f t="shared" si="56"/>
        <v>10.75</v>
      </c>
      <c r="C148" s="238">
        <f t="shared" si="57"/>
        <v>20000</v>
      </c>
      <c r="D148" s="303">
        <v>21.5</v>
      </c>
      <c r="E148" s="238">
        <v>20000</v>
      </c>
      <c r="F148" s="303">
        <f t="shared" si="58"/>
        <v>43</v>
      </c>
      <c r="G148" s="238">
        <f t="shared" si="59"/>
        <v>20000</v>
      </c>
      <c r="H148" s="303">
        <f t="shared" si="60"/>
        <v>107.5</v>
      </c>
      <c r="I148" s="238">
        <f t="shared" si="61"/>
        <v>20000</v>
      </c>
      <c r="J148" s="303">
        <f t="shared" si="62"/>
        <v>215</v>
      </c>
      <c r="K148" s="238">
        <f t="shared" si="63"/>
        <v>20000</v>
      </c>
      <c r="L148" s="303">
        <f t="shared" si="64"/>
        <v>430</v>
      </c>
      <c r="M148" s="238">
        <f t="shared" si="65"/>
        <v>20000</v>
      </c>
      <c r="N148" s="303">
        <f t="shared" si="66"/>
        <v>645</v>
      </c>
      <c r="O148" s="238">
        <f t="shared" si="67"/>
        <v>20000</v>
      </c>
      <c r="P148" s="303">
        <f t="shared" si="68"/>
        <v>1075</v>
      </c>
      <c r="Q148" s="238">
        <f t="shared" si="69"/>
        <v>20000</v>
      </c>
    </row>
    <row r="149" spans="2:17" s="302" customFormat="1" ht="13.8" customHeight="1">
      <c r="B149" s="303">
        <f t="shared" si="56"/>
        <v>10.7</v>
      </c>
      <c r="C149" s="238">
        <f t="shared" si="57"/>
        <v>20000</v>
      </c>
      <c r="D149" s="303">
        <v>21.4</v>
      </c>
      <c r="E149" s="238">
        <v>20000</v>
      </c>
      <c r="F149" s="303">
        <f t="shared" si="58"/>
        <v>42.8</v>
      </c>
      <c r="G149" s="238">
        <f t="shared" si="59"/>
        <v>20000</v>
      </c>
      <c r="H149" s="303">
        <f t="shared" si="60"/>
        <v>107</v>
      </c>
      <c r="I149" s="238">
        <f t="shared" si="61"/>
        <v>20000</v>
      </c>
      <c r="J149" s="303">
        <f t="shared" si="62"/>
        <v>214</v>
      </c>
      <c r="K149" s="238">
        <f t="shared" si="63"/>
        <v>20000</v>
      </c>
      <c r="L149" s="303">
        <f t="shared" si="64"/>
        <v>428</v>
      </c>
      <c r="M149" s="238">
        <f t="shared" si="65"/>
        <v>20000</v>
      </c>
      <c r="N149" s="303">
        <f t="shared" si="66"/>
        <v>642</v>
      </c>
      <c r="O149" s="238">
        <f t="shared" si="67"/>
        <v>20000</v>
      </c>
      <c r="P149" s="303">
        <f t="shared" si="68"/>
        <v>1070</v>
      </c>
      <c r="Q149" s="238">
        <f t="shared" si="69"/>
        <v>20000</v>
      </c>
    </row>
    <row r="150" spans="2:17" s="302" customFormat="1" ht="13.8" customHeight="1">
      <c r="B150" s="303">
        <f t="shared" si="56"/>
        <v>10.65</v>
      </c>
      <c r="C150" s="238">
        <f t="shared" si="57"/>
        <v>5000</v>
      </c>
      <c r="D150" s="303">
        <v>21.3</v>
      </c>
      <c r="E150" s="238">
        <v>5000</v>
      </c>
      <c r="F150" s="303">
        <f t="shared" si="58"/>
        <v>42.6</v>
      </c>
      <c r="G150" s="238">
        <f t="shared" si="59"/>
        <v>5000</v>
      </c>
      <c r="H150" s="303">
        <f t="shared" si="60"/>
        <v>106.5</v>
      </c>
      <c r="I150" s="238">
        <f t="shared" si="61"/>
        <v>5000</v>
      </c>
      <c r="J150" s="303">
        <f t="shared" si="62"/>
        <v>213</v>
      </c>
      <c r="K150" s="238">
        <f t="shared" si="63"/>
        <v>5000</v>
      </c>
      <c r="L150" s="303">
        <f t="shared" si="64"/>
        <v>426</v>
      </c>
      <c r="M150" s="238">
        <f t="shared" si="65"/>
        <v>5000</v>
      </c>
      <c r="N150" s="303">
        <f t="shared" si="66"/>
        <v>639</v>
      </c>
      <c r="O150" s="238">
        <f t="shared" si="67"/>
        <v>5000</v>
      </c>
      <c r="P150" s="303">
        <f t="shared" si="68"/>
        <v>1065</v>
      </c>
      <c r="Q150" s="238">
        <f t="shared" si="69"/>
        <v>5000</v>
      </c>
    </row>
    <row r="151" spans="2:17" s="302" customFormat="1" ht="13.8" customHeight="1">
      <c r="B151" s="303">
        <f t="shared" si="56"/>
        <v>10.5</v>
      </c>
      <c r="C151" s="238">
        <f t="shared" si="57"/>
        <v>6191.9504643962846</v>
      </c>
      <c r="D151" s="303">
        <v>21</v>
      </c>
      <c r="E151" s="238">
        <v>6191.9504643962846</v>
      </c>
      <c r="F151" s="303">
        <f t="shared" si="58"/>
        <v>42</v>
      </c>
      <c r="G151" s="238">
        <f t="shared" si="59"/>
        <v>6191.9504643962846</v>
      </c>
      <c r="H151" s="303">
        <f t="shared" si="60"/>
        <v>105</v>
      </c>
      <c r="I151" s="238">
        <f t="shared" si="61"/>
        <v>6191.9504643962846</v>
      </c>
      <c r="J151" s="303">
        <f t="shared" si="62"/>
        <v>210</v>
      </c>
      <c r="K151" s="238">
        <f t="shared" si="63"/>
        <v>6191.9504643962846</v>
      </c>
      <c r="L151" s="303">
        <f t="shared" si="64"/>
        <v>420</v>
      </c>
      <c r="M151" s="238">
        <f t="shared" si="65"/>
        <v>6191.9504643962846</v>
      </c>
      <c r="N151" s="303">
        <f t="shared" si="66"/>
        <v>630</v>
      </c>
      <c r="O151" s="238">
        <f t="shared" si="67"/>
        <v>6191.9504643962846</v>
      </c>
      <c r="P151" s="303">
        <f t="shared" si="68"/>
        <v>1050</v>
      </c>
      <c r="Q151" s="238">
        <f t="shared" si="69"/>
        <v>6191.9504643962846</v>
      </c>
    </row>
    <row r="152" spans="2:17" s="302" customFormat="1" ht="13.8" customHeight="1">
      <c r="B152" s="303">
        <f t="shared" si="56"/>
        <v>10.1</v>
      </c>
      <c r="C152" s="238">
        <f t="shared" si="57"/>
        <v>20000</v>
      </c>
      <c r="D152" s="303">
        <v>20.2</v>
      </c>
      <c r="E152" s="238">
        <v>20000</v>
      </c>
      <c r="F152" s="303">
        <f t="shared" si="58"/>
        <v>40.4</v>
      </c>
      <c r="G152" s="238">
        <f t="shared" si="59"/>
        <v>20000</v>
      </c>
      <c r="H152" s="303">
        <f t="shared" si="60"/>
        <v>101</v>
      </c>
      <c r="I152" s="238">
        <f t="shared" si="61"/>
        <v>20000</v>
      </c>
      <c r="J152" s="303">
        <f t="shared" si="62"/>
        <v>202</v>
      </c>
      <c r="K152" s="238">
        <f t="shared" si="63"/>
        <v>20000</v>
      </c>
      <c r="L152" s="303">
        <f t="shared" si="64"/>
        <v>404</v>
      </c>
      <c r="M152" s="238">
        <f t="shared" si="65"/>
        <v>20000</v>
      </c>
      <c r="N152" s="303">
        <f t="shared" si="66"/>
        <v>606</v>
      </c>
      <c r="O152" s="238">
        <f t="shared" si="67"/>
        <v>20000</v>
      </c>
      <c r="P152" s="303">
        <f t="shared" si="68"/>
        <v>1010</v>
      </c>
      <c r="Q152" s="238">
        <f t="shared" si="69"/>
        <v>20000</v>
      </c>
    </row>
    <row r="153" spans="2:17" s="302" customFormat="1" ht="13.8" customHeight="1">
      <c r="B153" s="303">
        <f t="shared" si="56"/>
        <v>10.050000000000001</v>
      </c>
      <c r="C153" s="238">
        <f t="shared" si="57"/>
        <v>20000</v>
      </c>
      <c r="D153" s="303">
        <v>20.100000000000001</v>
      </c>
      <c r="E153" s="238">
        <v>20000</v>
      </c>
      <c r="F153" s="303">
        <f t="shared" si="58"/>
        <v>40.200000000000003</v>
      </c>
      <c r="G153" s="238">
        <f t="shared" si="59"/>
        <v>20000</v>
      </c>
      <c r="H153" s="303">
        <f t="shared" si="60"/>
        <v>100.5</v>
      </c>
      <c r="I153" s="238">
        <f t="shared" si="61"/>
        <v>20000</v>
      </c>
      <c r="J153" s="303">
        <f t="shared" si="62"/>
        <v>201</v>
      </c>
      <c r="K153" s="238">
        <f t="shared" si="63"/>
        <v>20000</v>
      </c>
      <c r="L153" s="303">
        <f t="shared" si="64"/>
        <v>402</v>
      </c>
      <c r="M153" s="238">
        <f t="shared" si="65"/>
        <v>20000</v>
      </c>
      <c r="N153" s="303">
        <f t="shared" si="66"/>
        <v>603</v>
      </c>
      <c r="O153" s="238">
        <f t="shared" si="67"/>
        <v>20000</v>
      </c>
      <c r="P153" s="303">
        <f t="shared" si="68"/>
        <v>1005.0000000000001</v>
      </c>
      <c r="Q153" s="238">
        <f t="shared" si="69"/>
        <v>20000</v>
      </c>
    </row>
    <row r="154" spans="2:17" s="302" customFormat="1" ht="13.8" customHeight="1">
      <c r="B154" s="303">
        <f t="shared" si="56"/>
        <v>10</v>
      </c>
      <c r="C154" s="238">
        <f t="shared" si="57"/>
        <v>319.84647369262751</v>
      </c>
      <c r="D154" s="303">
        <v>20</v>
      </c>
      <c r="E154" s="238">
        <v>319.84647369262751</v>
      </c>
      <c r="F154" s="303">
        <f t="shared" si="58"/>
        <v>40</v>
      </c>
      <c r="G154" s="238">
        <f t="shared" si="59"/>
        <v>319.84647369262751</v>
      </c>
      <c r="H154" s="303">
        <f t="shared" si="60"/>
        <v>100</v>
      </c>
      <c r="I154" s="238">
        <f t="shared" si="61"/>
        <v>319.84647369262751</v>
      </c>
      <c r="J154" s="303">
        <f t="shared" si="62"/>
        <v>200</v>
      </c>
      <c r="K154" s="238">
        <f t="shared" si="63"/>
        <v>319.84647369262751</v>
      </c>
      <c r="L154" s="303">
        <f t="shared" si="64"/>
        <v>400</v>
      </c>
      <c r="M154" s="238">
        <f t="shared" si="65"/>
        <v>319.84647369262751</v>
      </c>
      <c r="N154" s="303">
        <f t="shared" si="66"/>
        <v>600</v>
      </c>
      <c r="O154" s="238">
        <f t="shared" si="67"/>
        <v>319.84647369262751</v>
      </c>
      <c r="P154" s="303">
        <f t="shared" si="68"/>
        <v>1000</v>
      </c>
      <c r="Q154" s="238">
        <f t="shared" si="69"/>
        <v>319.84647369262751</v>
      </c>
    </row>
    <row r="155" spans="2:17" s="302" customFormat="1" ht="13.8" customHeight="1">
      <c r="B155" s="303">
        <f t="shared" si="56"/>
        <v>9.65</v>
      </c>
      <c r="C155" s="238">
        <f t="shared" si="57"/>
        <v>80000</v>
      </c>
      <c r="D155" s="303">
        <v>19.3</v>
      </c>
      <c r="E155" s="238">
        <v>80000</v>
      </c>
      <c r="F155" s="303">
        <f t="shared" si="58"/>
        <v>38.6</v>
      </c>
      <c r="G155" s="238">
        <f t="shared" si="59"/>
        <v>80000</v>
      </c>
      <c r="H155" s="303">
        <f t="shared" si="60"/>
        <v>96.5</v>
      </c>
      <c r="I155" s="238">
        <f t="shared" si="61"/>
        <v>80000</v>
      </c>
      <c r="J155" s="303">
        <f t="shared" si="62"/>
        <v>193</v>
      </c>
      <c r="K155" s="238">
        <f t="shared" si="63"/>
        <v>80000</v>
      </c>
      <c r="L155" s="303">
        <f t="shared" si="64"/>
        <v>386</v>
      </c>
      <c r="M155" s="238">
        <f t="shared" si="65"/>
        <v>80000</v>
      </c>
      <c r="N155" s="303">
        <f t="shared" si="66"/>
        <v>579</v>
      </c>
      <c r="O155" s="238">
        <f t="shared" si="67"/>
        <v>80000</v>
      </c>
      <c r="P155" s="303">
        <f t="shared" si="68"/>
        <v>965</v>
      </c>
      <c r="Q155" s="238">
        <f t="shared" si="69"/>
        <v>80000</v>
      </c>
    </row>
    <row r="156" spans="2:17" s="302" customFormat="1" ht="13.8" customHeight="1">
      <c r="B156" s="303">
        <f t="shared" si="56"/>
        <v>9.6</v>
      </c>
      <c r="C156" s="238">
        <f t="shared" si="57"/>
        <v>40000</v>
      </c>
      <c r="D156" s="303">
        <v>19.2</v>
      </c>
      <c r="E156" s="238">
        <v>40000</v>
      </c>
      <c r="F156" s="303">
        <f t="shared" si="58"/>
        <v>38.4</v>
      </c>
      <c r="G156" s="238">
        <f t="shared" si="59"/>
        <v>40000</v>
      </c>
      <c r="H156" s="303">
        <f t="shared" si="60"/>
        <v>96</v>
      </c>
      <c r="I156" s="238">
        <f t="shared" si="61"/>
        <v>40000</v>
      </c>
      <c r="J156" s="303">
        <f t="shared" si="62"/>
        <v>192</v>
      </c>
      <c r="K156" s="238">
        <f t="shared" si="63"/>
        <v>40000</v>
      </c>
      <c r="L156" s="303">
        <f t="shared" si="64"/>
        <v>384</v>
      </c>
      <c r="M156" s="238">
        <f t="shared" si="65"/>
        <v>40000</v>
      </c>
      <c r="N156" s="303">
        <f t="shared" si="66"/>
        <v>576</v>
      </c>
      <c r="O156" s="238">
        <f t="shared" si="67"/>
        <v>40000</v>
      </c>
      <c r="P156" s="303">
        <f t="shared" si="68"/>
        <v>960</v>
      </c>
      <c r="Q156" s="238">
        <f t="shared" si="69"/>
        <v>40000</v>
      </c>
    </row>
    <row r="157" spans="2:17" s="302" customFormat="1" ht="13.8" customHeight="1">
      <c r="B157" s="303">
        <f t="shared" si="56"/>
        <v>9.5</v>
      </c>
      <c r="C157" s="238">
        <f t="shared" si="57"/>
        <v>1600</v>
      </c>
      <c r="D157" s="303">
        <v>19</v>
      </c>
      <c r="E157" s="238">
        <v>1600</v>
      </c>
      <c r="F157" s="303">
        <f t="shared" si="58"/>
        <v>38</v>
      </c>
      <c r="G157" s="238">
        <f t="shared" si="59"/>
        <v>1600</v>
      </c>
      <c r="H157" s="303">
        <f t="shared" si="60"/>
        <v>95</v>
      </c>
      <c r="I157" s="238">
        <f t="shared" si="61"/>
        <v>1600</v>
      </c>
      <c r="J157" s="303">
        <f t="shared" si="62"/>
        <v>190</v>
      </c>
      <c r="K157" s="238">
        <f t="shared" si="63"/>
        <v>1600</v>
      </c>
      <c r="L157" s="303">
        <f t="shared" si="64"/>
        <v>380</v>
      </c>
      <c r="M157" s="238">
        <f t="shared" si="65"/>
        <v>1600</v>
      </c>
      <c r="N157" s="303">
        <f t="shared" si="66"/>
        <v>570</v>
      </c>
      <c r="O157" s="238">
        <f t="shared" si="67"/>
        <v>1600</v>
      </c>
      <c r="P157" s="303">
        <f t="shared" si="68"/>
        <v>950</v>
      </c>
      <c r="Q157" s="238">
        <f t="shared" si="69"/>
        <v>1600</v>
      </c>
    </row>
    <row r="158" spans="2:17" s="302" customFormat="1" ht="13.8" customHeight="1">
      <c r="B158" s="303">
        <f t="shared" si="56"/>
        <v>9.3000000000000007</v>
      </c>
      <c r="C158" s="238">
        <f t="shared" si="57"/>
        <v>5000</v>
      </c>
      <c r="D158" s="303">
        <v>18.600000000000001</v>
      </c>
      <c r="E158" s="238">
        <v>5000</v>
      </c>
      <c r="F158" s="303">
        <f t="shared" si="58"/>
        <v>37.200000000000003</v>
      </c>
      <c r="G158" s="238">
        <f t="shared" si="59"/>
        <v>5000</v>
      </c>
      <c r="H158" s="303">
        <f t="shared" si="60"/>
        <v>93</v>
      </c>
      <c r="I158" s="238">
        <f t="shared" si="61"/>
        <v>5000</v>
      </c>
      <c r="J158" s="303">
        <f t="shared" si="62"/>
        <v>186</v>
      </c>
      <c r="K158" s="238">
        <f t="shared" si="63"/>
        <v>5000</v>
      </c>
      <c r="L158" s="303">
        <f t="shared" si="64"/>
        <v>372</v>
      </c>
      <c r="M158" s="238">
        <f t="shared" si="65"/>
        <v>5000</v>
      </c>
      <c r="N158" s="303">
        <f t="shared" si="66"/>
        <v>558</v>
      </c>
      <c r="O158" s="238">
        <f t="shared" si="67"/>
        <v>5000</v>
      </c>
      <c r="P158" s="303">
        <f t="shared" si="68"/>
        <v>930.00000000000011</v>
      </c>
      <c r="Q158" s="238">
        <f t="shared" si="69"/>
        <v>5000</v>
      </c>
    </row>
    <row r="159" spans="2:17" s="302" customFormat="1" ht="13.8" customHeight="1">
      <c r="B159" s="303">
        <f t="shared" si="56"/>
        <v>9</v>
      </c>
      <c r="C159" s="238">
        <f t="shared" si="57"/>
        <v>799.04115061925688</v>
      </c>
      <c r="D159" s="303">
        <v>18</v>
      </c>
      <c r="E159" s="238">
        <v>799.04115061925688</v>
      </c>
      <c r="F159" s="303">
        <f t="shared" si="58"/>
        <v>36</v>
      </c>
      <c r="G159" s="238">
        <f t="shared" si="59"/>
        <v>799.04115061925688</v>
      </c>
      <c r="H159" s="303">
        <f t="shared" si="60"/>
        <v>90</v>
      </c>
      <c r="I159" s="238">
        <f t="shared" si="61"/>
        <v>799.04115061925688</v>
      </c>
      <c r="J159" s="303">
        <f t="shared" si="62"/>
        <v>180</v>
      </c>
      <c r="K159" s="238">
        <f t="shared" si="63"/>
        <v>799.04115061925688</v>
      </c>
      <c r="L159" s="303">
        <f t="shared" si="64"/>
        <v>360</v>
      </c>
      <c r="M159" s="238">
        <f t="shared" si="65"/>
        <v>799.04115061925688</v>
      </c>
      <c r="N159" s="303">
        <f t="shared" si="66"/>
        <v>540</v>
      </c>
      <c r="O159" s="238">
        <f t="shared" si="67"/>
        <v>799.04115061925688</v>
      </c>
      <c r="P159" s="303">
        <f t="shared" si="68"/>
        <v>900</v>
      </c>
      <c r="Q159" s="238">
        <f t="shared" si="69"/>
        <v>799.04115061925688</v>
      </c>
    </row>
    <row r="160" spans="2:17" s="302" customFormat="1" ht="13.8" customHeight="1">
      <c r="B160" s="303">
        <f t="shared" si="56"/>
        <v>8.75</v>
      </c>
      <c r="C160" s="238">
        <f t="shared" si="57"/>
        <v>14492.753623188406</v>
      </c>
      <c r="D160" s="303">
        <v>17.5</v>
      </c>
      <c r="E160" s="238">
        <v>14492.753623188406</v>
      </c>
      <c r="F160" s="303">
        <f t="shared" si="58"/>
        <v>35</v>
      </c>
      <c r="G160" s="238">
        <f t="shared" si="59"/>
        <v>14492.753623188406</v>
      </c>
      <c r="H160" s="303">
        <f t="shared" si="60"/>
        <v>87.5</v>
      </c>
      <c r="I160" s="238">
        <f t="shared" si="61"/>
        <v>14492.753623188406</v>
      </c>
      <c r="J160" s="303">
        <f t="shared" si="62"/>
        <v>175</v>
      </c>
      <c r="K160" s="238">
        <f t="shared" si="63"/>
        <v>14492.753623188406</v>
      </c>
      <c r="L160" s="303">
        <f t="shared" si="64"/>
        <v>350</v>
      </c>
      <c r="M160" s="238">
        <f t="shared" si="65"/>
        <v>14492.753623188406</v>
      </c>
      <c r="N160" s="303">
        <f t="shared" si="66"/>
        <v>525</v>
      </c>
      <c r="O160" s="238">
        <f t="shared" si="67"/>
        <v>14492.753623188406</v>
      </c>
      <c r="P160" s="303">
        <f t="shared" si="68"/>
        <v>875</v>
      </c>
      <c r="Q160" s="238">
        <f t="shared" si="69"/>
        <v>14492.753623188406</v>
      </c>
    </row>
    <row r="161" spans="2:17" s="302" customFormat="1" ht="13.8" customHeight="1">
      <c r="B161" s="303">
        <f t="shared" si="56"/>
        <v>8.5</v>
      </c>
      <c r="C161" s="238">
        <f t="shared" si="57"/>
        <v>19047.619047619046</v>
      </c>
      <c r="D161" s="303">
        <v>17</v>
      </c>
      <c r="E161" s="238">
        <v>19047.619047619046</v>
      </c>
      <c r="F161" s="303">
        <f t="shared" si="58"/>
        <v>34</v>
      </c>
      <c r="G161" s="238">
        <f t="shared" si="59"/>
        <v>19047.619047619046</v>
      </c>
      <c r="H161" s="303">
        <f t="shared" si="60"/>
        <v>85</v>
      </c>
      <c r="I161" s="238">
        <f t="shared" si="61"/>
        <v>19047.619047619046</v>
      </c>
      <c r="J161" s="303">
        <f t="shared" si="62"/>
        <v>170</v>
      </c>
      <c r="K161" s="238">
        <f t="shared" si="63"/>
        <v>19047.619047619046</v>
      </c>
      <c r="L161" s="303">
        <f t="shared" si="64"/>
        <v>340</v>
      </c>
      <c r="M161" s="238">
        <f t="shared" si="65"/>
        <v>19047.619047619046</v>
      </c>
      <c r="N161" s="303">
        <f t="shared" si="66"/>
        <v>510</v>
      </c>
      <c r="O161" s="238">
        <f t="shared" si="67"/>
        <v>19047.619047619046</v>
      </c>
      <c r="P161" s="303">
        <f t="shared" si="68"/>
        <v>850</v>
      </c>
      <c r="Q161" s="238">
        <f t="shared" si="69"/>
        <v>19047.619047619046</v>
      </c>
    </row>
    <row r="162" spans="2:17" s="302" customFormat="1" ht="13.8" customHeight="1">
      <c r="B162" s="303">
        <f t="shared" si="56"/>
        <v>8.25</v>
      </c>
      <c r="C162" s="238">
        <f t="shared" si="57"/>
        <v>3929.2730844793714</v>
      </c>
      <c r="D162" s="303">
        <v>16.5</v>
      </c>
      <c r="E162" s="238">
        <v>3929.2730844793714</v>
      </c>
      <c r="F162" s="303">
        <f t="shared" si="58"/>
        <v>33</v>
      </c>
      <c r="G162" s="238">
        <f t="shared" si="59"/>
        <v>3929.2730844793714</v>
      </c>
      <c r="H162" s="303">
        <f t="shared" si="60"/>
        <v>82.5</v>
      </c>
      <c r="I162" s="238">
        <f t="shared" si="61"/>
        <v>3929.2730844793714</v>
      </c>
      <c r="J162" s="303">
        <f t="shared" si="62"/>
        <v>165</v>
      </c>
      <c r="K162" s="238">
        <f t="shared" si="63"/>
        <v>3929.2730844793714</v>
      </c>
      <c r="L162" s="303">
        <f t="shared" si="64"/>
        <v>330</v>
      </c>
      <c r="M162" s="238">
        <f t="shared" si="65"/>
        <v>3929.2730844793714</v>
      </c>
      <c r="N162" s="303">
        <f t="shared" si="66"/>
        <v>495</v>
      </c>
      <c r="O162" s="238">
        <f t="shared" si="67"/>
        <v>3929.2730844793714</v>
      </c>
      <c r="P162" s="303">
        <f t="shared" si="68"/>
        <v>825</v>
      </c>
      <c r="Q162" s="238">
        <f t="shared" si="69"/>
        <v>3929.2730844793714</v>
      </c>
    </row>
    <row r="163" spans="2:17" s="302" customFormat="1" ht="13.8" customHeight="1">
      <c r="B163" s="303">
        <f t="shared" si="56"/>
        <v>8.15</v>
      </c>
      <c r="C163" s="238">
        <f t="shared" si="57"/>
        <v>5000</v>
      </c>
      <c r="D163" s="303">
        <v>16.3</v>
      </c>
      <c r="E163" s="238">
        <v>5000</v>
      </c>
      <c r="F163" s="303">
        <f t="shared" si="58"/>
        <v>32.6</v>
      </c>
      <c r="G163" s="238">
        <f t="shared" si="59"/>
        <v>5000</v>
      </c>
      <c r="H163" s="303">
        <f t="shared" si="60"/>
        <v>81.5</v>
      </c>
      <c r="I163" s="238">
        <f t="shared" si="61"/>
        <v>5000</v>
      </c>
      <c r="J163" s="303">
        <f t="shared" si="62"/>
        <v>163</v>
      </c>
      <c r="K163" s="238">
        <f t="shared" si="63"/>
        <v>5000</v>
      </c>
      <c r="L163" s="303">
        <f t="shared" si="64"/>
        <v>326</v>
      </c>
      <c r="M163" s="238">
        <f t="shared" si="65"/>
        <v>5000</v>
      </c>
      <c r="N163" s="303">
        <f t="shared" si="66"/>
        <v>489</v>
      </c>
      <c r="O163" s="238">
        <f t="shared" si="67"/>
        <v>5000</v>
      </c>
      <c r="P163" s="303">
        <f t="shared" si="68"/>
        <v>815</v>
      </c>
      <c r="Q163" s="238">
        <f t="shared" si="69"/>
        <v>5000</v>
      </c>
    </row>
    <row r="164" spans="2:17" s="302" customFormat="1" ht="13.8" customHeight="1">
      <c r="B164" s="303">
        <f t="shared" ref="B164:B197" si="70">D164*0.5</f>
        <v>8</v>
      </c>
      <c r="C164" s="238">
        <f t="shared" ref="C164:C198" si="71">E164</f>
        <v>4950.4950495049507</v>
      </c>
      <c r="D164" s="303">
        <v>16</v>
      </c>
      <c r="E164" s="238">
        <v>4950.4950495049507</v>
      </c>
      <c r="F164" s="303">
        <f t="shared" ref="F164:F197" si="72">D164*2</f>
        <v>32</v>
      </c>
      <c r="G164" s="238">
        <f t="shared" ref="G164:G198" si="73">E164</f>
        <v>4950.4950495049507</v>
      </c>
      <c r="H164" s="303">
        <f t="shared" ref="H164:H197" si="74">D164*5</f>
        <v>80</v>
      </c>
      <c r="I164" s="238">
        <f t="shared" ref="I164:I198" si="75">E164</f>
        <v>4950.4950495049507</v>
      </c>
      <c r="J164" s="303">
        <f t="shared" ref="J164:J197" si="76">D164*10</f>
        <v>160</v>
      </c>
      <c r="K164" s="238">
        <f t="shared" ref="K164:K198" si="77">E164</f>
        <v>4950.4950495049507</v>
      </c>
      <c r="L164" s="303">
        <f t="shared" ref="L164:L197" si="78">D164*20</f>
        <v>320</v>
      </c>
      <c r="M164" s="238">
        <f t="shared" ref="M164:M198" si="79">K164</f>
        <v>4950.4950495049507</v>
      </c>
      <c r="N164" s="303">
        <f t="shared" ref="N164:N197" si="80">D164*30</f>
        <v>480</v>
      </c>
      <c r="O164" s="238">
        <f t="shared" ref="O164:O198" si="81">M164</f>
        <v>4950.4950495049507</v>
      </c>
      <c r="P164" s="303">
        <f t="shared" ref="P164:P197" si="82">D164*50</f>
        <v>800</v>
      </c>
      <c r="Q164" s="238">
        <f t="shared" ref="Q164:Q198" si="83">O164</f>
        <v>4950.4950495049507</v>
      </c>
    </row>
    <row r="165" spans="2:17" s="302" customFormat="1" ht="13.8" customHeight="1">
      <c r="B165" s="303">
        <f t="shared" si="70"/>
        <v>7.8</v>
      </c>
      <c r="C165" s="238">
        <f t="shared" si="71"/>
        <v>12345.679012345679</v>
      </c>
      <c r="D165" s="303">
        <v>15.6</v>
      </c>
      <c r="E165" s="238">
        <v>12345.679012345679</v>
      </c>
      <c r="F165" s="303">
        <f t="shared" si="72"/>
        <v>31.2</v>
      </c>
      <c r="G165" s="238">
        <f t="shared" si="73"/>
        <v>12345.679012345679</v>
      </c>
      <c r="H165" s="303">
        <f t="shared" si="74"/>
        <v>78</v>
      </c>
      <c r="I165" s="238">
        <f t="shared" si="75"/>
        <v>12345.679012345679</v>
      </c>
      <c r="J165" s="303">
        <f t="shared" si="76"/>
        <v>156</v>
      </c>
      <c r="K165" s="238">
        <f t="shared" si="77"/>
        <v>12345.679012345679</v>
      </c>
      <c r="L165" s="303">
        <f t="shared" si="78"/>
        <v>312</v>
      </c>
      <c r="M165" s="238">
        <f t="shared" si="79"/>
        <v>12345.679012345679</v>
      </c>
      <c r="N165" s="303">
        <f t="shared" si="80"/>
        <v>468</v>
      </c>
      <c r="O165" s="238">
        <f t="shared" si="81"/>
        <v>12345.679012345679</v>
      </c>
      <c r="P165" s="303">
        <f t="shared" si="82"/>
        <v>780</v>
      </c>
      <c r="Q165" s="238">
        <f t="shared" si="83"/>
        <v>12345.679012345679</v>
      </c>
    </row>
    <row r="166" spans="2:17" s="302" customFormat="1" ht="13.8" customHeight="1">
      <c r="B166" s="303">
        <f t="shared" si="70"/>
        <v>7.55</v>
      </c>
      <c r="C166" s="238">
        <f t="shared" si="71"/>
        <v>3350.0837520938026</v>
      </c>
      <c r="D166" s="303">
        <v>15.1</v>
      </c>
      <c r="E166" s="238">
        <v>3350.0837520938026</v>
      </c>
      <c r="F166" s="303">
        <f t="shared" si="72"/>
        <v>30.2</v>
      </c>
      <c r="G166" s="238">
        <f t="shared" si="73"/>
        <v>3350.0837520938026</v>
      </c>
      <c r="H166" s="303">
        <f t="shared" si="74"/>
        <v>75.5</v>
      </c>
      <c r="I166" s="238">
        <f t="shared" si="75"/>
        <v>3350.0837520938026</v>
      </c>
      <c r="J166" s="303">
        <f t="shared" si="76"/>
        <v>151</v>
      </c>
      <c r="K166" s="238">
        <f t="shared" si="77"/>
        <v>3350.0837520938026</v>
      </c>
      <c r="L166" s="303">
        <f t="shared" si="78"/>
        <v>302</v>
      </c>
      <c r="M166" s="238">
        <f t="shared" si="79"/>
        <v>3350.0837520938026</v>
      </c>
      <c r="N166" s="303">
        <f t="shared" si="80"/>
        <v>453</v>
      </c>
      <c r="O166" s="238">
        <f t="shared" si="81"/>
        <v>3350.0837520938026</v>
      </c>
      <c r="P166" s="303">
        <f t="shared" si="82"/>
        <v>755</v>
      </c>
      <c r="Q166" s="238">
        <f t="shared" si="83"/>
        <v>3350.0837520938026</v>
      </c>
    </row>
    <row r="167" spans="2:17" s="302" customFormat="1" ht="13.8" customHeight="1">
      <c r="B167" s="303">
        <f t="shared" si="70"/>
        <v>7.5</v>
      </c>
      <c r="C167" s="238">
        <f t="shared" si="71"/>
        <v>517.33057423693742</v>
      </c>
      <c r="D167" s="303">
        <v>15</v>
      </c>
      <c r="E167" s="238">
        <v>517.33057423693742</v>
      </c>
      <c r="F167" s="303">
        <f t="shared" si="72"/>
        <v>30</v>
      </c>
      <c r="G167" s="238">
        <f t="shared" si="73"/>
        <v>517.33057423693742</v>
      </c>
      <c r="H167" s="303">
        <f t="shared" si="74"/>
        <v>75</v>
      </c>
      <c r="I167" s="238">
        <f t="shared" si="75"/>
        <v>517.33057423693742</v>
      </c>
      <c r="J167" s="303">
        <f t="shared" si="76"/>
        <v>150</v>
      </c>
      <c r="K167" s="238">
        <f t="shared" si="77"/>
        <v>517.33057423693742</v>
      </c>
      <c r="L167" s="303">
        <f t="shared" si="78"/>
        <v>300</v>
      </c>
      <c r="M167" s="238">
        <f t="shared" si="79"/>
        <v>517.33057423693742</v>
      </c>
      <c r="N167" s="303">
        <f t="shared" si="80"/>
        <v>450</v>
      </c>
      <c r="O167" s="238">
        <f t="shared" si="81"/>
        <v>517.33057423693742</v>
      </c>
      <c r="P167" s="303">
        <f t="shared" si="82"/>
        <v>750</v>
      </c>
      <c r="Q167" s="238">
        <f t="shared" si="83"/>
        <v>517.33057423693742</v>
      </c>
    </row>
    <row r="168" spans="2:17" s="302" customFormat="1" ht="13.8" customHeight="1">
      <c r="B168" s="303">
        <f t="shared" si="70"/>
        <v>7</v>
      </c>
      <c r="C168" s="238">
        <f t="shared" si="71"/>
        <v>2222.2222222222222</v>
      </c>
      <c r="D168" s="303">
        <v>14</v>
      </c>
      <c r="E168" s="238">
        <v>2222.2222222222222</v>
      </c>
      <c r="F168" s="303">
        <f t="shared" si="72"/>
        <v>28</v>
      </c>
      <c r="G168" s="238">
        <f t="shared" si="73"/>
        <v>2222.2222222222222</v>
      </c>
      <c r="H168" s="303">
        <f t="shared" si="74"/>
        <v>70</v>
      </c>
      <c r="I168" s="238">
        <f t="shared" si="75"/>
        <v>2222.2222222222222</v>
      </c>
      <c r="J168" s="303">
        <f t="shared" si="76"/>
        <v>140</v>
      </c>
      <c r="K168" s="238">
        <f t="shared" si="77"/>
        <v>2222.2222222222222</v>
      </c>
      <c r="L168" s="303">
        <f t="shared" si="78"/>
        <v>280</v>
      </c>
      <c r="M168" s="238">
        <f t="shared" si="79"/>
        <v>2222.2222222222222</v>
      </c>
      <c r="N168" s="303">
        <f t="shared" si="80"/>
        <v>420</v>
      </c>
      <c r="O168" s="238">
        <f t="shared" si="81"/>
        <v>2222.2222222222222</v>
      </c>
      <c r="P168" s="303">
        <f t="shared" si="82"/>
        <v>700</v>
      </c>
      <c r="Q168" s="238">
        <f t="shared" si="83"/>
        <v>2222.2222222222222</v>
      </c>
    </row>
    <row r="169" spans="2:17" s="302" customFormat="1" ht="13.8" customHeight="1">
      <c r="B169" s="303">
        <f t="shared" si="70"/>
        <v>6.7</v>
      </c>
      <c r="C169" s="238">
        <f t="shared" si="71"/>
        <v>14705.882352941177</v>
      </c>
      <c r="D169" s="303">
        <v>13.4</v>
      </c>
      <c r="E169" s="238">
        <v>14705.882352941177</v>
      </c>
      <c r="F169" s="303">
        <f t="shared" si="72"/>
        <v>26.8</v>
      </c>
      <c r="G169" s="238">
        <f t="shared" si="73"/>
        <v>14705.882352941177</v>
      </c>
      <c r="H169" s="303">
        <f t="shared" si="74"/>
        <v>67</v>
      </c>
      <c r="I169" s="238">
        <f t="shared" si="75"/>
        <v>14705.882352941177</v>
      </c>
      <c r="J169" s="303">
        <f t="shared" si="76"/>
        <v>134</v>
      </c>
      <c r="K169" s="238">
        <f t="shared" si="77"/>
        <v>14705.882352941177</v>
      </c>
      <c r="L169" s="303">
        <f t="shared" si="78"/>
        <v>268</v>
      </c>
      <c r="M169" s="238">
        <f t="shared" si="79"/>
        <v>14705.882352941177</v>
      </c>
      <c r="N169" s="303">
        <f t="shared" si="80"/>
        <v>402</v>
      </c>
      <c r="O169" s="238">
        <f t="shared" si="81"/>
        <v>14705.882352941177</v>
      </c>
      <c r="P169" s="303">
        <f t="shared" si="82"/>
        <v>670</v>
      </c>
      <c r="Q169" s="238">
        <f t="shared" si="83"/>
        <v>14705.882352941177</v>
      </c>
    </row>
    <row r="170" spans="2:17" s="302" customFormat="1" ht="13.8" customHeight="1">
      <c r="B170" s="303">
        <f t="shared" si="70"/>
        <v>6.2</v>
      </c>
      <c r="C170" s="238">
        <f t="shared" si="71"/>
        <v>20000</v>
      </c>
      <c r="D170" s="303">
        <v>12.4</v>
      </c>
      <c r="E170" s="238">
        <v>20000</v>
      </c>
      <c r="F170" s="303">
        <f t="shared" si="72"/>
        <v>24.8</v>
      </c>
      <c r="G170" s="238">
        <f t="shared" si="73"/>
        <v>20000</v>
      </c>
      <c r="H170" s="303">
        <f t="shared" si="74"/>
        <v>62</v>
      </c>
      <c r="I170" s="238">
        <f t="shared" si="75"/>
        <v>20000</v>
      </c>
      <c r="J170" s="303">
        <f t="shared" si="76"/>
        <v>124</v>
      </c>
      <c r="K170" s="238">
        <f t="shared" si="77"/>
        <v>20000</v>
      </c>
      <c r="L170" s="303">
        <f t="shared" si="78"/>
        <v>248</v>
      </c>
      <c r="M170" s="238">
        <f t="shared" si="79"/>
        <v>20000</v>
      </c>
      <c r="N170" s="303">
        <f t="shared" si="80"/>
        <v>372</v>
      </c>
      <c r="O170" s="238">
        <f t="shared" si="81"/>
        <v>20000</v>
      </c>
      <c r="P170" s="303">
        <f t="shared" si="82"/>
        <v>620</v>
      </c>
      <c r="Q170" s="238">
        <f t="shared" si="83"/>
        <v>20000</v>
      </c>
    </row>
    <row r="171" spans="2:17" s="302" customFormat="1" ht="13.8" customHeight="1">
      <c r="B171" s="303">
        <f t="shared" si="70"/>
        <v>6</v>
      </c>
      <c r="C171" s="238">
        <f t="shared" si="71"/>
        <v>1111.1111111111111</v>
      </c>
      <c r="D171" s="303">
        <v>12</v>
      </c>
      <c r="E171" s="238">
        <v>1111.1111111111111</v>
      </c>
      <c r="F171" s="303">
        <f t="shared" si="72"/>
        <v>24</v>
      </c>
      <c r="G171" s="238">
        <f t="shared" si="73"/>
        <v>1111.1111111111111</v>
      </c>
      <c r="H171" s="303">
        <f t="shared" si="74"/>
        <v>60</v>
      </c>
      <c r="I171" s="238">
        <f t="shared" si="75"/>
        <v>1111.1111111111111</v>
      </c>
      <c r="J171" s="303">
        <f t="shared" si="76"/>
        <v>120</v>
      </c>
      <c r="K171" s="238">
        <f t="shared" si="77"/>
        <v>1111.1111111111111</v>
      </c>
      <c r="L171" s="303">
        <f t="shared" si="78"/>
        <v>240</v>
      </c>
      <c r="M171" s="238">
        <f t="shared" si="79"/>
        <v>1111.1111111111111</v>
      </c>
      <c r="N171" s="303">
        <f t="shared" si="80"/>
        <v>360</v>
      </c>
      <c r="O171" s="238">
        <f t="shared" si="81"/>
        <v>1111.1111111111111</v>
      </c>
      <c r="P171" s="303">
        <f t="shared" si="82"/>
        <v>600</v>
      </c>
      <c r="Q171" s="238">
        <f t="shared" si="83"/>
        <v>1111.1111111111111</v>
      </c>
    </row>
    <row r="172" spans="2:17" s="302" customFormat="1" ht="13.8" customHeight="1">
      <c r="B172" s="303">
        <f t="shared" si="70"/>
        <v>5.75</v>
      </c>
      <c r="C172" s="238">
        <f t="shared" si="71"/>
        <v>2688.1720430107525</v>
      </c>
      <c r="D172" s="303">
        <v>11.5</v>
      </c>
      <c r="E172" s="238">
        <v>2688.1720430107525</v>
      </c>
      <c r="F172" s="303">
        <f t="shared" si="72"/>
        <v>23</v>
      </c>
      <c r="G172" s="238">
        <f t="shared" si="73"/>
        <v>2688.1720430107525</v>
      </c>
      <c r="H172" s="303">
        <f t="shared" si="74"/>
        <v>57.5</v>
      </c>
      <c r="I172" s="238">
        <f t="shared" si="75"/>
        <v>2688.1720430107525</v>
      </c>
      <c r="J172" s="303">
        <f t="shared" si="76"/>
        <v>115</v>
      </c>
      <c r="K172" s="238">
        <f t="shared" si="77"/>
        <v>2688.1720430107525</v>
      </c>
      <c r="L172" s="303">
        <f t="shared" si="78"/>
        <v>230</v>
      </c>
      <c r="M172" s="238">
        <f t="shared" si="79"/>
        <v>2688.1720430107525</v>
      </c>
      <c r="N172" s="303">
        <f t="shared" si="80"/>
        <v>345</v>
      </c>
      <c r="O172" s="238">
        <f t="shared" si="81"/>
        <v>2688.1720430107525</v>
      </c>
      <c r="P172" s="303">
        <f t="shared" si="82"/>
        <v>575</v>
      </c>
      <c r="Q172" s="238">
        <f t="shared" si="83"/>
        <v>2688.1720430107525</v>
      </c>
    </row>
    <row r="173" spans="2:17" s="302" customFormat="1" ht="13.8" customHeight="1">
      <c r="B173" s="303">
        <f t="shared" si="70"/>
        <v>5.7</v>
      </c>
      <c r="C173" s="238">
        <f t="shared" si="71"/>
        <v>5000</v>
      </c>
      <c r="D173" s="303">
        <v>11.4</v>
      </c>
      <c r="E173" s="238">
        <v>5000</v>
      </c>
      <c r="F173" s="303">
        <f t="shared" si="72"/>
        <v>22.8</v>
      </c>
      <c r="G173" s="238">
        <f t="shared" si="73"/>
        <v>5000</v>
      </c>
      <c r="H173" s="303">
        <f t="shared" si="74"/>
        <v>57</v>
      </c>
      <c r="I173" s="238">
        <f t="shared" si="75"/>
        <v>5000</v>
      </c>
      <c r="J173" s="303">
        <f t="shared" si="76"/>
        <v>114</v>
      </c>
      <c r="K173" s="238">
        <f t="shared" si="77"/>
        <v>5000</v>
      </c>
      <c r="L173" s="303">
        <f t="shared" si="78"/>
        <v>228</v>
      </c>
      <c r="M173" s="238">
        <f t="shared" si="79"/>
        <v>5000</v>
      </c>
      <c r="N173" s="303">
        <f t="shared" si="80"/>
        <v>342</v>
      </c>
      <c r="O173" s="238">
        <f t="shared" si="81"/>
        <v>5000</v>
      </c>
      <c r="P173" s="303">
        <f t="shared" si="82"/>
        <v>570</v>
      </c>
      <c r="Q173" s="238">
        <f t="shared" si="83"/>
        <v>5000</v>
      </c>
    </row>
    <row r="174" spans="2:17" s="302" customFormat="1" ht="13.8" customHeight="1">
      <c r="B174" s="303">
        <f t="shared" si="70"/>
        <v>5.5</v>
      </c>
      <c r="C174" s="238">
        <f t="shared" si="71"/>
        <v>2481.3895781637716</v>
      </c>
      <c r="D174" s="303">
        <v>11</v>
      </c>
      <c r="E174" s="238">
        <v>2481.3895781637716</v>
      </c>
      <c r="F174" s="303">
        <f t="shared" si="72"/>
        <v>22</v>
      </c>
      <c r="G174" s="238">
        <f t="shared" si="73"/>
        <v>2481.3895781637716</v>
      </c>
      <c r="H174" s="303">
        <f t="shared" si="74"/>
        <v>55</v>
      </c>
      <c r="I174" s="238">
        <f t="shared" si="75"/>
        <v>2481.3895781637716</v>
      </c>
      <c r="J174" s="303">
        <f t="shared" si="76"/>
        <v>110</v>
      </c>
      <c r="K174" s="238">
        <f t="shared" si="77"/>
        <v>2481.3895781637716</v>
      </c>
      <c r="L174" s="303">
        <f t="shared" si="78"/>
        <v>220</v>
      </c>
      <c r="M174" s="238">
        <f t="shared" si="79"/>
        <v>2481.3895781637716</v>
      </c>
      <c r="N174" s="303">
        <f t="shared" si="80"/>
        <v>330</v>
      </c>
      <c r="O174" s="238">
        <f t="shared" si="81"/>
        <v>2481.3895781637716</v>
      </c>
      <c r="P174" s="303">
        <f t="shared" si="82"/>
        <v>550</v>
      </c>
      <c r="Q174" s="238">
        <f t="shared" si="83"/>
        <v>2481.3895781637716</v>
      </c>
    </row>
    <row r="175" spans="2:17" s="302" customFormat="1" ht="13.8" customHeight="1">
      <c r="B175" s="303">
        <f t="shared" si="70"/>
        <v>5.25</v>
      </c>
      <c r="C175" s="238">
        <f t="shared" si="71"/>
        <v>43478.260869565216</v>
      </c>
      <c r="D175" s="303">
        <v>10.5</v>
      </c>
      <c r="E175" s="238">
        <v>43478.260869565216</v>
      </c>
      <c r="F175" s="303">
        <f t="shared" si="72"/>
        <v>21</v>
      </c>
      <c r="G175" s="238">
        <f t="shared" si="73"/>
        <v>43478.260869565216</v>
      </c>
      <c r="H175" s="303">
        <f t="shared" si="74"/>
        <v>52.5</v>
      </c>
      <c r="I175" s="238">
        <f t="shared" si="75"/>
        <v>43478.260869565216</v>
      </c>
      <c r="J175" s="303">
        <f t="shared" si="76"/>
        <v>105</v>
      </c>
      <c r="K175" s="238">
        <f t="shared" si="77"/>
        <v>43478.260869565216</v>
      </c>
      <c r="L175" s="303">
        <f t="shared" si="78"/>
        <v>210</v>
      </c>
      <c r="M175" s="238">
        <f t="shared" si="79"/>
        <v>43478.260869565216</v>
      </c>
      <c r="N175" s="303">
        <f t="shared" si="80"/>
        <v>315</v>
      </c>
      <c r="O175" s="238">
        <f t="shared" si="81"/>
        <v>43478.260869565216</v>
      </c>
      <c r="P175" s="303">
        <f t="shared" si="82"/>
        <v>525</v>
      </c>
      <c r="Q175" s="238">
        <f t="shared" si="83"/>
        <v>43478.260869565216</v>
      </c>
    </row>
    <row r="176" spans="2:17" s="302" customFormat="1" ht="13.8" customHeight="1">
      <c r="B176" s="303">
        <f t="shared" si="70"/>
        <v>5</v>
      </c>
      <c r="C176" s="238">
        <f t="shared" si="71"/>
        <v>302.20610456331218</v>
      </c>
      <c r="D176" s="303">
        <v>10</v>
      </c>
      <c r="E176" s="238">
        <v>302.20610456331218</v>
      </c>
      <c r="F176" s="303">
        <f t="shared" si="72"/>
        <v>20</v>
      </c>
      <c r="G176" s="238">
        <f t="shared" si="73"/>
        <v>302.20610456331218</v>
      </c>
      <c r="H176" s="303">
        <f t="shared" si="74"/>
        <v>50</v>
      </c>
      <c r="I176" s="238">
        <f t="shared" si="75"/>
        <v>302.20610456331218</v>
      </c>
      <c r="J176" s="303">
        <f t="shared" si="76"/>
        <v>100</v>
      </c>
      <c r="K176" s="238">
        <f t="shared" si="77"/>
        <v>302.20610456331218</v>
      </c>
      <c r="L176" s="303">
        <f t="shared" si="78"/>
        <v>200</v>
      </c>
      <c r="M176" s="238">
        <f t="shared" si="79"/>
        <v>302.20610456331218</v>
      </c>
      <c r="N176" s="303">
        <f t="shared" si="80"/>
        <v>300</v>
      </c>
      <c r="O176" s="238">
        <f t="shared" si="81"/>
        <v>302.20610456331218</v>
      </c>
      <c r="P176" s="303">
        <f t="shared" si="82"/>
        <v>500</v>
      </c>
      <c r="Q176" s="238">
        <f t="shared" si="83"/>
        <v>302.20610456331218</v>
      </c>
    </row>
    <row r="177" spans="2:17" s="302" customFormat="1" ht="13.8" customHeight="1">
      <c r="B177" s="303">
        <f t="shared" si="70"/>
        <v>4.5</v>
      </c>
      <c r="C177" s="238">
        <f t="shared" si="71"/>
        <v>333333.33333333331</v>
      </c>
      <c r="D177" s="303">
        <v>9</v>
      </c>
      <c r="E177" s="238">
        <v>333333.33333333331</v>
      </c>
      <c r="F177" s="303">
        <f t="shared" si="72"/>
        <v>18</v>
      </c>
      <c r="G177" s="238">
        <f t="shared" si="73"/>
        <v>333333.33333333331</v>
      </c>
      <c r="H177" s="303">
        <f t="shared" si="74"/>
        <v>45</v>
      </c>
      <c r="I177" s="238">
        <f t="shared" si="75"/>
        <v>333333.33333333331</v>
      </c>
      <c r="J177" s="303">
        <f t="shared" si="76"/>
        <v>90</v>
      </c>
      <c r="K177" s="238">
        <f t="shared" si="77"/>
        <v>333333.33333333331</v>
      </c>
      <c r="L177" s="303">
        <f t="shared" si="78"/>
        <v>180</v>
      </c>
      <c r="M177" s="238">
        <f t="shared" si="79"/>
        <v>333333.33333333331</v>
      </c>
      <c r="N177" s="303">
        <f t="shared" si="80"/>
        <v>270</v>
      </c>
      <c r="O177" s="238">
        <f t="shared" si="81"/>
        <v>333333.33333333331</v>
      </c>
      <c r="P177" s="303">
        <f t="shared" si="82"/>
        <v>450</v>
      </c>
      <c r="Q177" s="238">
        <f t="shared" si="83"/>
        <v>333333.33333333331</v>
      </c>
    </row>
    <row r="178" spans="2:17" s="302" customFormat="1" ht="13.8" customHeight="1">
      <c r="B178" s="303">
        <f t="shared" si="70"/>
        <v>4.25</v>
      </c>
      <c r="C178" s="238">
        <f t="shared" si="71"/>
        <v>166666.66666666666</v>
      </c>
      <c r="D178" s="303">
        <v>8.5</v>
      </c>
      <c r="E178" s="238">
        <v>166666.66666666666</v>
      </c>
      <c r="F178" s="303">
        <f t="shared" si="72"/>
        <v>17</v>
      </c>
      <c r="G178" s="238">
        <f t="shared" si="73"/>
        <v>166666.66666666666</v>
      </c>
      <c r="H178" s="303">
        <f t="shared" si="74"/>
        <v>42.5</v>
      </c>
      <c r="I178" s="238">
        <f t="shared" si="75"/>
        <v>166666.66666666666</v>
      </c>
      <c r="J178" s="303">
        <f t="shared" si="76"/>
        <v>85</v>
      </c>
      <c r="K178" s="238">
        <f t="shared" si="77"/>
        <v>166666.66666666666</v>
      </c>
      <c r="L178" s="303">
        <f t="shared" si="78"/>
        <v>170</v>
      </c>
      <c r="M178" s="238">
        <f t="shared" si="79"/>
        <v>166666.66666666666</v>
      </c>
      <c r="N178" s="303">
        <f t="shared" si="80"/>
        <v>255</v>
      </c>
      <c r="O178" s="238">
        <f t="shared" si="81"/>
        <v>166666.66666666666</v>
      </c>
      <c r="P178" s="303">
        <f t="shared" si="82"/>
        <v>425</v>
      </c>
      <c r="Q178" s="238">
        <f t="shared" si="83"/>
        <v>166666.66666666666</v>
      </c>
    </row>
    <row r="179" spans="2:17" s="302" customFormat="1" ht="13.8" customHeight="1">
      <c r="B179" s="303">
        <f t="shared" si="70"/>
        <v>4</v>
      </c>
      <c r="C179" s="238">
        <f t="shared" si="71"/>
        <v>740.74074074074076</v>
      </c>
      <c r="D179" s="303">
        <v>8</v>
      </c>
      <c r="E179" s="238">
        <v>740.74074074074076</v>
      </c>
      <c r="F179" s="303">
        <f t="shared" si="72"/>
        <v>16</v>
      </c>
      <c r="G179" s="238">
        <f t="shared" si="73"/>
        <v>740.74074074074076</v>
      </c>
      <c r="H179" s="303">
        <f t="shared" si="74"/>
        <v>40</v>
      </c>
      <c r="I179" s="238">
        <f t="shared" si="75"/>
        <v>740.74074074074076</v>
      </c>
      <c r="J179" s="303">
        <f t="shared" si="76"/>
        <v>80</v>
      </c>
      <c r="K179" s="238">
        <f t="shared" si="77"/>
        <v>740.74074074074076</v>
      </c>
      <c r="L179" s="303">
        <f t="shared" si="78"/>
        <v>160</v>
      </c>
      <c r="M179" s="238">
        <f t="shared" si="79"/>
        <v>740.74074074074076</v>
      </c>
      <c r="N179" s="303">
        <f t="shared" si="80"/>
        <v>240</v>
      </c>
      <c r="O179" s="238">
        <f t="shared" si="81"/>
        <v>740.74074074074076</v>
      </c>
      <c r="P179" s="303">
        <f t="shared" si="82"/>
        <v>400</v>
      </c>
      <c r="Q179" s="238">
        <f t="shared" si="83"/>
        <v>740.74074074074076</v>
      </c>
    </row>
    <row r="180" spans="2:17" s="302" customFormat="1" ht="13.8" customHeight="1">
      <c r="B180" s="303">
        <f t="shared" si="70"/>
        <v>3.75</v>
      </c>
      <c r="C180" s="238">
        <f t="shared" si="71"/>
        <v>31250</v>
      </c>
      <c r="D180" s="303">
        <v>7.5</v>
      </c>
      <c r="E180" s="238">
        <v>31250</v>
      </c>
      <c r="F180" s="303">
        <f t="shared" si="72"/>
        <v>15</v>
      </c>
      <c r="G180" s="238">
        <f t="shared" si="73"/>
        <v>31250</v>
      </c>
      <c r="H180" s="303">
        <f t="shared" si="74"/>
        <v>37.5</v>
      </c>
      <c r="I180" s="238">
        <f t="shared" si="75"/>
        <v>31250</v>
      </c>
      <c r="J180" s="303">
        <f t="shared" si="76"/>
        <v>75</v>
      </c>
      <c r="K180" s="238">
        <f t="shared" si="77"/>
        <v>31250</v>
      </c>
      <c r="L180" s="303">
        <f t="shared" si="78"/>
        <v>150</v>
      </c>
      <c r="M180" s="238">
        <f t="shared" si="79"/>
        <v>31250</v>
      </c>
      <c r="N180" s="303">
        <f t="shared" si="80"/>
        <v>225</v>
      </c>
      <c r="O180" s="238">
        <f t="shared" si="81"/>
        <v>31250</v>
      </c>
      <c r="P180" s="303">
        <f t="shared" si="82"/>
        <v>375</v>
      </c>
      <c r="Q180" s="238">
        <f t="shared" si="83"/>
        <v>31250</v>
      </c>
    </row>
    <row r="181" spans="2:17" s="302" customFormat="1" ht="13.8" customHeight="1">
      <c r="B181" s="303">
        <f t="shared" si="70"/>
        <v>3.6</v>
      </c>
      <c r="C181" s="238">
        <f t="shared" si="71"/>
        <v>285714.28571428574</v>
      </c>
      <c r="D181" s="303">
        <v>7.2</v>
      </c>
      <c r="E181" s="238">
        <v>285714.28571428574</v>
      </c>
      <c r="F181" s="303">
        <f t="shared" si="72"/>
        <v>14.4</v>
      </c>
      <c r="G181" s="238">
        <f t="shared" si="73"/>
        <v>285714.28571428574</v>
      </c>
      <c r="H181" s="303">
        <f t="shared" si="74"/>
        <v>36</v>
      </c>
      <c r="I181" s="238">
        <f t="shared" si="75"/>
        <v>285714.28571428574</v>
      </c>
      <c r="J181" s="303">
        <f t="shared" si="76"/>
        <v>72</v>
      </c>
      <c r="K181" s="238">
        <f t="shared" si="77"/>
        <v>285714.28571428574</v>
      </c>
      <c r="L181" s="303">
        <f t="shared" si="78"/>
        <v>144</v>
      </c>
      <c r="M181" s="238">
        <f t="shared" si="79"/>
        <v>285714.28571428574</v>
      </c>
      <c r="N181" s="303">
        <f t="shared" si="80"/>
        <v>216</v>
      </c>
      <c r="O181" s="238">
        <f t="shared" si="81"/>
        <v>285714.28571428574</v>
      </c>
      <c r="P181" s="303">
        <f t="shared" si="82"/>
        <v>360</v>
      </c>
      <c r="Q181" s="238">
        <f t="shared" si="83"/>
        <v>285714.28571428574</v>
      </c>
    </row>
    <row r="182" spans="2:17" s="302" customFormat="1" ht="13.8" customHeight="1">
      <c r="B182" s="303">
        <f t="shared" si="70"/>
        <v>3.25</v>
      </c>
      <c r="C182" s="238">
        <f t="shared" si="71"/>
        <v>250000</v>
      </c>
      <c r="D182" s="303">
        <v>6.5</v>
      </c>
      <c r="E182" s="238">
        <v>250000</v>
      </c>
      <c r="F182" s="303">
        <f t="shared" si="72"/>
        <v>13</v>
      </c>
      <c r="G182" s="238">
        <f t="shared" si="73"/>
        <v>250000</v>
      </c>
      <c r="H182" s="303">
        <f t="shared" si="74"/>
        <v>32.5</v>
      </c>
      <c r="I182" s="238">
        <f t="shared" si="75"/>
        <v>250000</v>
      </c>
      <c r="J182" s="303">
        <f t="shared" si="76"/>
        <v>65</v>
      </c>
      <c r="K182" s="238">
        <f t="shared" si="77"/>
        <v>250000</v>
      </c>
      <c r="L182" s="303">
        <f t="shared" si="78"/>
        <v>130</v>
      </c>
      <c r="M182" s="238">
        <f t="shared" si="79"/>
        <v>250000</v>
      </c>
      <c r="N182" s="303">
        <f t="shared" si="80"/>
        <v>195</v>
      </c>
      <c r="O182" s="238">
        <f t="shared" si="81"/>
        <v>250000</v>
      </c>
      <c r="P182" s="303">
        <f t="shared" si="82"/>
        <v>325</v>
      </c>
      <c r="Q182" s="238">
        <f t="shared" si="83"/>
        <v>250000</v>
      </c>
    </row>
    <row r="183" spans="2:17" s="302" customFormat="1" ht="13.8" customHeight="1">
      <c r="B183" s="303">
        <f t="shared" si="70"/>
        <v>3</v>
      </c>
      <c r="C183" s="238">
        <f t="shared" si="71"/>
        <v>1325.3810470510273</v>
      </c>
      <c r="D183" s="303">
        <v>6</v>
      </c>
      <c r="E183" s="238">
        <v>1325.3810470510273</v>
      </c>
      <c r="F183" s="303">
        <f t="shared" si="72"/>
        <v>12</v>
      </c>
      <c r="G183" s="238">
        <f t="shared" si="73"/>
        <v>1325.3810470510273</v>
      </c>
      <c r="H183" s="303">
        <f t="shared" si="74"/>
        <v>30</v>
      </c>
      <c r="I183" s="238">
        <f t="shared" si="75"/>
        <v>1325.3810470510273</v>
      </c>
      <c r="J183" s="303">
        <f t="shared" si="76"/>
        <v>60</v>
      </c>
      <c r="K183" s="238">
        <f t="shared" si="77"/>
        <v>1325.3810470510273</v>
      </c>
      <c r="L183" s="303">
        <f t="shared" si="78"/>
        <v>120</v>
      </c>
      <c r="M183" s="238">
        <f t="shared" si="79"/>
        <v>1325.3810470510273</v>
      </c>
      <c r="N183" s="303">
        <f t="shared" si="80"/>
        <v>180</v>
      </c>
      <c r="O183" s="238">
        <f t="shared" si="81"/>
        <v>1325.3810470510273</v>
      </c>
      <c r="P183" s="303">
        <f t="shared" si="82"/>
        <v>300</v>
      </c>
      <c r="Q183" s="238">
        <f t="shared" si="83"/>
        <v>1325.3810470510273</v>
      </c>
    </row>
    <row r="184" spans="2:17" s="302" customFormat="1" ht="13.8" customHeight="1">
      <c r="B184" s="303">
        <f t="shared" si="70"/>
        <v>2.5</v>
      </c>
      <c r="C184" s="238">
        <f t="shared" si="71"/>
        <v>488.63913999511362</v>
      </c>
      <c r="D184" s="303">
        <v>5</v>
      </c>
      <c r="E184" s="238">
        <v>488.63913999511362</v>
      </c>
      <c r="F184" s="303">
        <f t="shared" si="72"/>
        <v>10</v>
      </c>
      <c r="G184" s="238">
        <f t="shared" si="73"/>
        <v>488.63913999511362</v>
      </c>
      <c r="H184" s="303">
        <f t="shared" si="74"/>
        <v>25</v>
      </c>
      <c r="I184" s="238">
        <f t="shared" si="75"/>
        <v>488.63913999511362</v>
      </c>
      <c r="J184" s="303">
        <f t="shared" si="76"/>
        <v>50</v>
      </c>
      <c r="K184" s="238">
        <f t="shared" si="77"/>
        <v>488.63913999511362</v>
      </c>
      <c r="L184" s="303">
        <f t="shared" si="78"/>
        <v>100</v>
      </c>
      <c r="M184" s="238">
        <f t="shared" si="79"/>
        <v>488.63913999511362</v>
      </c>
      <c r="N184" s="303">
        <f t="shared" si="80"/>
        <v>150</v>
      </c>
      <c r="O184" s="238">
        <f t="shared" si="81"/>
        <v>488.63913999511362</v>
      </c>
      <c r="P184" s="303">
        <f t="shared" si="82"/>
        <v>250</v>
      </c>
      <c r="Q184" s="238">
        <f t="shared" si="83"/>
        <v>488.63913999511362</v>
      </c>
    </row>
    <row r="185" spans="2:17" s="302" customFormat="1" ht="13.8" customHeight="1">
      <c r="B185" s="303">
        <f t="shared" si="70"/>
        <v>2.25</v>
      </c>
      <c r="C185" s="238">
        <f t="shared" si="71"/>
        <v>200000</v>
      </c>
      <c r="D185" s="303">
        <v>4.5</v>
      </c>
      <c r="E185" s="238">
        <v>200000</v>
      </c>
      <c r="F185" s="303">
        <f t="shared" si="72"/>
        <v>9</v>
      </c>
      <c r="G185" s="238">
        <f t="shared" si="73"/>
        <v>200000</v>
      </c>
      <c r="H185" s="303">
        <f t="shared" si="74"/>
        <v>22.5</v>
      </c>
      <c r="I185" s="238">
        <f t="shared" si="75"/>
        <v>200000</v>
      </c>
      <c r="J185" s="303">
        <f t="shared" si="76"/>
        <v>45</v>
      </c>
      <c r="K185" s="238">
        <f t="shared" si="77"/>
        <v>200000</v>
      </c>
      <c r="L185" s="303">
        <f t="shared" si="78"/>
        <v>90</v>
      </c>
      <c r="M185" s="238">
        <f t="shared" si="79"/>
        <v>200000</v>
      </c>
      <c r="N185" s="303">
        <f t="shared" si="80"/>
        <v>135</v>
      </c>
      <c r="O185" s="238">
        <f t="shared" si="81"/>
        <v>200000</v>
      </c>
      <c r="P185" s="303">
        <f t="shared" si="82"/>
        <v>225</v>
      </c>
      <c r="Q185" s="238">
        <f t="shared" si="83"/>
        <v>200000</v>
      </c>
    </row>
    <row r="186" spans="2:17" s="302" customFormat="1" ht="13.8" customHeight="1">
      <c r="B186" s="303">
        <f t="shared" si="70"/>
        <v>2</v>
      </c>
      <c r="C186" s="238">
        <f t="shared" si="71"/>
        <v>553.70985603543738</v>
      </c>
      <c r="D186" s="303">
        <v>4</v>
      </c>
      <c r="E186" s="238">
        <v>553.70985603543738</v>
      </c>
      <c r="F186" s="303">
        <f t="shared" si="72"/>
        <v>8</v>
      </c>
      <c r="G186" s="238">
        <f t="shared" si="73"/>
        <v>553.70985603543738</v>
      </c>
      <c r="H186" s="303">
        <f t="shared" si="74"/>
        <v>20</v>
      </c>
      <c r="I186" s="238">
        <f t="shared" si="75"/>
        <v>553.70985603543738</v>
      </c>
      <c r="J186" s="303">
        <f t="shared" si="76"/>
        <v>40</v>
      </c>
      <c r="K186" s="238">
        <f t="shared" si="77"/>
        <v>553.70985603543738</v>
      </c>
      <c r="L186" s="303">
        <f t="shared" si="78"/>
        <v>80</v>
      </c>
      <c r="M186" s="238">
        <f t="shared" si="79"/>
        <v>553.70985603543738</v>
      </c>
      <c r="N186" s="303">
        <f t="shared" si="80"/>
        <v>120</v>
      </c>
      <c r="O186" s="238">
        <f t="shared" si="81"/>
        <v>553.70985603543738</v>
      </c>
      <c r="P186" s="303">
        <f t="shared" si="82"/>
        <v>200</v>
      </c>
      <c r="Q186" s="238">
        <f t="shared" si="83"/>
        <v>553.70985603543738</v>
      </c>
    </row>
    <row r="187" spans="2:17" s="302" customFormat="1" ht="13.8" customHeight="1">
      <c r="B187" s="303">
        <f t="shared" si="70"/>
        <v>1.5</v>
      </c>
      <c r="C187" s="238">
        <f t="shared" si="71"/>
        <v>1697.7928692699491</v>
      </c>
      <c r="D187" s="303">
        <v>3</v>
      </c>
      <c r="E187" s="238">
        <v>1697.7928692699491</v>
      </c>
      <c r="F187" s="303">
        <f t="shared" si="72"/>
        <v>6</v>
      </c>
      <c r="G187" s="238">
        <f t="shared" si="73"/>
        <v>1697.7928692699491</v>
      </c>
      <c r="H187" s="303">
        <f t="shared" si="74"/>
        <v>15</v>
      </c>
      <c r="I187" s="238">
        <f t="shared" si="75"/>
        <v>1697.7928692699491</v>
      </c>
      <c r="J187" s="303">
        <f t="shared" si="76"/>
        <v>30</v>
      </c>
      <c r="K187" s="238">
        <f t="shared" si="77"/>
        <v>1697.7928692699491</v>
      </c>
      <c r="L187" s="303">
        <f t="shared" si="78"/>
        <v>60</v>
      </c>
      <c r="M187" s="238">
        <f t="shared" si="79"/>
        <v>1697.7928692699491</v>
      </c>
      <c r="N187" s="303">
        <f t="shared" si="80"/>
        <v>90</v>
      </c>
      <c r="O187" s="238">
        <f t="shared" si="81"/>
        <v>1697.7928692699491</v>
      </c>
      <c r="P187" s="303">
        <f t="shared" si="82"/>
        <v>150</v>
      </c>
      <c r="Q187" s="238">
        <f t="shared" si="83"/>
        <v>1697.7928692699491</v>
      </c>
    </row>
    <row r="188" spans="2:17" s="302" customFormat="1" ht="13.8" customHeight="1">
      <c r="B188" s="303">
        <f t="shared" si="70"/>
        <v>1.25</v>
      </c>
      <c r="C188" s="238">
        <f t="shared" si="71"/>
        <v>662.47101689301098</v>
      </c>
      <c r="D188" s="303">
        <v>2.5</v>
      </c>
      <c r="E188" s="238">
        <v>662.47101689301098</v>
      </c>
      <c r="F188" s="303">
        <f t="shared" si="72"/>
        <v>5</v>
      </c>
      <c r="G188" s="238">
        <f t="shared" si="73"/>
        <v>662.47101689301098</v>
      </c>
      <c r="H188" s="303">
        <f t="shared" si="74"/>
        <v>12.5</v>
      </c>
      <c r="I188" s="238">
        <f t="shared" si="75"/>
        <v>662.47101689301098</v>
      </c>
      <c r="J188" s="303">
        <f t="shared" si="76"/>
        <v>25</v>
      </c>
      <c r="K188" s="238">
        <f t="shared" si="77"/>
        <v>662.47101689301098</v>
      </c>
      <c r="L188" s="303">
        <f t="shared" si="78"/>
        <v>50</v>
      </c>
      <c r="M188" s="238">
        <f t="shared" si="79"/>
        <v>662.47101689301098</v>
      </c>
      <c r="N188" s="303">
        <f t="shared" si="80"/>
        <v>75</v>
      </c>
      <c r="O188" s="238">
        <f t="shared" si="81"/>
        <v>662.47101689301098</v>
      </c>
      <c r="P188" s="303">
        <f t="shared" si="82"/>
        <v>125</v>
      </c>
      <c r="Q188" s="238">
        <f t="shared" si="83"/>
        <v>662.47101689301098</v>
      </c>
    </row>
    <row r="189" spans="2:17" s="302" customFormat="1" ht="13.8" customHeight="1">
      <c r="B189" s="303">
        <f t="shared" si="70"/>
        <v>1</v>
      </c>
      <c r="C189" s="238">
        <f t="shared" si="71"/>
        <v>38.261401897765538</v>
      </c>
      <c r="D189" s="303">
        <v>2</v>
      </c>
      <c r="E189" s="238">
        <v>38.261401897765538</v>
      </c>
      <c r="F189" s="303">
        <f t="shared" si="72"/>
        <v>4</v>
      </c>
      <c r="G189" s="238">
        <f t="shared" si="73"/>
        <v>38.261401897765538</v>
      </c>
      <c r="H189" s="303">
        <f t="shared" si="74"/>
        <v>10</v>
      </c>
      <c r="I189" s="238">
        <f t="shared" si="75"/>
        <v>38.261401897765538</v>
      </c>
      <c r="J189" s="303">
        <f t="shared" si="76"/>
        <v>20</v>
      </c>
      <c r="K189" s="238">
        <f t="shared" si="77"/>
        <v>38.261401897765538</v>
      </c>
      <c r="L189" s="303">
        <f t="shared" si="78"/>
        <v>40</v>
      </c>
      <c r="M189" s="238">
        <f t="shared" si="79"/>
        <v>38.261401897765538</v>
      </c>
      <c r="N189" s="303">
        <f t="shared" si="80"/>
        <v>60</v>
      </c>
      <c r="O189" s="238">
        <f t="shared" si="81"/>
        <v>38.261401897765538</v>
      </c>
      <c r="P189" s="303">
        <f t="shared" si="82"/>
        <v>100</v>
      </c>
      <c r="Q189" s="238">
        <f t="shared" si="83"/>
        <v>38.261401897765538</v>
      </c>
    </row>
    <row r="190" spans="2:17" s="302" customFormat="1" ht="13.8" customHeight="1">
      <c r="B190" s="303">
        <f t="shared" si="70"/>
        <v>0.75</v>
      </c>
      <c r="C190" s="238">
        <f t="shared" si="71"/>
        <v>22.099447513812155</v>
      </c>
      <c r="D190" s="303">
        <v>1.5</v>
      </c>
      <c r="E190" s="238">
        <v>22.099447513812155</v>
      </c>
      <c r="F190" s="303">
        <f t="shared" si="72"/>
        <v>3</v>
      </c>
      <c r="G190" s="238">
        <f t="shared" si="73"/>
        <v>22.099447513812155</v>
      </c>
      <c r="H190" s="303">
        <f t="shared" si="74"/>
        <v>7.5</v>
      </c>
      <c r="I190" s="238">
        <f t="shared" si="75"/>
        <v>22.099447513812155</v>
      </c>
      <c r="J190" s="303">
        <f t="shared" si="76"/>
        <v>15</v>
      </c>
      <c r="K190" s="238">
        <f t="shared" si="77"/>
        <v>22.099447513812155</v>
      </c>
      <c r="L190" s="303">
        <f t="shared" si="78"/>
        <v>30</v>
      </c>
      <c r="M190" s="238">
        <f t="shared" si="79"/>
        <v>22.099447513812155</v>
      </c>
      <c r="N190" s="303">
        <f t="shared" si="80"/>
        <v>45</v>
      </c>
      <c r="O190" s="238">
        <f t="shared" si="81"/>
        <v>22.099447513812155</v>
      </c>
      <c r="P190" s="303">
        <f t="shared" si="82"/>
        <v>75</v>
      </c>
      <c r="Q190" s="238">
        <f t="shared" si="83"/>
        <v>22.099447513812155</v>
      </c>
    </row>
    <row r="191" spans="2:17" s="302" customFormat="1" ht="13.8" customHeight="1">
      <c r="B191" s="303">
        <f t="shared" si="70"/>
        <v>0.5</v>
      </c>
      <c r="C191" s="238">
        <f t="shared" si="71"/>
        <v>14.94701283948403</v>
      </c>
      <c r="D191" s="303">
        <v>1</v>
      </c>
      <c r="E191" s="238">
        <v>14.94701283948403</v>
      </c>
      <c r="F191" s="303">
        <f t="shared" si="72"/>
        <v>2</v>
      </c>
      <c r="G191" s="238">
        <f t="shared" si="73"/>
        <v>14.94701283948403</v>
      </c>
      <c r="H191" s="303">
        <f t="shared" si="74"/>
        <v>5</v>
      </c>
      <c r="I191" s="238">
        <f t="shared" si="75"/>
        <v>14.94701283948403</v>
      </c>
      <c r="J191" s="303">
        <f t="shared" si="76"/>
        <v>10</v>
      </c>
      <c r="K191" s="238">
        <f t="shared" si="77"/>
        <v>14.94701283948403</v>
      </c>
      <c r="L191" s="303">
        <f t="shared" si="78"/>
        <v>20</v>
      </c>
      <c r="M191" s="238">
        <f t="shared" si="79"/>
        <v>14.94701283948403</v>
      </c>
      <c r="N191" s="303">
        <f t="shared" si="80"/>
        <v>30</v>
      </c>
      <c r="O191" s="238">
        <f t="shared" si="81"/>
        <v>14.94701283948403</v>
      </c>
      <c r="P191" s="303">
        <f t="shared" si="82"/>
        <v>50</v>
      </c>
      <c r="Q191" s="238">
        <f t="shared" si="83"/>
        <v>14.94701283948403</v>
      </c>
    </row>
    <row r="192" spans="2:17" s="302" customFormat="1" ht="13.8" customHeight="1">
      <c r="B192" s="303">
        <f t="shared" si="70"/>
        <v>0.3</v>
      </c>
      <c r="C192" s="238">
        <f t="shared" si="71"/>
        <v>250</v>
      </c>
      <c r="D192" s="303">
        <v>0.6</v>
      </c>
      <c r="E192" s="238">
        <v>250</v>
      </c>
      <c r="F192" s="303">
        <f t="shared" si="72"/>
        <v>1.2</v>
      </c>
      <c r="G192" s="238">
        <f t="shared" si="73"/>
        <v>250</v>
      </c>
      <c r="H192" s="303">
        <f t="shared" si="74"/>
        <v>3</v>
      </c>
      <c r="I192" s="238">
        <f t="shared" si="75"/>
        <v>250</v>
      </c>
      <c r="J192" s="303">
        <f t="shared" si="76"/>
        <v>6</v>
      </c>
      <c r="K192" s="238">
        <f t="shared" si="77"/>
        <v>250</v>
      </c>
      <c r="L192" s="303">
        <f t="shared" si="78"/>
        <v>12</v>
      </c>
      <c r="M192" s="238">
        <f t="shared" si="79"/>
        <v>250</v>
      </c>
      <c r="N192" s="303">
        <f t="shared" si="80"/>
        <v>18</v>
      </c>
      <c r="O192" s="238">
        <f t="shared" si="81"/>
        <v>250</v>
      </c>
      <c r="P192" s="303">
        <f t="shared" si="82"/>
        <v>30</v>
      </c>
      <c r="Q192" s="238">
        <f t="shared" si="83"/>
        <v>250</v>
      </c>
    </row>
    <row r="193" spans="2:17" s="302" customFormat="1" ht="13.8" customHeight="1">
      <c r="B193" s="303">
        <f t="shared" si="70"/>
        <v>0.25</v>
      </c>
      <c r="C193" s="238">
        <f t="shared" si="71"/>
        <v>99.995000249987498</v>
      </c>
      <c r="D193" s="303">
        <v>0.5</v>
      </c>
      <c r="E193" s="238">
        <v>99.995000249987498</v>
      </c>
      <c r="F193" s="303">
        <f t="shared" si="72"/>
        <v>1</v>
      </c>
      <c r="G193" s="238">
        <f t="shared" si="73"/>
        <v>99.995000249987498</v>
      </c>
      <c r="H193" s="303">
        <f t="shared" si="74"/>
        <v>2.5</v>
      </c>
      <c r="I193" s="238">
        <f t="shared" si="75"/>
        <v>99.995000249987498</v>
      </c>
      <c r="J193" s="303">
        <f t="shared" si="76"/>
        <v>5</v>
      </c>
      <c r="K193" s="238">
        <f t="shared" si="77"/>
        <v>99.995000249987498</v>
      </c>
      <c r="L193" s="303">
        <f t="shared" si="78"/>
        <v>10</v>
      </c>
      <c r="M193" s="238">
        <f t="shared" si="79"/>
        <v>99.995000249987498</v>
      </c>
      <c r="N193" s="303">
        <f t="shared" si="80"/>
        <v>15</v>
      </c>
      <c r="O193" s="238">
        <f t="shared" si="81"/>
        <v>99.995000249987498</v>
      </c>
      <c r="P193" s="303">
        <f t="shared" si="82"/>
        <v>25</v>
      </c>
      <c r="Q193" s="238">
        <f t="shared" si="83"/>
        <v>99.995000249987498</v>
      </c>
    </row>
    <row r="194" spans="2:17" s="302" customFormat="1" ht="13.8" customHeight="1">
      <c r="B194" s="303">
        <f t="shared" si="70"/>
        <v>0.2</v>
      </c>
      <c r="C194" s="238">
        <f t="shared" si="71"/>
        <v>166.66666666666666</v>
      </c>
      <c r="D194" s="303">
        <v>0.4</v>
      </c>
      <c r="E194" s="238">
        <v>166.66666666666666</v>
      </c>
      <c r="F194" s="303">
        <f t="shared" si="72"/>
        <v>0.8</v>
      </c>
      <c r="G194" s="238">
        <f t="shared" si="73"/>
        <v>166.66666666666666</v>
      </c>
      <c r="H194" s="303">
        <f t="shared" si="74"/>
        <v>2</v>
      </c>
      <c r="I194" s="238">
        <f t="shared" si="75"/>
        <v>166.66666666666666</v>
      </c>
      <c r="J194" s="303">
        <f t="shared" si="76"/>
        <v>4</v>
      </c>
      <c r="K194" s="238">
        <f t="shared" si="77"/>
        <v>166.66666666666666</v>
      </c>
      <c r="L194" s="303">
        <f t="shared" si="78"/>
        <v>8</v>
      </c>
      <c r="M194" s="238">
        <f t="shared" si="79"/>
        <v>166.66666666666666</v>
      </c>
      <c r="N194" s="303">
        <f t="shared" si="80"/>
        <v>12</v>
      </c>
      <c r="O194" s="238">
        <f t="shared" si="81"/>
        <v>166.66666666666666</v>
      </c>
      <c r="P194" s="303">
        <f t="shared" si="82"/>
        <v>20</v>
      </c>
      <c r="Q194" s="238">
        <f t="shared" si="83"/>
        <v>166.66666666666666</v>
      </c>
    </row>
    <row r="195" spans="2:17" s="302" customFormat="1" ht="13.8" customHeight="1">
      <c r="B195" s="303">
        <f t="shared" si="70"/>
        <v>0.15</v>
      </c>
      <c r="C195" s="238">
        <f t="shared" si="71"/>
        <v>125</v>
      </c>
      <c r="D195" s="303">
        <v>0.3</v>
      </c>
      <c r="E195" s="238">
        <v>125</v>
      </c>
      <c r="F195" s="303">
        <f t="shared" si="72"/>
        <v>0.6</v>
      </c>
      <c r="G195" s="238">
        <f t="shared" si="73"/>
        <v>125</v>
      </c>
      <c r="H195" s="303">
        <f t="shared" si="74"/>
        <v>1.5</v>
      </c>
      <c r="I195" s="238">
        <f t="shared" si="75"/>
        <v>125</v>
      </c>
      <c r="J195" s="303">
        <f t="shared" si="76"/>
        <v>3</v>
      </c>
      <c r="K195" s="238">
        <f t="shared" si="77"/>
        <v>125</v>
      </c>
      <c r="L195" s="303">
        <f t="shared" si="78"/>
        <v>6</v>
      </c>
      <c r="M195" s="238">
        <f t="shared" si="79"/>
        <v>125</v>
      </c>
      <c r="N195" s="303">
        <f t="shared" si="80"/>
        <v>9</v>
      </c>
      <c r="O195" s="238">
        <f t="shared" si="81"/>
        <v>125</v>
      </c>
      <c r="P195" s="303">
        <f t="shared" si="82"/>
        <v>15</v>
      </c>
      <c r="Q195" s="238">
        <f t="shared" si="83"/>
        <v>125</v>
      </c>
    </row>
    <row r="196" spans="2:17" s="302" customFormat="1" ht="13.8" customHeight="1">
      <c r="B196" s="303">
        <f t="shared" si="70"/>
        <v>0.1</v>
      </c>
      <c r="C196" s="238">
        <f t="shared" si="71"/>
        <v>31.248535224911333</v>
      </c>
      <c r="D196" s="303">
        <v>0.2</v>
      </c>
      <c r="E196" s="238">
        <v>31.248535224911333</v>
      </c>
      <c r="F196" s="303">
        <f t="shared" si="72"/>
        <v>0.4</v>
      </c>
      <c r="G196" s="238">
        <f t="shared" si="73"/>
        <v>31.248535224911333</v>
      </c>
      <c r="H196" s="303">
        <f t="shared" si="74"/>
        <v>1</v>
      </c>
      <c r="I196" s="238">
        <f t="shared" si="75"/>
        <v>31.248535224911333</v>
      </c>
      <c r="J196" s="303">
        <f t="shared" si="76"/>
        <v>2</v>
      </c>
      <c r="K196" s="238">
        <f t="shared" si="77"/>
        <v>31.248535224911333</v>
      </c>
      <c r="L196" s="303">
        <f t="shared" si="78"/>
        <v>4</v>
      </c>
      <c r="M196" s="238">
        <f t="shared" si="79"/>
        <v>31.248535224911333</v>
      </c>
      <c r="N196" s="303">
        <f t="shared" si="80"/>
        <v>6</v>
      </c>
      <c r="O196" s="238">
        <f t="shared" si="81"/>
        <v>31.248535224911333</v>
      </c>
      <c r="P196" s="303">
        <f t="shared" si="82"/>
        <v>10</v>
      </c>
      <c r="Q196" s="238">
        <f t="shared" si="83"/>
        <v>31.248535224911333</v>
      </c>
    </row>
    <row r="197" spans="2:17" s="302" customFormat="1" ht="13.8" customHeight="1" thickBot="1">
      <c r="B197" s="239">
        <f t="shared" si="70"/>
        <v>0.05</v>
      </c>
      <c r="C197" s="240">
        <f t="shared" si="71"/>
        <v>28.571428571428573</v>
      </c>
      <c r="D197" s="239">
        <v>0.1</v>
      </c>
      <c r="E197" s="240">
        <v>28.571428571428573</v>
      </c>
      <c r="F197" s="239">
        <f t="shared" si="72"/>
        <v>0.2</v>
      </c>
      <c r="G197" s="240">
        <f t="shared" si="73"/>
        <v>28.571428571428573</v>
      </c>
      <c r="H197" s="239">
        <f t="shared" si="74"/>
        <v>0.5</v>
      </c>
      <c r="I197" s="240">
        <f t="shared" si="75"/>
        <v>28.571428571428573</v>
      </c>
      <c r="J197" s="239">
        <f t="shared" si="76"/>
        <v>1</v>
      </c>
      <c r="K197" s="240">
        <f t="shared" si="77"/>
        <v>28.571428571428573</v>
      </c>
      <c r="L197" s="239">
        <f t="shared" si="78"/>
        <v>2</v>
      </c>
      <c r="M197" s="240">
        <f t="shared" si="79"/>
        <v>28.571428571428573</v>
      </c>
      <c r="N197" s="239">
        <f t="shared" si="80"/>
        <v>3</v>
      </c>
      <c r="O197" s="240">
        <f t="shared" si="81"/>
        <v>28.571428571428573</v>
      </c>
      <c r="P197" s="239">
        <f t="shared" si="82"/>
        <v>5</v>
      </c>
      <c r="Q197" s="240">
        <f t="shared" si="83"/>
        <v>28.571428571428573</v>
      </c>
    </row>
    <row r="198" spans="2:17" s="302" customFormat="1" ht="13.8" customHeight="1" thickBot="1">
      <c r="B198" s="241" t="s">
        <v>95</v>
      </c>
      <c r="C198" s="242">
        <f t="shared" si="71"/>
        <v>1.3638917833703399</v>
      </c>
      <c r="D198" s="241" t="s">
        <v>95</v>
      </c>
      <c r="E198" s="242">
        <v>1.3638917833703399</v>
      </c>
      <c r="F198" s="241" t="s">
        <v>95</v>
      </c>
      <c r="G198" s="242">
        <f t="shared" si="73"/>
        <v>1.3638917833703399</v>
      </c>
      <c r="H198" s="241" t="s">
        <v>95</v>
      </c>
      <c r="I198" s="242">
        <f t="shared" si="75"/>
        <v>1.3638917833703399</v>
      </c>
      <c r="J198" s="241" t="s">
        <v>95</v>
      </c>
      <c r="K198" s="242">
        <f t="shared" si="77"/>
        <v>1.3638917833703399</v>
      </c>
      <c r="L198" s="241" t="s">
        <v>95</v>
      </c>
      <c r="M198" s="242">
        <f t="shared" si="79"/>
        <v>1.3638917833703399</v>
      </c>
      <c r="N198" s="241" t="s">
        <v>95</v>
      </c>
      <c r="O198" s="242">
        <f t="shared" si="81"/>
        <v>1.3638917833703399</v>
      </c>
      <c r="P198" s="241" t="s">
        <v>95</v>
      </c>
      <c r="Q198" s="242">
        <f t="shared" si="83"/>
        <v>1.3638917833703399</v>
      </c>
    </row>
    <row r="199" spans="2:17" s="302" customFormat="1">
      <c r="C199" s="82"/>
      <c r="E199" s="82"/>
      <c r="G199" s="82"/>
      <c r="I199" s="82"/>
      <c r="K199" s="82"/>
      <c r="M199" s="82"/>
      <c r="O199" s="82"/>
      <c r="Q199" s="82"/>
    </row>
    <row r="200" spans="2:17" s="302" customFormat="1">
      <c r="C200" s="82"/>
      <c r="E200" s="82"/>
      <c r="G200" s="82"/>
      <c r="I200" s="82"/>
      <c r="K200" s="82"/>
      <c r="M200" s="82"/>
      <c r="O200" s="82"/>
      <c r="Q200" s="8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J28"/>
  <sheetViews>
    <sheetView workbookViewId="0">
      <selection activeCell="E28" sqref="E28"/>
    </sheetView>
  </sheetViews>
  <sheetFormatPr defaultRowHeight="13.2"/>
  <cols>
    <col min="1" max="1" width="25.33203125" customWidth="1"/>
    <col min="2" max="9" width="19.109375" customWidth="1"/>
  </cols>
  <sheetData>
    <row r="1" spans="1:9" ht="15" customHeight="1">
      <c r="A1" s="243" t="s">
        <v>96</v>
      </c>
      <c r="B1" s="244">
        <v>0.5</v>
      </c>
      <c r="C1" s="244">
        <v>1</v>
      </c>
      <c r="D1" s="244">
        <v>2</v>
      </c>
      <c r="E1" s="244">
        <v>5</v>
      </c>
      <c r="F1" s="244">
        <v>10</v>
      </c>
      <c r="G1" s="244">
        <v>20</v>
      </c>
      <c r="H1" s="244">
        <v>30</v>
      </c>
      <c r="I1" s="244">
        <v>50</v>
      </c>
    </row>
    <row r="2" spans="1:9" ht="14.4" customHeight="1">
      <c r="A2" s="245" t="s">
        <v>97</v>
      </c>
      <c r="B2" s="246">
        <f>$C$2*B1</f>
        <v>500</v>
      </c>
      <c r="C2" s="246">
        <v>1000</v>
      </c>
      <c r="D2" s="246">
        <f t="shared" ref="D2:I2" si="0">$C$2*D1</f>
        <v>2000</v>
      </c>
      <c r="E2" s="246">
        <f t="shared" si="0"/>
        <v>5000</v>
      </c>
      <c r="F2" s="246">
        <f t="shared" si="0"/>
        <v>10000</v>
      </c>
      <c r="G2" s="246">
        <f t="shared" si="0"/>
        <v>20000</v>
      </c>
      <c r="H2" s="246">
        <f t="shared" si="0"/>
        <v>30000</v>
      </c>
      <c r="I2" s="246">
        <f t="shared" si="0"/>
        <v>50000</v>
      </c>
    </row>
    <row r="3" spans="1:9" ht="15" customHeight="1">
      <c r="A3" s="247" t="s">
        <v>98</v>
      </c>
      <c r="B3" s="248" t="s">
        <v>99</v>
      </c>
      <c r="C3" s="248" t="s">
        <v>99</v>
      </c>
      <c r="D3" s="248" t="s">
        <v>99</v>
      </c>
      <c r="E3" s="248" t="s">
        <v>99</v>
      </c>
      <c r="F3" s="248" t="s">
        <v>99</v>
      </c>
      <c r="G3" s="248" t="s">
        <v>99</v>
      </c>
      <c r="H3" s="248" t="s">
        <v>99</v>
      </c>
      <c r="I3" s="248" t="s">
        <v>99</v>
      </c>
    </row>
    <row r="4" spans="1:9" ht="14.4" customHeight="1">
      <c r="A4" s="245" t="s">
        <v>100</v>
      </c>
      <c r="B4" s="249">
        <f>C4</f>
        <v>0.83</v>
      </c>
      <c r="C4" s="249">
        <v>0.83</v>
      </c>
      <c r="D4" s="249">
        <f>C4</f>
        <v>0.83</v>
      </c>
      <c r="E4" s="249">
        <f>C4</f>
        <v>0.83</v>
      </c>
      <c r="F4" s="249">
        <f>C4</f>
        <v>0.83</v>
      </c>
      <c r="G4" s="249">
        <f>C4</f>
        <v>0.83</v>
      </c>
      <c r="H4" s="249">
        <f>C4</f>
        <v>0.83</v>
      </c>
      <c r="I4" s="249">
        <f>C4</f>
        <v>0.83</v>
      </c>
    </row>
    <row r="5" spans="1:9" ht="14.4" customHeight="1">
      <c r="A5" s="250" t="s">
        <v>101</v>
      </c>
      <c r="B5" s="251">
        <f>C5</f>
        <v>0</v>
      </c>
      <c r="C5" s="251">
        <v>0</v>
      </c>
      <c r="D5" s="251">
        <f>C5</f>
        <v>0</v>
      </c>
      <c r="E5" s="251">
        <f>C5</f>
        <v>0</v>
      </c>
      <c r="F5" s="251">
        <f>C5</f>
        <v>0</v>
      </c>
      <c r="G5" s="251">
        <f>C5</f>
        <v>0</v>
      </c>
      <c r="H5" s="251">
        <f>C5</f>
        <v>0</v>
      </c>
      <c r="I5" s="251">
        <f>C5</f>
        <v>0</v>
      </c>
    </row>
    <row r="6" spans="1:9" ht="14.4" customHeight="1">
      <c r="A6" s="252" t="s">
        <v>102</v>
      </c>
      <c r="B6" s="253">
        <f>C6</f>
        <v>3.748069744081798</v>
      </c>
      <c r="C6" s="253">
        <v>3.748069744081798</v>
      </c>
      <c r="D6" s="253">
        <f>C6</f>
        <v>3.748069744081798</v>
      </c>
      <c r="E6" s="253">
        <f>C6</f>
        <v>3.748069744081798</v>
      </c>
      <c r="F6" s="253">
        <f>C6</f>
        <v>3.748069744081798</v>
      </c>
      <c r="G6" s="253">
        <f>C6</f>
        <v>3.748069744081798</v>
      </c>
      <c r="H6" s="253">
        <f>C6</f>
        <v>3.748069744081798</v>
      </c>
      <c r="I6" s="253">
        <f>C6</f>
        <v>3.748069744081798</v>
      </c>
    </row>
    <row r="7" spans="1:9" ht="15" customHeight="1">
      <c r="A7" s="254" t="s">
        <v>96</v>
      </c>
      <c r="B7" s="255">
        <v>2000000</v>
      </c>
      <c r="C7" s="255">
        <v>2000000</v>
      </c>
      <c r="D7" s="255">
        <v>2000000</v>
      </c>
      <c r="E7" s="255">
        <v>2000000</v>
      </c>
      <c r="F7" s="255">
        <v>2000000</v>
      </c>
      <c r="G7" s="255">
        <v>2000000</v>
      </c>
      <c r="H7" s="255">
        <v>2000000</v>
      </c>
      <c r="I7" s="255">
        <v>2000000</v>
      </c>
    </row>
    <row r="8" spans="1:9" ht="14.4" customHeight="1">
      <c r="A8" s="245" t="s">
        <v>103</v>
      </c>
      <c r="B8" s="256" t="s">
        <v>104</v>
      </c>
      <c r="C8" s="256" t="s">
        <v>104</v>
      </c>
      <c r="D8" s="256" t="s">
        <v>104</v>
      </c>
      <c r="E8" s="256" t="s">
        <v>104</v>
      </c>
      <c r="F8" s="256" t="s">
        <v>104</v>
      </c>
      <c r="G8" s="256" t="s">
        <v>104</v>
      </c>
      <c r="H8" s="256" t="s">
        <v>104</v>
      </c>
      <c r="I8" s="256" t="s">
        <v>104</v>
      </c>
    </row>
    <row r="9" spans="1:9" ht="15" customHeight="1">
      <c r="A9" s="254" t="s">
        <v>105</v>
      </c>
      <c r="B9" s="257">
        <f>C9</f>
        <v>0.2797232530120482</v>
      </c>
      <c r="C9" s="257">
        <v>0.2797232530120482</v>
      </c>
      <c r="D9" s="257">
        <f>C9</f>
        <v>0.2797232530120482</v>
      </c>
      <c r="E9" s="257">
        <f>C9</f>
        <v>0.2797232530120482</v>
      </c>
      <c r="F9" s="257">
        <f>C9</f>
        <v>0.2797232530120482</v>
      </c>
      <c r="G9" s="257">
        <f>C9</f>
        <v>0.2797232530120482</v>
      </c>
      <c r="H9" s="257">
        <f>C9</f>
        <v>0.2797232530120482</v>
      </c>
      <c r="I9" s="257">
        <f>C9</f>
        <v>0.2797232530120482</v>
      </c>
    </row>
    <row r="10" spans="1:9" ht="14.4" customHeight="1">
      <c r="A10" s="245" t="s">
        <v>106</v>
      </c>
      <c r="B10" s="256" t="s">
        <v>107</v>
      </c>
      <c r="C10" s="256" t="s">
        <v>107</v>
      </c>
      <c r="D10" s="256" t="s">
        <v>107</v>
      </c>
      <c r="E10" s="256" t="s">
        <v>107</v>
      </c>
      <c r="F10" s="256" t="s">
        <v>107</v>
      </c>
      <c r="G10" s="256" t="s">
        <v>107</v>
      </c>
      <c r="H10" s="256" t="s">
        <v>107</v>
      </c>
      <c r="I10" s="256" t="s">
        <v>107</v>
      </c>
    </row>
    <row r="11" spans="1:9" ht="15" customHeight="1">
      <c r="A11" s="254" t="s">
        <v>108</v>
      </c>
      <c r="B11" s="257">
        <f>C11</f>
        <v>0.27419319277108428</v>
      </c>
      <c r="C11" s="257">
        <v>0.27419319277108428</v>
      </c>
      <c r="D11" s="257">
        <f>C11</f>
        <v>0.27419319277108428</v>
      </c>
      <c r="E11" s="257">
        <f>C11</f>
        <v>0.27419319277108428</v>
      </c>
      <c r="F11" s="257">
        <f>C11</f>
        <v>0.27419319277108428</v>
      </c>
      <c r="G11" s="257">
        <f>C11</f>
        <v>0.27419319277108428</v>
      </c>
      <c r="H11" s="257">
        <f>C11</f>
        <v>0.27419319277108428</v>
      </c>
      <c r="I11" s="257">
        <f>C11</f>
        <v>0.27419319277108428</v>
      </c>
    </row>
    <row r="12" spans="1:9" ht="14.4" customHeight="1">
      <c r="A12" s="245" t="s">
        <v>109</v>
      </c>
      <c r="B12" s="256" t="s">
        <v>110</v>
      </c>
      <c r="C12" s="256" t="s">
        <v>110</v>
      </c>
      <c r="D12" s="256" t="s">
        <v>110</v>
      </c>
      <c r="E12" s="256" t="s">
        <v>110</v>
      </c>
      <c r="F12" s="256" t="s">
        <v>110</v>
      </c>
      <c r="G12" s="256" t="s">
        <v>110</v>
      </c>
      <c r="H12" s="256" t="s">
        <v>110</v>
      </c>
      <c r="I12" s="256" t="s">
        <v>110</v>
      </c>
    </row>
    <row r="13" spans="1:9" ht="15" customHeight="1">
      <c r="A13" s="254" t="s">
        <v>111</v>
      </c>
      <c r="B13" s="257">
        <f>C13</f>
        <v>0.44608355421686752</v>
      </c>
      <c r="C13" s="257">
        <v>0.44608355421686752</v>
      </c>
      <c r="D13" s="257">
        <f>C13</f>
        <v>0.44608355421686752</v>
      </c>
      <c r="E13" s="257">
        <f>C13</f>
        <v>0.44608355421686752</v>
      </c>
      <c r="F13" s="257">
        <f>C13</f>
        <v>0.44608355421686752</v>
      </c>
      <c r="G13" s="257">
        <f>C13</f>
        <v>0.44608355421686752</v>
      </c>
      <c r="H13" s="257">
        <f>C13</f>
        <v>0.44608355421686752</v>
      </c>
      <c r="I13" s="257">
        <f>C13</f>
        <v>0.44608355421686752</v>
      </c>
    </row>
    <row r="14" spans="1:9" ht="15" customHeight="1">
      <c r="A14" s="258" t="s">
        <v>112</v>
      </c>
      <c r="B14" s="259">
        <f t="shared" ref="B14:I14" si="1">B7*B4*B1</f>
        <v>830000</v>
      </c>
      <c r="C14" s="259">
        <f t="shared" si="1"/>
        <v>1660000</v>
      </c>
      <c r="D14" s="259">
        <f t="shared" si="1"/>
        <v>3320000</v>
      </c>
      <c r="E14" s="259">
        <f t="shared" si="1"/>
        <v>8300000</v>
      </c>
      <c r="F14" s="259">
        <f t="shared" si="1"/>
        <v>16600000</v>
      </c>
      <c r="G14" s="259">
        <f t="shared" si="1"/>
        <v>33200000</v>
      </c>
      <c r="H14" s="259">
        <f t="shared" si="1"/>
        <v>49800000</v>
      </c>
      <c r="I14" s="259">
        <f t="shared" si="1"/>
        <v>83000000</v>
      </c>
    </row>
    <row r="15" spans="1:9" ht="15" customHeight="1">
      <c r="A15" s="260" t="s">
        <v>113</v>
      </c>
      <c r="B15" s="244">
        <v>0.5</v>
      </c>
      <c r="C15" s="244">
        <v>1</v>
      </c>
      <c r="D15" s="244">
        <v>2</v>
      </c>
      <c r="E15" s="244">
        <v>5</v>
      </c>
      <c r="F15" s="244">
        <v>10</v>
      </c>
      <c r="G15" s="244">
        <v>20</v>
      </c>
      <c r="H15" s="244">
        <v>30</v>
      </c>
      <c r="I15" s="244">
        <v>50</v>
      </c>
    </row>
    <row r="16" spans="1:9" ht="14.4" customHeight="1">
      <c r="A16" s="245" t="s">
        <v>96</v>
      </c>
      <c r="B16" s="261">
        <v>50000000</v>
      </c>
      <c r="C16" s="261">
        <v>50000000</v>
      </c>
      <c r="D16" s="261">
        <v>50000000</v>
      </c>
      <c r="E16" s="261">
        <v>50000000</v>
      </c>
      <c r="F16" s="261">
        <v>50000000</v>
      </c>
      <c r="G16" s="261">
        <v>50000000</v>
      </c>
      <c r="H16" s="261">
        <v>50000000</v>
      </c>
      <c r="I16" s="261">
        <v>50000000</v>
      </c>
    </row>
    <row r="17" spans="1:10" ht="14.4" customHeight="1">
      <c r="A17" s="250" t="s">
        <v>114</v>
      </c>
      <c r="B17" s="262">
        <f>$C$17*B15</f>
        <v>0.5</v>
      </c>
      <c r="C17" s="262">
        <v>1</v>
      </c>
      <c r="D17" s="262">
        <f t="shared" ref="D17:I17" si="2">$C$17*D15</f>
        <v>2</v>
      </c>
      <c r="E17" s="262">
        <f t="shared" si="2"/>
        <v>5</v>
      </c>
      <c r="F17" s="262">
        <f t="shared" si="2"/>
        <v>10</v>
      </c>
      <c r="G17" s="262">
        <f t="shared" si="2"/>
        <v>20</v>
      </c>
      <c r="H17" s="262">
        <f t="shared" si="2"/>
        <v>30</v>
      </c>
      <c r="I17" s="262">
        <f t="shared" si="2"/>
        <v>50</v>
      </c>
    </row>
    <row r="18" spans="1:10" ht="14.4" customHeight="1">
      <c r="A18" s="250" t="s">
        <v>115</v>
      </c>
      <c r="B18" s="262">
        <f>$C$18*B15</f>
        <v>20</v>
      </c>
      <c r="C18" s="262">
        <v>40</v>
      </c>
      <c r="D18" s="262">
        <f t="shared" ref="D18:I18" si="3">$C$18*D15</f>
        <v>80</v>
      </c>
      <c r="E18" s="262">
        <f t="shared" si="3"/>
        <v>200</v>
      </c>
      <c r="F18" s="262">
        <f t="shared" si="3"/>
        <v>400</v>
      </c>
      <c r="G18" s="262">
        <f t="shared" si="3"/>
        <v>800</v>
      </c>
      <c r="H18" s="262">
        <f t="shared" si="3"/>
        <v>1200</v>
      </c>
      <c r="I18" s="262">
        <f t="shared" si="3"/>
        <v>2000</v>
      </c>
      <c r="J18" s="262"/>
    </row>
    <row r="19" spans="1:10" ht="14.4" customHeight="1">
      <c r="A19" s="252" t="s">
        <v>116</v>
      </c>
      <c r="B19" s="263">
        <f>C19</f>
        <v>1</v>
      </c>
      <c r="C19" s="263">
        <v>1</v>
      </c>
      <c r="D19" s="263">
        <f>C19</f>
        <v>1</v>
      </c>
      <c r="E19" s="263">
        <f>C19</f>
        <v>1</v>
      </c>
      <c r="F19" s="263">
        <f>C19</f>
        <v>1</v>
      </c>
      <c r="G19" s="263">
        <f>C19</f>
        <v>1</v>
      </c>
      <c r="H19" s="263">
        <f>C19</f>
        <v>1</v>
      </c>
      <c r="I19" s="263">
        <f>C19</f>
        <v>1</v>
      </c>
    </row>
    <row r="20" spans="1:10" ht="14.4" customHeight="1">
      <c r="A20" s="252" t="s">
        <v>117</v>
      </c>
      <c r="B20" s="263">
        <f>C20</f>
        <v>40</v>
      </c>
      <c r="C20" s="263">
        <v>40</v>
      </c>
      <c r="D20" s="263">
        <f>C20</f>
        <v>40</v>
      </c>
      <c r="E20" s="263">
        <f>C20</f>
        <v>40</v>
      </c>
      <c r="F20" s="263">
        <f>C20</f>
        <v>40</v>
      </c>
      <c r="G20" s="263">
        <f>C20</f>
        <v>40</v>
      </c>
      <c r="H20" s="263">
        <f>C20</f>
        <v>40</v>
      </c>
      <c r="I20" s="263">
        <f>C20</f>
        <v>40</v>
      </c>
    </row>
    <row r="21" spans="1:10" ht="14.4" customHeight="1">
      <c r="A21" s="252" t="s">
        <v>118</v>
      </c>
      <c r="B21" s="264">
        <f>$C$21/B15</f>
        <v>2500000</v>
      </c>
      <c r="C21" s="264">
        <v>1250000</v>
      </c>
      <c r="D21" s="264">
        <f t="shared" ref="D21:I21" si="4">$C$21/D15</f>
        <v>625000</v>
      </c>
      <c r="E21" s="264">
        <f t="shared" si="4"/>
        <v>250000</v>
      </c>
      <c r="F21" s="264">
        <f t="shared" si="4"/>
        <v>125000</v>
      </c>
      <c r="G21" s="264">
        <f t="shared" si="4"/>
        <v>62500</v>
      </c>
      <c r="H21" s="264">
        <f t="shared" si="4"/>
        <v>41666.666666666664</v>
      </c>
      <c r="I21" s="264">
        <f t="shared" si="4"/>
        <v>25000</v>
      </c>
    </row>
    <row r="22" spans="1:10" ht="14.4" customHeight="1">
      <c r="A22" s="252" t="s">
        <v>119</v>
      </c>
      <c r="B22" s="264">
        <f>$C$22/B15</f>
        <v>100000000</v>
      </c>
      <c r="C22" s="264">
        <v>50000000</v>
      </c>
      <c r="D22" s="264">
        <f t="shared" ref="D22:I22" si="5">$C$22/D15</f>
        <v>25000000</v>
      </c>
      <c r="E22" s="264">
        <f t="shared" si="5"/>
        <v>10000000</v>
      </c>
      <c r="F22" s="264">
        <f t="shared" si="5"/>
        <v>5000000</v>
      </c>
      <c r="G22" s="264">
        <f t="shared" si="5"/>
        <v>2500000</v>
      </c>
      <c r="H22" s="264">
        <f t="shared" si="5"/>
        <v>1666666.6666666667</v>
      </c>
      <c r="I22" s="264">
        <f t="shared" si="5"/>
        <v>1000000</v>
      </c>
    </row>
    <row r="23" spans="1:10" ht="14.4" customHeight="1">
      <c r="A23" s="252" t="s">
        <v>120</v>
      </c>
      <c r="B23" s="265">
        <f t="shared" ref="B23:I23" si="6">B16*B15</f>
        <v>25000000</v>
      </c>
      <c r="C23" s="265">
        <f t="shared" si="6"/>
        <v>50000000</v>
      </c>
      <c r="D23" s="265">
        <f t="shared" si="6"/>
        <v>100000000</v>
      </c>
      <c r="E23" s="265">
        <f t="shared" si="6"/>
        <v>250000000</v>
      </c>
      <c r="F23" s="265">
        <f t="shared" si="6"/>
        <v>500000000</v>
      </c>
      <c r="G23" s="265">
        <f t="shared" si="6"/>
        <v>1000000000</v>
      </c>
      <c r="H23" s="265">
        <f t="shared" si="6"/>
        <v>1500000000</v>
      </c>
      <c r="I23" s="265">
        <f t="shared" si="6"/>
        <v>2500000000</v>
      </c>
    </row>
    <row r="24" spans="1:10" ht="14.4" customHeight="1">
      <c r="A24" s="252" t="s">
        <v>121</v>
      </c>
      <c r="B24" s="266">
        <f>C24</f>
        <v>5.0000000000000001E-3</v>
      </c>
      <c r="C24" s="266">
        <v>5.0000000000000001E-3</v>
      </c>
      <c r="D24" s="266">
        <f>C24</f>
        <v>5.0000000000000001E-3</v>
      </c>
      <c r="E24" s="266">
        <f>C24</f>
        <v>5.0000000000000001E-3</v>
      </c>
      <c r="F24" s="266">
        <f>C24</f>
        <v>5.0000000000000001E-3</v>
      </c>
      <c r="G24" s="266">
        <f>C24</f>
        <v>5.0000000000000001E-3</v>
      </c>
      <c r="H24" s="266">
        <f>C24</f>
        <v>5.0000000000000001E-3</v>
      </c>
      <c r="I24" s="266">
        <f>C24</f>
        <v>5.0000000000000001E-3</v>
      </c>
    </row>
    <row r="25" spans="1:10" ht="14.4" customHeight="1">
      <c r="A25" s="252" t="s">
        <v>122</v>
      </c>
      <c r="B25" s="267">
        <v>2500</v>
      </c>
      <c r="C25" s="267">
        <v>2500</v>
      </c>
      <c r="D25" s="267">
        <v>2500</v>
      </c>
      <c r="E25" s="267">
        <v>2500</v>
      </c>
      <c r="F25" s="267">
        <v>2500</v>
      </c>
      <c r="G25" s="267">
        <v>2500</v>
      </c>
      <c r="H25" s="267">
        <v>2500</v>
      </c>
      <c r="I25" s="267">
        <v>2500</v>
      </c>
    </row>
    <row r="26" spans="1:10" ht="14.4" customHeight="1">
      <c r="A26" s="252" t="s">
        <v>123</v>
      </c>
      <c r="B26" s="267">
        <v>150000</v>
      </c>
      <c r="C26" s="267">
        <v>150000</v>
      </c>
      <c r="D26" s="267">
        <v>150000</v>
      </c>
      <c r="E26" s="267">
        <v>150000</v>
      </c>
      <c r="F26" s="267">
        <v>150000</v>
      </c>
      <c r="G26" s="267">
        <v>150000</v>
      </c>
      <c r="H26" s="267">
        <v>150000</v>
      </c>
      <c r="I26" s="267">
        <v>150000</v>
      </c>
    </row>
    <row r="27" spans="1:10" ht="14.4" customHeight="1">
      <c r="A27" s="252" t="s">
        <v>124</v>
      </c>
      <c r="B27" s="266">
        <f>C27</f>
        <v>3.5000000000000003E-2</v>
      </c>
      <c r="C27" s="266">
        <v>3.5000000000000003E-2</v>
      </c>
      <c r="D27" s="266">
        <f>C27</f>
        <v>3.5000000000000003E-2</v>
      </c>
      <c r="E27" s="266">
        <f>C27</f>
        <v>3.5000000000000003E-2</v>
      </c>
      <c r="F27" s="266">
        <f>C27</f>
        <v>3.5000000000000003E-2</v>
      </c>
      <c r="G27" s="266">
        <f>C27</f>
        <v>3.5000000000000003E-2</v>
      </c>
      <c r="H27" s="266">
        <f>C27</f>
        <v>3.5000000000000003E-2</v>
      </c>
      <c r="I27" s="266">
        <f>C27</f>
        <v>3.5000000000000003E-2</v>
      </c>
    </row>
    <row r="28" spans="1:10" ht="15" customHeight="1">
      <c r="A28" s="254" t="s">
        <v>125</v>
      </c>
      <c r="B28" s="268">
        <f>$C$28*B15</f>
        <v>1.7500000000000002E-2</v>
      </c>
      <c r="C28" s="269">
        <f>C27*C17</f>
        <v>3.5000000000000003E-2</v>
      </c>
      <c r="D28" s="269">
        <f t="shared" ref="D28:I28" si="7">$C$28*D15</f>
        <v>7.0000000000000007E-2</v>
      </c>
      <c r="E28" s="269">
        <f t="shared" si="7"/>
        <v>0.17500000000000002</v>
      </c>
      <c r="F28" s="269">
        <f t="shared" si="7"/>
        <v>0.35000000000000003</v>
      </c>
      <c r="G28" s="269">
        <f t="shared" si="7"/>
        <v>0.70000000000000007</v>
      </c>
      <c r="H28" s="269">
        <f t="shared" si="7"/>
        <v>1.05</v>
      </c>
      <c r="I28" s="269">
        <f t="shared" si="7"/>
        <v>1.7500000000000002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B2:P83"/>
  <sheetViews>
    <sheetView workbookViewId="0">
      <selection activeCell="I23" sqref="I23"/>
    </sheetView>
  </sheetViews>
  <sheetFormatPr defaultRowHeight="13.2"/>
  <cols>
    <col min="2" max="2" width="9.21875" customWidth="1"/>
    <col min="3" max="3" width="15.5546875" customWidth="1"/>
    <col min="4" max="4" width="10.5546875" customWidth="1"/>
    <col min="5" max="5" width="25.33203125" customWidth="1"/>
    <col min="6" max="6" width="18.88671875" customWidth="1"/>
    <col min="8" max="8" width="19.44140625" customWidth="1"/>
    <col min="9" max="15" width="12.21875" customWidth="1"/>
  </cols>
  <sheetData>
    <row r="2" spans="2:15">
      <c r="B2" s="270" t="s">
        <v>126</v>
      </c>
      <c r="C2" s="270" t="s">
        <v>127</v>
      </c>
      <c r="D2" s="270" t="s">
        <v>61</v>
      </c>
      <c r="E2" s="271" t="s">
        <v>128</v>
      </c>
      <c r="F2" s="270" t="s">
        <v>129</v>
      </c>
    </row>
    <row r="3" spans="2:15" ht="16.2" customHeight="1">
      <c r="B3" s="272">
        <v>1</v>
      </c>
      <c r="C3" s="80" t="s">
        <v>208</v>
      </c>
      <c r="D3" s="272">
        <v>0.1</v>
      </c>
      <c r="E3" s="273" t="s">
        <v>137</v>
      </c>
      <c r="F3" s="272">
        <v>3</v>
      </c>
    </row>
    <row r="4" spans="2:15">
      <c r="B4" s="272">
        <v>2</v>
      </c>
      <c r="C4" s="80" t="s">
        <v>209</v>
      </c>
      <c r="D4" s="272">
        <v>0.2</v>
      </c>
      <c r="E4" s="273" t="s">
        <v>137</v>
      </c>
      <c r="F4" s="272">
        <v>4</v>
      </c>
    </row>
    <row r="5" spans="2:15">
      <c r="B5" s="272">
        <v>3</v>
      </c>
      <c r="C5" s="80" t="s">
        <v>210</v>
      </c>
      <c r="D5" s="272">
        <v>0.5</v>
      </c>
      <c r="E5" s="273" t="s">
        <v>137</v>
      </c>
      <c r="F5" s="272">
        <v>5</v>
      </c>
    </row>
    <row r="6" spans="2:15">
      <c r="B6" s="272">
        <v>4</v>
      </c>
      <c r="C6" s="80" t="s">
        <v>211</v>
      </c>
      <c r="D6" s="272">
        <v>1</v>
      </c>
      <c r="E6" s="273" t="s">
        <v>137</v>
      </c>
      <c r="F6" s="272">
        <v>6</v>
      </c>
    </row>
    <row r="7" spans="2:15">
      <c r="B7" s="272">
        <v>5</v>
      </c>
      <c r="C7" s="80" t="s">
        <v>212</v>
      </c>
      <c r="D7" s="272">
        <v>1.5</v>
      </c>
      <c r="E7" s="273" t="s">
        <v>137</v>
      </c>
      <c r="F7" s="272">
        <v>7</v>
      </c>
    </row>
    <row r="8" spans="2:15">
      <c r="B8" s="272">
        <v>6</v>
      </c>
      <c r="C8" s="80" t="s">
        <v>213</v>
      </c>
      <c r="D8" s="272">
        <v>2</v>
      </c>
      <c r="E8" s="273" t="s">
        <v>137</v>
      </c>
      <c r="F8" s="272">
        <v>8</v>
      </c>
      <c r="H8" s="274" t="s">
        <v>129</v>
      </c>
      <c r="I8" s="275" t="s">
        <v>65</v>
      </c>
      <c r="J8" s="275" t="s">
        <v>131</v>
      </c>
      <c r="K8" s="275" t="s">
        <v>132</v>
      </c>
      <c r="L8" s="275" t="s">
        <v>133</v>
      </c>
      <c r="M8" s="276" t="s">
        <v>134</v>
      </c>
      <c r="N8" s="276" t="s">
        <v>135</v>
      </c>
      <c r="O8" s="276" t="s">
        <v>136</v>
      </c>
    </row>
    <row r="9" spans="2:15">
      <c r="B9" s="272">
        <v>7</v>
      </c>
      <c r="C9" s="80" t="s">
        <v>214</v>
      </c>
      <c r="D9" s="272">
        <v>2.5</v>
      </c>
      <c r="E9" s="273" t="s">
        <v>137</v>
      </c>
      <c r="F9" s="272">
        <v>9</v>
      </c>
      <c r="H9" s="154">
        <v>3</v>
      </c>
      <c r="I9" s="216">
        <v>0.1</v>
      </c>
      <c r="J9" s="216">
        <v>0.1</v>
      </c>
      <c r="K9" s="216">
        <v>0.1</v>
      </c>
      <c r="L9" s="216">
        <v>0.1</v>
      </c>
      <c r="M9" s="216">
        <v>1</v>
      </c>
      <c r="N9" s="216">
        <v>1.5</v>
      </c>
      <c r="O9" s="216">
        <v>2</v>
      </c>
    </row>
    <row r="10" spans="2:15">
      <c r="B10" s="272">
        <v>8</v>
      </c>
      <c r="C10" s="80" t="s">
        <v>215</v>
      </c>
      <c r="D10" s="272">
        <v>3</v>
      </c>
      <c r="E10" s="273" t="s">
        <v>137</v>
      </c>
      <c r="F10" s="272">
        <v>10</v>
      </c>
      <c r="H10" s="154">
        <v>4</v>
      </c>
      <c r="I10" s="216">
        <v>0.2</v>
      </c>
      <c r="J10" s="216">
        <v>0.2</v>
      </c>
      <c r="K10" s="216">
        <v>0.2</v>
      </c>
      <c r="L10" s="216">
        <v>0.2</v>
      </c>
      <c r="M10" s="216">
        <v>1.5</v>
      </c>
      <c r="N10" s="216">
        <v>2</v>
      </c>
      <c r="O10" s="216">
        <v>5</v>
      </c>
    </row>
    <row r="11" spans="2:15">
      <c r="B11" s="272">
        <v>9</v>
      </c>
      <c r="C11" s="80" t="s">
        <v>216</v>
      </c>
      <c r="D11" s="272">
        <v>5</v>
      </c>
      <c r="E11" s="273" t="s">
        <v>137</v>
      </c>
      <c r="F11" s="272">
        <v>11</v>
      </c>
      <c r="H11" s="154">
        <v>5</v>
      </c>
      <c r="I11" s="216">
        <v>0.5</v>
      </c>
      <c r="J11" s="216">
        <v>0.5</v>
      </c>
      <c r="K11" s="216">
        <v>0.5</v>
      </c>
      <c r="L11" s="216">
        <v>0.5</v>
      </c>
      <c r="M11" s="216">
        <v>2</v>
      </c>
      <c r="N11" s="216">
        <v>5</v>
      </c>
      <c r="O11" s="216">
        <v>10</v>
      </c>
    </row>
    <row r="12" spans="2:15">
      <c r="B12" s="272">
        <v>10</v>
      </c>
      <c r="C12" s="80" t="s">
        <v>217</v>
      </c>
      <c r="D12" s="272">
        <v>10</v>
      </c>
      <c r="E12" s="273" t="s">
        <v>65</v>
      </c>
      <c r="F12" s="272">
        <v>12</v>
      </c>
      <c r="H12" s="154">
        <v>6</v>
      </c>
      <c r="I12" s="216">
        <v>1</v>
      </c>
      <c r="J12" s="216">
        <v>1</v>
      </c>
      <c r="K12" s="216">
        <v>1</v>
      </c>
      <c r="L12" s="216">
        <v>1</v>
      </c>
      <c r="M12" s="216">
        <v>5</v>
      </c>
      <c r="N12" s="216">
        <v>10</v>
      </c>
      <c r="O12" s="216">
        <v>15</v>
      </c>
    </row>
    <row r="13" spans="2:15">
      <c r="B13" s="272">
        <v>11</v>
      </c>
      <c r="C13" s="80" t="s">
        <v>218</v>
      </c>
      <c r="D13" s="272">
        <v>1</v>
      </c>
      <c r="E13" s="273" t="s">
        <v>134</v>
      </c>
      <c r="F13" s="272">
        <v>3</v>
      </c>
      <c r="H13" s="154">
        <v>7</v>
      </c>
      <c r="I13" s="216">
        <v>1.5</v>
      </c>
      <c r="J13" s="216">
        <v>1.5</v>
      </c>
      <c r="K13" s="216">
        <v>1.5</v>
      </c>
      <c r="L13" s="216">
        <v>1.5</v>
      </c>
      <c r="M13" s="216">
        <v>10</v>
      </c>
      <c r="N13" s="216">
        <v>15</v>
      </c>
      <c r="O13" s="216">
        <v>20</v>
      </c>
    </row>
    <row r="14" spans="2:15">
      <c r="B14" s="272">
        <v>12</v>
      </c>
      <c r="C14" s="80" t="s">
        <v>219</v>
      </c>
      <c r="D14" s="272">
        <v>1.5</v>
      </c>
      <c r="E14" s="273" t="s">
        <v>134</v>
      </c>
      <c r="F14" s="272">
        <v>4</v>
      </c>
      <c r="H14" s="154">
        <v>8</v>
      </c>
      <c r="I14" s="216">
        <v>2</v>
      </c>
      <c r="J14" s="216">
        <v>2</v>
      </c>
      <c r="K14" s="216">
        <v>2</v>
      </c>
      <c r="L14" s="216">
        <v>2</v>
      </c>
      <c r="M14" s="216">
        <v>15</v>
      </c>
      <c r="N14" s="216">
        <v>20</v>
      </c>
      <c r="O14" s="216">
        <v>50</v>
      </c>
    </row>
    <row r="15" spans="2:15">
      <c r="B15" s="272">
        <v>13</v>
      </c>
      <c r="C15" s="80" t="s">
        <v>220</v>
      </c>
      <c r="D15" s="272">
        <v>2</v>
      </c>
      <c r="E15" s="273" t="s">
        <v>134</v>
      </c>
      <c r="F15" s="272">
        <v>5</v>
      </c>
      <c r="H15" s="154">
        <v>9</v>
      </c>
      <c r="I15" s="216">
        <v>2.5</v>
      </c>
      <c r="J15" s="216">
        <v>2.5</v>
      </c>
      <c r="K15" s="216">
        <v>2.5</v>
      </c>
      <c r="L15" s="216">
        <v>2.5</v>
      </c>
      <c r="M15" s="216">
        <v>20</v>
      </c>
      <c r="N15" s="216">
        <v>50</v>
      </c>
      <c r="O15" s="216">
        <v>100</v>
      </c>
    </row>
    <row r="16" spans="2:15">
      <c r="B16" s="272">
        <v>14</v>
      </c>
      <c r="C16" s="80" t="s">
        <v>221</v>
      </c>
      <c r="D16" s="272">
        <v>5</v>
      </c>
      <c r="E16" s="273" t="s">
        <v>134</v>
      </c>
      <c r="F16" s="272">
        <v>6</v>
      </c>
      <c r="H16" s="154">
        <v>10</v>
      </c>
      <c r="I16" s="216">
        <v>3</v>
      </c>
      <c r="J16" s="216">
        <v>3</v>
      </c>
      <c r="K16" s="216">
        <v>3</v>
      </c>
      <c r="L16" s="216">
        <v>3</v>
      </c>
      <c r="M16" s="216">
        <v>50</v>
      </c>
      <c r="N16" s="216">
        <v>100</v>
      </c>
      <c r="O16" s="216">
        <v>200</v>
      </c>
    </row>
    <row r="17" spans="2:16">
      <c r="B17" s="272">
        <v>15</v>
      </c>
      <c r="C17" s="80" t="s">
        <v>222</v>
      </c>
      <c r="D17" s="272">
        <v>10</v>
      </c>
      <c r="E17" s="273" t="s">
        <v>134</v>
      </c>
      <c r="F17" s="272">
        <v>7</v>
      </c>
      <c r="H17" s="154">
        <v>11</v>
      </c>
      <c r="I17" s="216">
        <v>5</v>
      </c>
      <c r="J17" s="216">
        <v>5</v>
      </c>
      <c r="K17" s="216">
        <v>5</v>
      </c>
      <c r="L17" s="216">
        <v>5</v>
      </c>
      <c r="M17" s="216">
        <v>100</v>
      </c>
      <c r="N17" s="216">
        <v>200</v>
      </c>
      <c r="O17" s="216">
        <v>500</v>
      </c>
    </row>
    <row r="18" spans="2:16">
      <c r="B18" s="272">
        <v>16</v>
      </c>
      <c r="C18" s="80" t="s">
        <v>223</v>
      </c>
      <c r="D18" s="272">
        <v>15</v>
      </c>
      <c r="E18" s="273" t="s">
        <v>134</v>
      </c>
      <c r="F18" s="272">
        <v>8</v>
      </c>
      <c r="H18" s="154">
        <v>12</v>
      </c>
      <c r="I18" s="216">
        <v>10</v>
      </c>
      <c r="J18" s="216">
        <v>15</v>
      </c>
      <c r="K18" s="216">
        <v>20</v>
      </c>
      <c r="L18" s="216">
        <v>30</v>
      </c>
      <c r="M18" s="216">
        <v>200</v>
      </c>
      <c r="N18" s="216">
        <v>500</v>
      </c>
      <c r="O18" s="216">
        <v>1000</v>
      </c>
      <c r="P18" t="s">
        <v>138</v>
      </c>
    </row>
    <row r="19" spans="2:16">
      <c r="B19" s="272">
        <v>17</v>
      </c>
      <c r="C19" s="80" t="s">
        <v>224</v>
      </c>
      <c r="D19" s="272">
        <v>20</v>
      </c>
      <c r="E19" s="273" t="s">
        <v>134</v>
      </c>
      <c r="F19" s="272">
        <v>9</v>
      </c>
    </row>
    <row r="20" spans="2:16">
      <c r="B20" s="272">
        <v>18</v>
      </c>
      <c r="C20" s="80" t="s">
        <v>225</v>
      </c>
      <c r="D20" s="272">
        <v>50</v>
      </c>
      <c r="E20" s="273" t="s">
        <v>134</v>
      </c>
      <c r="F20" s="272">
        <v>10</v>
      </c>
    </row>
    <row r="21" spans="2:16">
      <c r="B21" s="272">
        <v>19</v>
      </c>
      <c r="C21" s="80" t="s">
        <v>226</v>
      </c>
      <c r="D21" s="272">
        <v>100</v>
      </c>
      <c r="E21" s="273" t="s">
        <v>134</v>
      </c>
      <c r="F21" s="272">
        <v>11</v>
      </c>
    </row>
    <row r="22" spans="2:16">
      <c r="B22" s="272">
        <v>20</v>
      </c>
      <c r="C22" s="80" t="s">
        <v>227</v>
      </c>
      <c r="D22" s="272">
        <v>200</v>
      </c>
      <c r="E22" s="273" t="s">
        <v>134</v>
      </c>
      <c r="F22" s="272">
        <v>12</v>
      </c>
    </row>
    <row r="23" spans="2:16">
      <c r="B23" s="272">
        <v>21</v>
      </c>
      <c r="C23" s="80" t="s">
        <v>228</v>
      </c>
      <c r="D23" s="272">
        <v>1.5</v>
      </c>
      <c r="E23" s="277" t="s">
        <v>135</v>
      </c>
      <c r="F23" s="272">
        <v>3</v>
      </c>
    </row>
    <row r="24" spans="2:16">
      <c r="B24" s="272">
        <v>22</v>
      </c>
      <c r="C24" s="80" t="s">
        <v>229</v>
      </c>
      <c r="D24" s="272">
        <v>2</v>
      </c>
      <c r="E24" s="277" t="s">
        <v>135</v>
      </c>
      <c r="F24" s="272">
        <v>4</v>
      </c>
    </row>
    <row r="25" spans="2:16">
      <c r="B25" s="272">
        <v>23</v>
      </c>
      <c r="C25" s="80" t="s">
        <v>230</v>
      </c>
      <c r="D25" s="272">
        <v>5</v>
      </c>
      <c r="E25" s="277" t="s">
        <v>135</v>
      </c>
      <c r="F25" s="272">
        <v>5</v>
      </c>
    </row>
    <row r="26" spans="2:16">
      <c r="B26" s="272">
        <v>24</v>
      </c>
      <c r="C26" s="80" t="s">
        <v>231</v>
      </c>
      <c r="D26" s="272">
        <v>10</v>
      </c>
      <c r="E26" s="277" t="s">
        <v>135</v>
      </c>
      <c r="F26" s="272">
        <v>6</v>
      </c>
    </row>
    <row r="27" spans="2:16">
      <c r="B27" s="272">
        <v>25</v>
      </c>
      <c r="C27" s="80" t="s">
        <v>232</v>
      </c>
      <c r="D27" s="272">
        <v>15</v>
      </c>
      <c r="E27" s="277" t="s">
        <v>135</v>
      </c>
      <c r="F27" s="272">
        <v>7</v>
      </c>
    </row>
    <row r="28" spans="2:16">
      <c r="B28" s="272">
        <v>26</v>
      </c>
      <c r="C28" s="80" t="s">
        <v>233</v>
      </c>
      <c r="D28" s="272">
        <v>20</v>
      </c>
      <c r="E28" s="277" t="s">
        <v>135</v>
      </c>
      <c r="F28" s="272">
        <v>8</v>
      </c>
    </row>
    <row r="29" spans="2:16">
      <c r="B29" s="272">
        <v>27</v>
      </c>
      <c r="C29" s="80" t="s">
        <v>234</v>
      </c>
      <c r="D29" s="272">
        <v>50</v>
      </c>
      <c r="E29" s="277" t="s">
        <v>135</v>
      </c>
      <c r="F29" s="272">
        <v>9</v>
      </c>
    </row>
    <row r="30" spans="2:16">
      <c r="B30" s="272">
        <v>28</v>
      </c>
      <c r="C30" s="80" t="s">
        <v>235</v>
      </c>
      <c r="D30" s="272">
        <v>100</v>
      </c>
      <c r="E30" s="277" t="s">
        <v>135</v>
      </c>
      <c r="F30" s="272">
        <v>10</v>
      </c>
    </row>
    <row r="31" spans="2:16">
      <c r="B31" s="272">
        <v>29</v>
      </c>
      <c r="C31" s="80" t="s">
        <v>236</v>
      </c>
      <c r="D31" s="272">
        <v>200</v>
      </c>
      <c r="E31" s="277" t="s">
        <v>135</v>
      </c>
      <c r="F31" s="272">
        <v>11</v>
      </c>
    </row>
    <row r="32" spans="2:16">
      <c r="B32" s="272">
        <v>30</v>
      </c>
      <c r="C32" s="80" t="s">
        <v>237</v>
      </c>
      <c r="D32" s="272">
        <v>500</v>
      </c>
      <c r="E32" s="277" t="s">
        <v>135</v>
      </c>
      <c r="F32" s="272">
        <v>12</v>
      </c>
    </row>
    <row r="33" spans="2:6">
      <c r="B33" s="272">
        <v>31</v>
      </c>
      <c r="C33" s="80" t="s">
        <v>238</v>
      </c>
      <c r="D33" s="272">
        <v>2</v>
      </c>
      <c r="E33" s="277" t="s">
        <v>136</v>
      </c>
      <c r="F33" s="272">
        <v>3</v>
      </c>
    </row>
    <row r="34" spans="2:6">
      <c r="B34" s="272">
        <v>32</v>
      </c>
      <c r="C34" s="80" t="s">
        <v>239</v>
      </c>
      <c r="D34" s="272">
        <v>5</v>
      </c>
      <c r="E34" s="277" t="s">
        <v>136</v>
      </c>
      <c r="F34" s="272">
        <v>4</v>
      </c>
    </row>
    <row r="35" spans="2:6">
      <c r="B35" s="272">
        <v>33</v>
      </c>
      <c r="C35" s="80" t="s">
        <v>240</v>
      </c>
      <c r="D35" s="272">
        <v>10</v>
      </c>
      <c r="E35" s="277" t="s">
        <v>136</v>
      </c>
      <c r="F35" s="272">
        <v>5</v>
      </c>
    </row>
    <row r="36" spans="2:6">
      <c r="B36" s="272">
        <v>34</v>
      </c>
      <c r="C36" s="80" t="s">
        <v>241</v>
      </c>
      <c r="D36" s="272">
        <v>15</v>
      </c>
      <c r="E36" s="277" t="s">
        <v>136</v>
      </c>
      <c r="F36" s="272">
        <v>6</v>
      </c>
    </row>
    <row r="37" spans="2:6">
      <c r="B37" s="272">
        <v>35</v>
      </c>
      <c r="C37" s="80" t="s">
        <v>242</v>
      </c>
      <c r="D37" s="272">
        <v>20</v>
      </c>
      <c r="E37" s="277" t="s">
        <v>136</v>
      </c>
      <c r="F37" s="272">
        <v>7</v>
      </c>
    </row>
    <row r="38" spans="2:6">
      <c r="B38" s="272">
        <v>36</v>
      </c>
      <c r="C38" s="80" t="s">
        <v>243</v>
      </c>
      <c r="D38" s="272">
        <v>50</v>
      </c>
      <c r="E38" s="277" t="s">
        <v>136</v>
      </c>
      <c r="F38" s="272">
        <v>8</v>
      </c>
    </row>
    <row r="39" spans="2:6">
      <c r="B39" s="272">
        <v>37</v>
      </c>
      <c r="C39" s="80" t="s">
        <v>244</v>
      </c>
      <c r="D39" s="272">
        <v>100</v>
      </c>
      <c r="E39" s="277" t="s">
        <v>136</v>
      </c>
      <c r="F39" s="272">
        <v>9</v>
      </c>
    </row>
    <row r="40" spans="2:6">
      <c r="B40" s="272">
        <v>38</v>
      </c>
      <c r="C40" s="80" t="s">
        <v>245</v>
      </c>
      <c r="D40" s="272">
        <v>200</v>
      </c>
      <c r="E40" s="277" t="s">
        <v>136</v>
      </c>
      <c r="F40" s="272">
        <v>10</v>
      </c>
    </row>
    <row r="41" spans="2:6">
      <c r="B41" s="272">
        <v>39</v>
      </c>
      <c r="C41" s="80" t="s">
        <v>246</v>
      </c>
      <c r="D41" s="272">
        <v>500</v>
      </c>
      <c r="E41" s="277" t="s">
        <v>136</v>
      </c>
      <c r="F41" s="272">
        <v>11</v>
      </c>
    </row>
    <row r="42" spans="2:6">
      <c r="B42" s="272">
        <v>40</v>
      </c>
      <c r="C42" s="80" t="s">
        <v>247</v>
      </c>
      <c r="D42" s="272">
        <v>1000</v>
      </c>
      <c r="E42" s="277" t="s">
        <v>136</v>
      </c>
      <c r="F42" s="272">
        <v>12</v>
      </c>
    </row>
    <row r="43" spans="2:6">
      <c r="B43" s="272">
        <v>41</v>
      </c>
      <c r="C43" s="80" t="s">
        <v>248</v>
      </c>
      <c r="D43" s="272">
        <v>15</v>
      </c>
      <c r="E43" s="273" t="s">
        <v>131</v>
      </c>
      <c r="F43" s="272">
        <v>12</v>
      </c>
    </row>
    <row r="44" spans="2:6">
      <c r="B44" s="272">
        <v>42</v>
      </c>
      <c r="C44" s="80" t="s">
        <v>249</v>
      </c>
      <c r="D44" s="272">
        <v>20</v>
      </c>
      <c r="E44" s="273" t="s">
        <v>132</v>
      </c>
      <c r="F44" s="272">
        <v>12</v>
      </c>
    </row>
    <row r="45" spans="2:6">
      <c r="B45" s="272">
        <v>43</v>
      </c>
      <c r="C45" s="80" t="s">
        <v>250</v>
      </c>
      <c r="D45" s="272">
        <v>30</v>
      </c>
      <c r="E45" s="273" t="s">
        <v>133</v>
      </c>
      <c r="F45" s="272">
        <v>12</v>
      </c>
    </row>
    <row r="46" spans="2:6">
      <c r="B46" s="272">
        <v>224</v>
      </c>
      <c r="C46" s="304" t="s">
        <v>264</v>
      </c>
      <c r="D46" s="272">
        <v>16.3</v>
      </c>
      <c r="E46" s="273" t="s">
        <v>139</v>
      </c>
      <c r="F46" s="272">
        <v>3</v>
      </c>
    </row>
    <row r="47" spans="2:6">
      <c r="B47" s="272">
        <v>225</v>
      </c>
      <c r="C47" s="304" t="s">
        <v>265</v>
      </c>
      <c r="D47" s="272">
        <v>24.7</v>
      </c>
      <c r="E47" s="273" t="s">
        <v>139</v>
      </c>
      <c r="F47" s="272">
        <v>3</v>
      </c>
    </row>
    <row r="48" spans="2:6">
      <c r="B48" s="272">
        <v>226</v>
      </c>
      <c r="C48" s="304" t="s">
        <v>266</v>
      </c>
      <c r="D48" s="272">
        <v>11.399999999999999</v>
      </c>
      <c r="E48" s="273" t="s">
        <v>139</v>
      </c>
      <c r="F48" s="272">
        <v>3</v>
      </c>
    </row>
    <row r="49" spans="2:6">
      <c r="B49" s="272">
        <v>227</v>
      </c>
      <c r="C49" s="304" t="s">
        <v>267</v>
      </c>
      <c r="D49" s="272">
        <v>35</v>
      </c>
      <c r="E49" s="273" t="s">
        <v>139</v>
      </c>
      <c r="F49" s="272">
        <v>3</v>
      </c>
    </row>
    <row r="50" spans="2:6">
      <c r="B50" s="272">
        <v>228</v>
      </c>
      <c r="C50" s="304" t="s">
        <v>268</v>
      </c>
      <c r="D50" s="272">
        <v>18.600000000000001</v>
      </c>
      <c r="E50" s="273" t="s">
        <v>139</v>
      </c>
      <c r="F50" s="272">
        <v>3</v>
      </c>
    </row>
    <row r="51" spans="2:6">
      <c r="B51" s="272">
        <v>229</v>
      </c>
      <c r="C51" s="304" t="s">
        <v>269</v>
      </c>
      <c r="D51" s="272">
        <v>25.299999999999997</v>
      </c>
      <c r="E51" s="273" t="s">
        <v>139</v>
      </c>
      <c r="F51" s="272">
        <v>3</v>
      </c>
    </row>
    <row r="52" spans="2:6">
      <c r="B52" s="272">
        <v>230</v>
      </c>
      <c r="C52" s="304" t="s">
        <v>270</v>
      </c>
      <c r="D52" s="272">
        <v>29</v>
      </c>
      <c r="E52" s="273" t="s">
        <v>139</v>
      </c>
      <c r="F52" s="272">
        <v>3</v>
      </c>
    </row>
    <row r="53" spans="2:6">
      <c r="B53" s="272">
        <v>231</v>
      </c>
      <c r="C53" s="304" t="s">
        <v>271</v>
      </c>
      <c r="D53" s="272">
        <v>41.9</v>
      </c>
      <c r="E53" s="273" t="s">
        <v>139</v>
      </c>
      <c r="F53" s="272">
        <v>3</v>
      </c>
    </row>
    <row r="54" spans="2:6">
      <c r="B54" s="272">
        <v>232</v>
      </c>
      <c r="C54" s="304" t="s">
        <v>272</v>
      </c>
      <c r="D54" s="272">
        <v>27</v>
      </c>
      <c r="E54" s="273" t="s">
        <v>139</v>
      </c>
      <c r="F54" s="272">
        <v>3</v>
      </c>
    </row>
    <row r="55" spans="2:6">
      <c r="B55" s="272">
        <v>233</v>
      </c>
      <c r="C55" s="304" t="s">
        <v>273</v>
      </c>
      <c r="D55" s="272">
        <v>44.099999999999994</v>
      </c>
      <c r="E55" s="273" t="s">
        <v>139</v>
      </c>
      <c r="F55" s="272">
        <v>3</v>
      </c>
    </row>
    <row r="56" spans="2:6">
      <c r="B56" s="272">
        <v>234</v>
      </c>
      <c r="C56" s="304" t="s">
        <v>274</v>
      </c>
      <c r="D56" s="272">
        <v>16</v>
      </c>
      <c r="E56" s="273" t="s">
        <v>139</v>
      </c>
      <c r="F56" s="272">
        <v>3</v>
      </c>
    </row>
    <row r="57" spans="2:6">
      <c r="B57" s="272">
        <v>235</v>
      </c>
      <c r="C57" s="304" t="s">
        <v>275</v>
      </c>
      <c r="D57" s="272">
        <v>25.400000000000002</v>
      </c>
      <c r="E57" s="273" t="s">
        <v>139</v>
      </c>
      <c r="F57" s="272">
        <v>3</v>
      </c>
    </row>
    <row r="58" spans="2:6">
      <c r="B58" s="272">
        <v>236</v>
      </c>
      <c r="C58" s="304" t="s">
        <v>276</v>
      </c>
      <c r="D58" s="272">
        <v>34.900000000000006</v>
      </c>
      <c r="E58" s="273" t="s">
        <v>139</v>
      </c>
      <c r="F58" s="272">
        <v>3</v>
      </c>
    </row>
    <row r="59" spans="2:6">
      <c r="B59" s="272">
        <v>237</v>
      </c>
      <c r="C59" s="304" t="s">
        <v>277</v>
      </c>
      <c r="D59" s="272">
        <v>23.3</v>
      </c>
      <c r="E59" s="273" t="s">
        <v>139</v>
      </c>
      <c r="F59" s="272">
        <v>3</v>
      </c>
    </row>
    <row r="60" spans="2:6">
      <c r="B60" s="272">
        <v>238</v>
      </c>
      <c r="C60" s="304" t="s">
        <v>278</v>
      </c>
      <c r="D60" s="272">
        <v>17.999999999999996</v>
      </c>
      <c r="E60" s="273" t="s">
        <v>139</v>
      </c>
      <c r="F60" s="272">
        <v>3</v>
      </c>
    </row>
    <row r="61" spans="2:6">
      <c r="B61" s="272">
        <v>239</v>
      </c>
      <c r="C61" s="304" t="s">
        <v>279</v>
      </c>
      <c r="D61" s="272">
        <v>21.3</v>
      </c>
      <c r="E61" s="273" t="s">
        <v>139</v>
      </c>
      <c r="F61" s="272">
        <v>3</v>
      </c>
    </row>
    <row r="62" spans="2:6">
      <c r="B62" s="272">
        <v>240</v>
      </c>
      <c r="C62" s="304" t="s">
        <v>280</v>
      </c>
      <c r="D62" s="272">
        <v>37.299999999999997</v>
      </c>
      <c r="E62" s="273" t="s">
        <v>139</v>
      </c>
      <c r="F62" s="272">
        <v>3</v>
      </c>
    </row>
    <row r="63" spans="2:6">
      <c r="B63" s="272">
        <v>241</v>
      </c>
      <c r="C63" s="304" t="s">
        <v>281</v>
      </c>
      <c r="D63" s="272">
        <v>26.7</v>
      </c>
      <c r="E63" s="273" t="s">
        <v>139</v>
      </c>
      <c r="F63" s="272">
        <v>3</v>
      </c>
    </row>
    <row r="64" spans="2:6">
      <c r="B64" s="272">
        <v>242</v>
      </c>
      <c r="C64" s="304" t="s">
        <v>282</v>
      </c>
      <c r="D64" s="272">
        <v>40.9</v>
      </c>
      <c r="E64" s="273" t="s">
        <v>139</v>
      </c>
      <c r="F64" s="272">
        <v>3</v>
      </c>
    </row>
    <row r="65" spans="2:6">
      <c r="B65" s="272">
        <v>243</v>
      </c>
      <c r="C65" s="304" t="s">
        <v>283</v>
      </c>
      <c r="D65" s="272">
        <v>48.900000000000006</v>
      </c>
      <c r="E65" s="273" t="s">
        <v>139</v>
      </c>
      <c r="F65" s="272">
        <v>3</v>
      </c>
    </row>
    <row r="66" spans="2:6">
      <c r="B66" s="272">
        <v>244</v>
      </c>
      <c r="C66" s="304" t="s">
        <v>284</v>
      </c>
      <c r="D66" s="272">
        <v>66.900000000000006</v>
      </c>
      <c r="E66" s="273" t="s">
        <v>139</v>
      </c>
      <c r="F66" s="272">
        <v>3</v>
      </c>
    </row>
    <row r="67" spans="2:6">
      <c r="B67" s="272">
        <v>245</v>
      </c>
      <c r="C67" s="304" t="s">
        <v>285</v>
      </c>
      <c r="D67" s="272">
        <v>59.9</v>
      </c>
      <c r="E67" s="273" t="s">
        <v>139</v>
      </c>
      <c r="F67" s="272">
        <v>3</v>
      </c>
    </row>
    <row r="68" spans="2:6">
      <c r="B68" s="272">
        <v>246</v>
      </c>
      <c r="C68" s="304" t="s">
        <v>286</v>
      </c>
      <c r="D68" s="272">
        <v>65.599999999999994</v>
      </c>
      <c r="E68" s="273" t="s">
        <v>139</v>
      </c>
      <c r="F68" s="272">
        <v>3</v>
      </c>
    </row>
    <row r="69" spans="2:6">
      <c r="B69" s="272">
        <v>247</v>
      </c>
      <c r="C69" s="304" t="s">
        <v>287</v>
      </c>
      <c r="D69" s="272">
        <v>66.5</v>
      </c>
      <c r="E69" s="273" t="s">
        <v>139</v>
      </c>
      <c r="F69" s="272">
        <v>3</v>
      </c>
    </row>
    <row r="70" spans="2:6">
      <c r="B70" s="272">
        <v>248</v>
      </c>
      <c r="C70" s="304" t="s">
        <v>288</v>
      </c>
      <c r="D70" s="272">
        <v>87.9</v>
      </c>
      <c r="E70" s="273" t="s">
        <v>139</v>
      </c>
      <c r="F70" s="272">
        <v>3</v>
      </c>
    </row>
    <row r="71" spans="2:6">
      <c r="B71" s="272">
        <v>249</v>
      </c>
      <c r="C71" s="304" t="s">
        <v>289</v>
      </c>
      <c r="D71" s="272">
        <v>58.6</v>
      </c>
      <c r="E71" s="273" t="s">
        <v>139</v>
      </c>
      <c r="F71" s="272">
        <v>3</v>
      </c>
    </row>
    <row r="72" spans="2:6">
      <c r="B72" s="272">
        <v>250</v>
      </c>
      <c r="C72" s="304" t="s">
        <v>290</v>
      </c>
      <c r="D72" s="272">
        <v>72.800000000000011</v>
      </c>
      <c r="E72" s="273" t="s">
        <v>139</v>
      </c>
      <c r="F72" s="272">
        <v>3</v>
      </c>
    </row>
    <row r="73" spans="2:6">
      <c r="B73" s="272">
        <v>251</v>
      </c>
      <c r="C73" s="304" t="s">
        <v>291</v>
      </c>
      <c r="D73" s="272">
        <v>56</v>
      </c>
      <c r="E73" s="273" t="s">
        <v>139</v>
      </c>
      <c r="F73" s="272">
        <v>3</v>
      </c>
    </row>
    <row r="74" spans="2:6">
      <c r="B74" s="272">
        <v>252</v>
      </c>
      <c r="C74" s="304" t="s">
        <v>292</v>
      </c>
      <c r="D74" s="272">
        <v>44.1</v>
      </c>
      <c r="E74" s="273" t="s">
        <v>139</v>
      </c>
      <c r="F74" s="272">
        <v>3</v>
      </c>
    </row>
    <row r="75" spans="2:6">
      <c r="B75" s="272">
        <v>253</v>
      </c>
      <c r="C75" s="304" t="s">
        <v>293</v>
      </c>
      <c r="D75" s="272">
        <v>81.5</v>
      </c>
      <c r="E75" s="273" t="s">
        <v>139</v>
      </c>
      <c r="F75" s="272">
        <v>3</v>
      </c>
    </row>
    <row r="76" spans="2:6">
      <c r="B76" s="272">
        <v>254</v>
      </c>
      <c r="C76" s="304" t="s">
        <v>294</v>
      </c>
      <c r="D76" s="272">
        <v>46.9</v>
      </c>
      <c r="E76" s="273" t="s">
        <v>139</v>
      </c>
      <c r="F76" s="272">
        <v>3</v>
      </c>
    </row>
    <row r="77" spans="2:6">
      <c r="B77" s="272">
        <v>348</v>
      </c>
      <c r="C77" s="305" t="s">
        <v>251</v>
      </c>
      <c r="D77" s="272">
        <v>10</v>
      </c>
      <c r="E77" s="273" t="s">
        <v>140</v>
      </c>
      <c r="F77" s="272">
        <v>3</v>
      </c>
    </row>
    <row r="78" spans="2:6">
      <c r="B78" s="272">
        <v>349</v>
      </c>
      <c r="C78" s="305" t="s">
        <v>252</v>
      </c>
      <c r="D78" s="272">
        <v>15</v>
      </c>
      <c r="E78" s="273" t="s">
        <v>140</v>
      </c>
      <c r="F78" s="272">
        <v>3</v>
      </c>
    </row>
    <row r="79" spans="2:6">
      <c r="B79" s="272">
        <v>350</v>
      </c>
      <c r="C79" s="305" t="s">
        <v>253</v>
      </c>
      <c r="D79" s="272">
        <v>20</v>
      </c>
      <c r="E79" s="273" t="s">
        <v>140</v>
      </c>
      <c r="F79" s="272">
        <v>3</v>
      </c>
    </row>
    <row r="80" spans="2:6">
      <c r="B80" s="272">
        <v>351</v>
      </c>
      <c r="C80" s="305" t="s">
        <v>254</v>
      </c>
      <c r="D80" s="272">
        <v>25</v>
      </c>
      <c r="E80" s="273" t="s">
        <v>140</v>
      </c>
      <c r="F80" s="272">
        <v>3</v>
      </c>
    </row>
    <row r="81" spans="2:6">
      <c r="B81" s="272">
        <v>352</v>
      </c>
      <c r="C81" s="305" t="s">
        <v>255</v>
      </c>
      <c r="D81" s="272">
        <v>30</v>
      </c>
      <c r="E81" s="273" t="s">
        <v>140</v>
      </c>
      <c r="F81" s="272">
        <v>3</v>
      </c>
    </row>
    <row r="82" spans="2:6">
      <c r="B82" s="272">
        <v>353</v>
      </c>
      <c r="C82" s="305" t="s">
        <v>256</v>
      </c>
      <c r="D82" s="272">
        <v>50</v>
      </c>
      <c r="E82" s="273" t="s">
        <v>140</v>
      </c>
      <c r="F82" s="272">
        <v>3</v>
      </c>
    </row>
    <row r="83" spans="2:6">
      <c r="B83" s="272">
        <v>354</v>
      </c>
      <c r="C83" s="305" t="s">
        <v>257</v>
      </c>
      <c r="D83" s="272">
        <v>100</v>
      </c>
      <c r="E83" s="273" t="s">
        <v>140</v>
      </c>
      <c r="F83" s="272">
        <v>3</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46"/>
  <sheetViews>
    <sheetView zoomScaleNormal="100" workbookViewId="0">
      <selection activeCell="H42" sqref="H42"/>
    </sheetView>
  </sheetViews>
  <sheetFormatPr defaultRowHeight="13.2"/>
  <cols>
    <col min="2" max="2" width="31.6640625" customWidth="1"/>
    <col min="3" max="3" width="21.6640625" bestFit="1" customWidth="1"/>
    <col min="4" max="4" width="11.6640625" customWidth="1"/>
    <col min="5" max="5" width="19.88671875" customWidth="1"/>
    <col min="6" max="6" width="26.33203125" customWidth="1"/>
    <col min="7" max="7" width="20.33203125" customWidth="1"/>
    <col min="8" max="8" width="21.33203125" customWidth="1"/>
    <col min="9" max="9" width="27.5546875" customWidth="1"/>
  </cols>
  <sheetData>
    <row r="2" spans="2:6" ht="13.8" customHeight="1" thickBot="1"/>
    <row r="3" spans="2:6">
      <c r="B3" s="22" t="s">
        <v>17</v>
      </c>
      <c r="C3" s="109">
        <f>Frequency!N6</f>
        <v>2000000</v>
      </c>
    </row>
    <row r="4" spans="2:6">
      <c r="B4" s="23" t="s">
        <v>141</v>
      </c>
      <c r="C4" s="94">
        <f>Frequency!N7</f>
        <v>1</v>
      </c>
    </row>
    <row r="5" spans="2:6">
      <c r="B5" s="23" t="s">
        <v>142</v>
      </c>
      <c r="C5" s="123">
        <f>C3*C4</f>
        <v>2000000</v>
      </c>
    </row>
    <row r="6" spans="2:6">
      <c r="B6" s="23" t="s">
        <v>143</v>
      </c>
      <c r="C6" s="123">
        <f>C5*C8</f>
        <v>1660000</v>
      </c>
    </row>
    <row r="7" spans="2:6">
      <c r="B7" s="23" t="s">
        <v>144</v>
      </c>
      <c r="C7" s="123">
        <f>MAX(Tiers!C3:C4874)</f>
        <v>1000</v>
      </c>
    </row>
    <row r="8" spans="2:6">
      <c r="B8" s="23" t="s">
        <v>145</v>
      </c>
      <c r="C8" s="74">
        <f>Frequency!N10</f>
        <v>0.83</v>
      </c>
    </row>
    <row r="9" spans="2:6">
      <c r="B9" s="23" t="s">
        <v>146</v>
      </c>
      <c r="C9" s="75">
        <f>Summary!C3/(C3-Frequency!E4)</f>
        <v>3.748069744081798</v>
      </c>
    </row>
    <row r="10" spans="2:6" ht="13.8" customHeight="1" thickBot="1">
      <c r="B10" s="24" t="s">
        <v>147</v>
      </c>
      <c r="C10" s="76">
        <f>('Data Analysis'!BO357/Summary!C3)^0.5</f>
        <v>4.2248541726312876</v>
      </c>
    </row>
    <row r="11" spans="2:6" ht="13.8" customHeight="1" thickBot="1"/>
    <row r="12" spans="2:6">
      <c r="B12" s="101" t="s">
        <v>148</v>
      </c>
      <c r="C12" s="52">
        <f>C3/('Data Analysis'!AV357+'Data Analysis'!AX357+'Data Analysis'!AZ357+'Data Analysis'!BB357)</f>
        <v>195.35065442469232</v>
      </c>
      <c r="E12" s="22" t="s">
        <v>149</v>
      </c>
      <c r="F12" s="52">
        <f>C3/'Data Analysis'!G357</f>
        <v>65.299725741151889</v>
      </c>
    </row>
    <row r="13" spans="2:6">
      <c r="B13" s="102" t="s">
        <v>150</v>
      </c>
      <c r="C13" s="53">
        <f>('Data Analysis'!BC357+'Data Analysis'!BA357+'Data Analysis'!AY357+'Data Analysis'!AW357)/('Data Analysis'!BB357+'Data Analysis'!AZ357+'Data Analysis'!AX357+'Data Analysis'!AV357)</f>
        <v>28.147392068763423</v>
      </c>
      <c r="E13" s="23" t="s">
        <v>151</v>
      </c>
      <c r="F13" s="53">
        <f>'Data Analysis'!H357/'Data Analysis'!G357</f>
        <v>17.957973096513001</v>
      </c>
    </row>
    <row r="14" spans="2:6" ht="13.8" customHeight="1" thickBot="1">
      <c r="B14" s="103" t="s">
        <v>152</v>
      </c>
      <c r="C14" s="43">
        <f>('Data Analysis'!BC357+'Data Analysis'!BA357+'Data Analysis'!AY357+'Data Analysis'!AW357)/C6</f>
        <v>0.17359819277108429</v>
      </c>
      <c r="E14" s="24" t="s">
        <v>153</v>
      </c>
      <c r="F14" s="43">
        <f>'Data Analysis'!H357/Summary!C6</f>
        <v>0.33133542168674707</v>
      </c>
    </row>
    <row r="15" spans="2:6">
      <c r="B15" s="22" t="s">
        <v>154</v>
      </c>
      <c r="C15" s="52">
        <f>Summary!C3/'Data Analysis'!AV357</f>
        <v>195.35065442469232</v>
      </c>
    </row>
    <row r="16" spans="2:6">
      <c r="B16" s="23" t="s">
        <v>155</v>
      </c>
      <c r="C16" s="53">
        <f>'Data Analysis'!AW357/'Data Analysis'!AV357</f>
        <v>28.147392068763423</v>
      </c>
    </row>
    <row r="17" spans="2:11" ht="13.8" customHeight="1" thickBot="1">
      <c r="B17" s="24" t="s">
        <v>156</v>
      </c>
      <c r="C17" s="43">
        <f>'Data Analysis'!AW357/Summary!C6</f>
        <v>0.17359819277108429</v>
      </c>
    </row>
    <row r="18" spans="2:11" ht="13.8" customHeight="1" thickBot="1">
      <c r="C18" s="39"/>
    </row>
    <row r="19" spans="2:11">
      <c r="B19" s="30" t="s">
        <v>157</v>
      </c>
      <c r="C19" s="54">
        <f>C3/('Data Analysis'!BH357+'Data Analysis'!BF357+'Data Analysis'!BD357)</f>
        <v>84.530853761622993</v>
      </c>
      <c r="D19" t="s">
        <v>158</v>
      </c>
      <c r="F19" s="28"/>
      <c r="G19" s="28"/>
      <c r="H19" s="11"/>
    </row>
    <row r="20" spans="2:11">
      <c r="B20" s="31" t="s">
        <v>159</v>
      </c>
      <c r="C20" s="58">
        <f>('Data Analysis'!BI357+'Data Analysis'!BG357+'Data Analysis'!BE357)/('Data Analysis'!BH357+'Data Analysis'!BF357+'Data Analysis'!BD357)</f>
        <v>23.421187658495352</v>
      </c>
      <c r="F20" s="28"/>
      <c r="G20" s="28"/>
      <c r="H20" s="11"/>
      <c r="J20" s="28"/>
      <c r="K20" s="28"/>
    </row>
    <row r="21" spans="2:11" ht="13.8" customHeight="1" thickBot="1">
      <c r="B21" s="57" t="s">
        <v>160</v>
      </c>
      <c r="C21" s="43">
        <f>('Data Analysis'!BI357+'Data Analysis'!BG357+'Data Analysis'!BE357)/C6</f>
        <v>0.33382246987951808</v>
      </c>
    </row>
    <row r="22" spans="2:11">
      <c r="B22" s="22" t="s">
        <v>161</v>
      </c>
      <c r="C22" s="54">
        <f>C3/'Data Analysis'!BD357</f>
        <v>84.530853761622993</v>
      </c>
      <c r="H22" s="95"/>
    </row>
    <row r="23" spans="2:11">
      <c r="B23" s="23" t="s">
        <v>162</v>
      </c>
      <c r="C23" s="58">
        <f>'Data Analysis'!BE357/'Data Analysis'!BD357</f>
        <v>23.421187658495352</v>
      </c>
      <c r="F23" s="28"/>
      <c r="G23" s="28"/>
      <c r="H23" s="11"/>
    </row>
    <row r="24" spans="2:11" ht="13.8" customHeight="1" thickBot="1">
      <c r="B24" s="24" t="s">
        <v>163</v>
      </c>
      <c r="C24" s="43">
        <f>'Data Analysis'!BE357/Summary!C6</f>
        <v>0.33382246987951808</v>
      </c>
      <c r="F24" s="28"/>
      <c r="G24" s="28"/>
      <c r="H24" s="11"/>
      <c r="J24" s="28"/>
      <c r="K24" s="28"/>
    </row>
    <row r="25" spans="2:11" ht="13.8" customHeight="1" thickBot="1"/>
    <row r="26" spans="2:11">
      <c r="B26" s="104" t="s">
        <v>164</v>
      </c>
      <c r="C26" s="54">
        <f>C3/('Data Analysis'!BH357+'Data Analysis'!BF357+'Data Analysis'!BD357+'Data Analysis'!BB357+'Data Analysis'!AZ357+'Data Analysis'!AX357+'Data Analysis'!AV357)</f>
        <v>59.000531004779042</v>
      </c>
      <c r="F26" s="28"/>
      <c r="G26" s="28"/>
      <c r="H26" s="11"/>
    </row>
    <row r="27" spans="2:11">
      <c r="B27" s="105" t="s">
        <v>165</v>
      </c>
      <c r="C27" s="58">
        <f>('Data Analysis'!AW357+'Data Analysis'!AY357+'Data Analysis'!BA357+'Data Analysis'!BC357+'Data Analysis'!BE357+'Data Analysis'!BG357+'Data Analysis'!BI357)/('Data Analysis'!BH357+'Data Analysis'!BF357+'Data Analysis'!BD357+'Data Analysis'!BB357+'Data Analysis'!AZ357+'Data Analysis'!AX357+'Data Analysis'!AV357)</f>
        <v>24.848613487521391</v>
      </c>
      <c r="F27" s="28"/>
      <c r="G27" s="28"/>
      <c r="H27" s="11"/>
      <c r="J27" s="28"/>
      <c r="K27" s="28"/>
    </row>
    <row r="28" spans="2:11" ht="13.8" customHeight="1" thickBot="1">
      <c r="B28" s="106" t="s">
        <v>166</v>
      </c>
      <c r="C28" s="43">
        <f>('Data Analysis'!AW357+'Data Analysis'!AY357+'Data Analysis'!BA357+'Data Analysis'!BC357+'Data Analysis'!BE357+'Data Analysis'!BG357+'Data Analysis'!BI357)/C6</f>
        <v>0.50742066265060248</v>
      </c>
    </row>
    <row r="29" spans="2:11" ht="14.4" customHeight="1">
      <c r="C29" s="39"/>
      <c r="F29" s="28"/>
      <c r="G29" s="28"/>
      <c r="H29" s="11"/>
      <c r="J29" s="28"/>
      <c r="K29" s="28"/>
    </row>
    <row r="30" spans="2:11" ht="13.8" customHeight="1" thickBot="1">
      <c r="C30" s="55"/>
    </row>
    <row r="31" spans="2:11">
      <c r="B31" s="22" t="s">
        <v>167</v>
      </c>
      <c r="C31" s="54">
        <f>C3/'Data Analysis'!AK357</f>
        <v>20.894274968658589</v>
      </c>
    </row>
    <row r="32" spans="2:11" ht="13.8" customHeight="1" thickBot="1">
      <c r="B32" s="24" t="s">
        <v>168</v>
      </c>
      <c r="C32" s="56">
        <f>'Data Analysis'!AL357/'Data Analysis'!AK357</f>
        <v>7.6216976598412076</v>
      </c>
    </row>
    <row r="33" spans="2:8" ht="13.8" customHeight="1" thickBot="1"/>
    <row r="34" spans="2:8" ht="13.8" customHeight="1" thickBot="1">
      <c r="B34" s="44" t="s">
        <v>169</v>
      </c>
      <c r="C34" s="45" t="s">
        <v>170</v>
      </c>
      <c r="D34" s="45" t="s">
        <v>171</v>
      </c>
      <c r="E34" s="45" t="s">
        <v>172</v>
      </c>
      <c r="F34" s="45" t="s">
        <v>173</v>
      </c>
      <c r="G34" s="59" t="s">
        <v>174</v>
      </c>
    </row>
    <row r="35" spans="2:8">
      <c r="B35" s="60" t="s">
        <v>175</v>
      </c>
      <c r="C35" s="61">
        <f>'Data Analysis'!E2</f>
        <v>1466392</v>
      </c>
      <c r="D35" s="114">
        <f t="shared" ref="D35:D45" si="0">C35/$C$46</f>
        <v>0.73319599999999996</v>
      </c>
      <c r="E35" s="62">
        <f t="shared" ref="E35:E45" si="1">1/D35</f>
        <v>1.3638917833703403</v>
      </c>
      <c r="F35" s="63" t="s">
        <v>138</v>
      </c>
      <c r="G35" s="97" t="s">
        <v>138</v>
      </c>
    </row>
    <row r="36" spans="2:8">
      <c r="B36" s="13" t="s">
        <v>176</v>
      </c>
      <c r="C36" s="98">
        <f>'Data Analysis'!M357</f>
        <v>190004</v>
      </c>
      <c r="D36" s="39">
        <f t="shared" si="0"/>
        <v>9.5002000000000003E-2</v>
      </c>
      <c r="E36" s="37">
        <f t="shared" si="1"/>
        <v>10.52609418749079</v>
      </c>
      <c r="F36" s="39">
        <f>'Data Analysis'!N357/Summary!C6</f>
        <v>2.6627168674698793E-2</v>
      </c>
      <c r="G36" s="99">
        <f t="shared" ref="G36:G45" si="2">C36/SUM($C$36:$C$45)</f>
        <v>0.35607412182725895</v>
      </c>
    </row>
    <row r="37" spans="2:8">
      <c r="B37" s="13">
        <f>1</f>
        <v>1</v>
      </c>
      <c r="C37" s="98">
        <f>'Data Analysis'!O357</f>
        <v>133806</v>
      </c>
      <c r="D37" s="39">
        <f t="shared" si="0"/>
        <v>6.6903000000000004E-2</v>
      </c>
      <c r="E37" s="37">
        <f t="shared" si="1"/>
        <v>14.947012839484028</v>
      </c>
      <c r="F37" s="39">
        <f>'Data Analysis'!P357/Summary!C6</f>
        <v>8.0606024096385537E-2</v>
      </c>
      <c r="G37" s="99">
        <f t="shared" si="2"/>
        <v>0.25075711008830454</v>
      </c>
    </row>
    <row r="38" spans="2:8">
      <c r="B38" s="13" t="s">
        <v>177</v>
      </c>
      <c r="C38" s="98">
        <f>'Data Analysis'!Q357</f>
        <v>142772</v>
      </c>
      <c r="D38" s="39">
        <f t="shared" si="0"/>
        <v>7.1386000000000005E-2</v>
      </c>
      <c r="E38" s="37">
        <f t="shared" si="1"/>
        <v>14.008348975989689</v>
      </c>
      <c r="F38" s="39">
        <f>'Data Analysis'!R357/Summary!C6</f>
        <v>0.14475542168674699</v>
      </c>
      <c r="G38" s="99">
        <f t="shared" si="2"/>
        <v>0.2675597067510232</v>
      </c>
    </row>
    <row r="39" spans="2:8">
      <c r="B39" s="13" t="s">
        <v>178</v>
      </c>
      <c r="C39" s="98">
        <f>'Data Analysis'!S357</f>
        <v>11912</v>
      </c>
      <c r="D39" s="39">
        <f t="shared" si="0"/>
        <v>5.9560000000000004E-3</v>
      </c>
      <c r="E39" s="37">
        <f t="shared" si="1"/>
        <v>167.89791806581599</v>
      </c>
      <c r="F39" s="39">
        <f>'Data Analysis'!T357/Summary!C6</f>
        <v>2.7734638554216866E-2</v>
      </c>
      <c r="G39" s="99">
        <f t="shared" si="2"/>
        <v>2.2323503395751187E-2</v>
      </c>
      <c r="H39" s="306">
        <f>F36+F37+F38+F39</f>
        <v>0.2797232530120482</v>
      </c>
    </row>
    <row r="40" spans="2:8">
      <c r="B40" s="13" t="s">
        <v>179</v>
      </c>
      <c r="C40" s="98">
        <f>'Data Analysis'!U357</f>
        <v>10924</v>
      </c>
      <c r="D40" s="39">
        <f t="shared" si="0"/>
        <v>5.4619999999999998E-3</v>
      </c>
      <c r="E40" s="37">
        <f t="shared" si="1"/>
        <v>183.08311973636032</v>
      </c>
      <c r="F40" s="39">
        <f>'Data Analysis'!V357/Summary!C6</f>
        <v>5.8778554216867465E-2</v>
      </c>
      <c r="G40" s="99">
        <f t="shared" si="2"/>
        <v>2.0471956942174779E-2</v>
      </c>
      <c r="H40" s="306">
        <f>F40+F41</f>
        <v>0.27419319277108434</v>
      </c>
    </row>
    <row r="41" spans="2:8">
      <c r="B41" s="13" t="s">
        <v>180</v>
      </c>
      <c r="C41" s="98">
        <f>'Data Analysis'!W357</f>
        <v>21594</v>
      </c>
      <c r="D41" s="39">
        <f t="shared" si="0"/>
        <v>1.0796999999999999E-2</v>
      </c>
      <c r="E41" s="37">
        <f t="shared" si="1"/>
        <v>92.618319903676948</v>
      </c>
      <c r="F41" s="39">
        <f>'Data Analysis'!X357/Summary!C6</f>
        <v>0.21541463855421689</v>
      </c>
      <c r="G41" s="99">
        <f t="shared" si="2"/>
        <v>4.046790902685117E-2</v>
      </c>
      <c r="H41" s="306">
        <f>F42+F43+F44+F45</f>
        <v>0.44608355421686746</v>
      </c>
    </row>
    <row r="42" spans="2:8">
      <c r="B42" s="13" t="s">
        <v>181</v>
      </c>
      <c r="C42" s="98">
        <f>'Data Analysis'!Y357</f>
        <v>13920</v>
      </c>
      <c r="D42" s="39">
        <f t="shared" si="0"/>
        <v>6.96E-3</v>
      </c>
      <c r="E42" s="37">
        <f t="shared" si="1"/>
        <v>143.67816091954023</v>
      </c>
      <c r="F42" s="39">
        <f>'Data Analysis'!Z357/Summary!C6</f>
        <v>0.21372692771084337</v>
      </c>
      <c r="G42" s="99">
        <f t="shared" si="2"/>
        <v>2.6086565418809313E-2</v>
      </c>
    </row>
    <row r="43" spans="2:8">
      <c r="B43" s="13" t="s">
        <v>182</v>
      </c>
      <c r="C43" s="98">
        <f>'Data Analysis'!AA357</f>
        <v>6916</v>
      </c>
      <c r="D43" s="39">
        <f t="shared" si="0"/>
        <v>3.4580000000000001E-3</v>
      </c>
      <c r="E43" s="37">
        <f t="shared" si="1"/>
        <v>289.18449971081549</v>
      </c>
      <c r="F43" s="39">
        <f>'Data Analysis'!AB357/Summary!C6</f>
        <v>0.16369030120481928</v>
      </c>
      <c r="G43" s="99">
        <f t="shared" si="2"/>
        <v>1.2960825175034857E-2</v>
      </c>
    </row>
    <row r="44" spans="2:8">
      <c r="B44" s="13" t="s">
        <v>183</v>
      </c>
      <c r="C44" s="98">
        <f>'Data Analysis'!AC357</f>
        <v>1745</v>
      </c>
      <c r="D44" s="39">
        <f t="shared" si="0"/>
        <v>8.7250000000000001E-4</v>
      </c>
      <c r="E44" s="37">
        <f t="shared" si="1"/>
        <v>1146.1318051575931</v>
      </c>
      <c r="F44" s="39">
        <f>'Data Analysis'!AD357/Summary!C6</f>
        <v>6.6097771084337356E-2</v>
      </c>
      <c r="G44" s="99">
        <f t="shared" si="2"/>
        <v>3.2701908517113686E-3</v>
      </c>
    </row>
    <row r="45" spans="2:8" ht="13.8" customHeight="1" thickBot="1">
      <c r="B45" s="14" t="s">
        <v>184</v>
      </c>
      <c r="C45" s="40">
        <f>'Data Analysis'!AE357</f>
        <v>15</v>
      </c>
      <c r="D45" s="42">
        <f t="shared" si="0"/>
        <v>7.5000000000000002E-6</v>
      </c>
      <c r="E45" s="41">
        <f t="shared" si="1"/>
        <v>133333.33333333334</v>
      </c>
      <c r="F45" s="42">
        <f>'Data Analysis'!AF357/Summary!C6</f>
        <v>2.56855421686747E-3</v>
      </c>
      <c r="G45" s="43">
        <f t="shared" si="2"/>
        <v>2.8110523080613485E-5</v>
      </c>
    </row>
    <row r="46" spans="2:8">
      <c r="C46" s="37">
        <f>SUM(C35:C45)</f>
        <v>2000000</v>
      </c>
      <c r="D46" s="10"/>
      <c r="E46" s="10"/>
      <c r="F46" s="38">
        <f>SUM(F36:F45)</f>
        <v>1</v>
      </c>
      <c r="G46" s="38">
        <f>SUM(G36:G45)</f>
        <v>0.99999999999999978</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Y357"/>
  <sheetViews>
    <sheetView topLeftCell="A243" zoomScale="115" zoomScaleNormal="115" workbookViewId="0">
      <selection activeCell="E370" sqref="E370"/>
    </sheetView>
  </sheetViews>
  <sheetFormatPr defaultRowHeight="13.2"/>
  <cols>
    <col min="3" max="3" width="9" customWidth="1"/>
    <col min="4" max="4" width="13.44140625" customWidth="1"/>
    <col min="5" max="5" width="12.6640625" customWidth="1"/>
    <col min="6" max="6" width="8" customWidth="1"/>
    <col min="7" max="7" width="10" customWidth="1"/>
    <col min="9" max="9" width="11.44140625" customWidth="1"/>
    <col min="24" max="24" width="10.109375" customWidth="1"/>
    <col min="25" max="25" width="58.33203125" bestFit="1" customWidth="1"/>
  </cols>
  <sheetData>
    <row r="2" spans="2:25">
      <c r="B2" s="4" t="s">
        <v>126</v>
      </c>
      <c r="C2" s="12" t="s">
        <v>185</v>
      </c>
      <c r="D2" s="12" t="s">
        <v>186</v>
      </c>
      <c r="E2" s="4" t="s">
        <v>187</v>
      </c>
      <c r="F2" s="4" t="s">
        <v>188</v>
      </c>
      <c r="G2" s="4" t="s">
        <v>189</v>
      </c>
      <c r="H2" s="4" t="s">
        <v>190</v>
      </c>
      <c r="I2" s="4" t="s">
        <v>191</v>
      </c>
      <c r="J2" s="4" t="s">
        <v>192</v>
      </c>
      <c r="K2" s="4" t="s">
        <v>193</v>
      </c>
      <c r="L2" s="4" t="s">
        <v>194</v>
      </c>
      <c r="M2" s="4" t="s">
        <v>195</v>
      </c>
      <c r="N2" s="4" t="s">
        <v>196</v>
      </c>
      <c r="O2" s="4" t="s">
        <v>197</v>
      </c>
      <c r="P2" s="4" t="s">
        <v>198</v>
      </c>
      <c r="Q2" s="4" t="s">
        <v>199</v>
      </c>
      <c r="R2" s="4" t="s">
        <v>200</v>
      </c>
      <c r="S2" s="4" t="s">
        <v>201</v>
      </c>
      <c r="T2" s="4" t="s">
        <v>202</v>
      </c>
      <c r="U2" s="4" t="s">
        <v>203</v>
      </c>
      <c r="V2" s="4" t="s">
        <v>204</v>
      </c>
      <c r="W2" s="4" t="s">
        <v>205</v>
      </c>
      <c r="X2" s="4" t="s">
        <v>206</v>
      </c>
      <c r="Y2" s="4" t="s">
        <v>207</v>
      </c>
    </row>
    <row r="3" spans="2:25">
      <c r="B3" s="5">
        <v>0</v>
      </c>
      <c r="C3" s="5">
        <f t="shared" ref="C3:C34" si="0">(F3+H3+J3+L3+N3+P3+R3+T3+V3+X3)*D3</f>
        <v>0</v>
      </c>
      <c r="D3" s="4">
        <v>1</v>
      </c>
      <c r="E3" s="6"/>
      <c r="F3" s="5">
        <f>VLOOKUP(E3,'Win Methods'!$C$4:$F$4992,4,FALSE)</f>
        <v>0</v>
      </c>
      <c r="G3" s="6"/>
      <c r="H3" s="5">
        <f>VLOOKUP(G3,'Win Methods'!$C$4:$F$4992,4,FALSE)</f>
        <v>0</v>
      </c>
      <c r="I3" s="6"/>
      <c r="J3" s="5">
        <f>VLOOKUP(I3,'Win Methods'!$C$4:$F$4992,4,FALSE)</f>
        <v>0</v>
      </c>
      <c r="K3" s="6"/>
      <c r="L3" s="5">
        <f>VLOOKUP(K3,'Win Methods'!$C$4:$F$4992,4,FALSE)</f>
        <v>0</v>
      </c>
      <c r="M3" s="6"/>
      <c r="N3" s="5">
        <f>VLOOKUP(M3,'Win Methods'!$C$4:$F$4992,4,FALSE)</f>
        <v>0</v>
      </c>
      <c r="O3" s="6"/>
      <c r="P3" s="5">
        <f>VLOOKUP(O3,'Win Methods'!$C$4:$F$4992,4,FALSE)</f>
        <v>0</v>
      </c>
      <c r="Q3" s="6"/>
      <c r="R3" s="5">
        <f>VLOOKUP(Q3,'Win Methods'!$C$4:$F$4992,4,FALSE)</f>
        <v>0</v>
      </c>
      <c r="S3" s="6"/>
      <c r="T3" s="5">
        <f>VLOOKUP(S3,'Win Methods'!$C$4:$F$4992,4,FALSE)</f>
        <v>0</v>
      </c>
      <c r="U3" s="6"/>
      <c r="V3" s="5">
        <f>VLOOKUP(U3,'Win Methods'!$C$4:$F$4992,4,FALSE)</f>
        <v>0</v>
      </c>
      <c r="W3" s="6"/>
      <c r="X3" s="5">
        <f>VLOOKUP(W3,'Win Methods'!$C$4:$F$4992,4,FALSE)</f>
        <v>0</v>
      </c>
      <c r="Y3" s="5" t="str">
        <f t="shared" ref="Y3:Y66" si="1">E3&amp;"|"&amp;G3&amp;"|"&amp;I3&amp;"|"&amp;K3&amp;"|"&amp;M3&amp;"|"&amp;O3&amp;"|"&amp;Q3&amp;"|"&amp;S3&amp;"|"&amp;U3&amp;"|"&amp;W3 &amp;" x "&amp;D3</f>
        <v>||||||||| x 1</v>
      </c>
    </row>
    <row r="4" spans="2:25">
      <c r="B4" s="5">
        <v>1</v>
      </c>
      <c r="C4" s="5">
        <f t="shared" si="0"/>
        <v>0.1</v>
      </c>
      <c r="D4" s="4">
        <v>1</v>
      </c>
      <c r="E4" s="6" t="s">
        <v>208</v>
      </c>
      <c r="F4" s="5">
        <f>VLOOKUP(E4,'Win Methods'!$C$4:$F$4992,4,FALSE)</f>
        <v>0.1</v>
      </c>
      <c r="G4" s="6"/>
      <c r="H4" s="5">
        <f>VLOOKUP(G4,'Win Methods'!$C$4:$F$4992,4,FALSE)</f>
        <v>0</v>
      </c>
      <c r="I4" s="6"/>
      <c r="J4" s="5">
        <f>VLOOKUP(I4,'Win Methods'!$C$4:$F$4992,4,FALSE)</f>
        <v>0</v>
      </c>
      <c r="K4" s="6"/>
      <c r="L4" s="5">
        <f>VLOOKUP(K4,'Win Methods'!$C$4:$F$4992,4,FALSE)</f>
        <v>0</v>
      </c>
      <c r="M4" s="6"/>
      <c r="N4" s="5">
        <f>VLOOKUP(M4,'Win Methods'!$C$4:$F$4992,4,FALSE)</f>
        <v>0</v>
      </c>
      <c r="O4" s="6"/>
      <c r="P4" s="5">
        <f>VLOOKUP(O4,'Win Methods'!$C$4:$F$4992,4,FALSE)</f>
        <v>0</v>
      </c>
      <c r="Q4" s="6"/>
      <c r="R4" s="5">
        <f>VLOOKUP(Q4,'Win Methods'!$C$4:$F$4992,4,FALSE)</f>
        <v>0</v>
      </c>
      <c r="S4" s="6"/>
      <c r="T4" s="5">
        <f>VLOOKUP(S4,'Win Methods'!$C$4:$F$4992,4,FALSE)</f>
        <v>0</v>
      </c>
      <c r="U4" s="6"/>
      <c r="V4" s="5">
        <f>VLOOKUP(U4,'Win Methods'!$C$4:$F$4992,4,FALSE)</f>
        <v>0</v>
      </c>
      <c r="W4" s="6"/>
      <c r="X4" s="5">
        <f>VLOOKUP(W4,'Win Methods'!$C$4:$F$4992,4,FALSE)</f>
        <v>0</v>
      </c>
      <c r="Y4" s="5" t="str">
        <f t="shared" si="1"/>
        <v>main-0||||||||| x 1</v>
      </c>
    </row>
    <row r="5" spans="2:25">
      <c r="B5" s="5">
        <v>2</v>
      </c>
      <c r="C5" s="5">
        <f t="shared" si="0"/>
        <v>0.2</v>
      </c>
      <c r="D5" s="4">
        <v>1</v>
      </c>
      <c r="E5" s="6" t="s">
        <v>209</v>
      </c>
      <c r="F5" s="5">
        <f>VLOOKUP(E5,'Win Methods'!$C$4:$F$4992,4,FALSE)</f>
        <v>0.2</v>
      </c>
      <c r="G5" s="6"/>
      <c r="H5" s="5">
        <f>VLOOKUP(G5,'Win Methods'!$C$4:$F$4992,4,FALSE)</f>
        <v>0</v>
      </c>
      <c r="I5" s="6"/>
      <c r="J5" s="5">
        <f>VLOOKUP(I5,'Win Methods'!$C$4:$F$4992,4,FALSE)</f>
        <v>0</v>
      </c>
      <c r="K5" s="6"/>
      <c r="L5" s="5">
        <f>VLOOKUP(K5,'Win Methods'!$C$4:$F$4992,4,FALSE)</f>
        <v>0</v>
      </c>
      <c r="M5" s="6"/>
      <c r="N5" s="5">
        <f>VLOOKUP(M5,'Win Methods'!$C$4:$F$4992,4,FALSE)</f>
        <v>0</v>
      </c>
      <c r="O5" s="6"/>
      <c r="P5" s="5">
        <f>VLOOKUP(O5,'Win Methods'!$C$4:$F$4992,4,FALSE)</f>
        <v>0</v>
      </c>
      <c r="Q5" s="6"/>
      <c r="R5" s="5">
        <f>VLOOKUP(Q5,'Win Methods'!$C$4:$F$4992,4,FALSE)</f>
        <v>0</v>
      </c>
      <c r="S5" s="6"/>
      <c r="T5" s="5">
        <f>VLOOKUP(S5,'Win Methods'!$C$4:$F$4992,4,FALSE)</f>
        <v>0</v>
      </c>
      <c r="U5" s="6"/>
      <c r="V5" s="5">
        <f>VLOOKUP(U5,'Win Methods'!$C$4:$F$4992,4,FALSE)</f>
        <v>0</v>
      </c>
      <c r="W5" s="6"/>
      <c r="X5" s="5">
        <f>VLOOKUP(W5,'Win Methods'!$C$4:$F$4992,4,FALSE)</f>
        <v>0</v>
      </c>
      <c r="Y5" s="5" t="str">
        <f t="shared" si="1"/>
        <v>main-1||||||||| x 1</v>
      </c>
    </row>
    <row r="6" spans="2:25">
      <c r="B6" s="5">
        <v>3</v>
      </c>
      <c r="C6" s="5">
        <f t="shared" si="0"/>
        <v>0.5</v>
      </c>
      <c r="D6" s="4">
        <v>1</v>
      </c>
      <c r="E6" s="6" t="s">
        <v>210</v>
      </c>
      <c r="F6" s="5">
        <f>VLOOKUP(E6,'Win Methods'!$C$4:$F$4992,4,FALSE)</f>
        <v>0.5</v>
      </c>
      <c r="G6" s="6"/>
      <c r="H6" s="5">
        <f>VLOOKUP(G6,'Win Methods'!$C$4:$F$4992,4,FALSE)</f>
        <v>0</v>
      </c>
      <c r="I6" s="6"/>
      <c r="J6" s="5">
        <f>VLOOKUP(I6,'Win Methods'!$C$4:$F$4992,4,FALSE)</f>
        <v>0</v>
      </c>
      <c r="K6" s="6"/>
      <c r="L6" s="5">
        <f>VLOOKUP(K6,'Win Methods'!$C$4:$F$4992,4,FALSE)</f>
        <v>0</v>
      </c>
      <c r="M6" s="6"/>
      <c r="N6" s="5">
        <f>VLOOKUP(M6,'Win Methods'!$C$4:$F$4992,4,FALSE)</f>
        <v>0</v>
      </c>
      <c r="O6" s="6"/>
      <c r="P6" s="5">
        <f>VLOOKUP(O6,'Win Methods'!$C$4:$F$4992,4,FALSE)</f>
        <v>0</v>
      </c>
      <c r="Q6" s="6"/>
      <c r="R6" s="5">
        <f>VLOOKUP(Q6,'Win Methods'!$C$4:$F$4992,4,FALSE)</f>
        <v>0</v>
      </c>
      <c r="S6" s="6"/>
      <c r="T6" s="5">
        <f>VLOOKUP(S6,'Win Methods'!$C$4:$F$4992,4,FALSE)</f>
        <v>0</v>
      </c>
      <c r="U6" s="6"/>
      <c r="V6" s="5">
        <f>VLOOKUP(U6,'Win Methods'!$C$4:$F$4992,4,FALSE)</f>
        <v>0</v>
      </c>
      <c r="W6" s="6"/>
      <c r="X6" s="5">
        <f>VLOOKUP(W6,'Win Methods'!$C$4:$F$4992,4,FALSE)</f>
        <v>0</v>
      </c>
      <c r="Y6" s="5" t="str">
        <f t="shared" si="1"/>
        <v>main-2||||||||| x 1</v>
      </c>
    </row>
    <row r="7" spans="2:25">
      <c r="B7" s="5">
        <v>4</v>
      </c>
      <c r="C7" s="5">
        <f t="shared" si="0"/>
        <v>1</v>
      </c>
      <c r="D7" s="4">
        <v>1</v>
      </c>
      <c r="E7" s="6" t="s">
        <v>211</v>
      </c>
      <c r="F7" s="5">
        <f>VLOOKUP(E7,'Win Methods'!$C$4:$F$4992,4,FALSE)</f>
        <v>1</v>
      </c>
      <c r="G7" s="6"/>
      <c r="H7" s="5">
        <f>VLOOKUP(G7,'Win Methods'!$C$4:$F$4992,4,FALSE)</f>
        <v>0</v>
      </c>
      <c r="I7" s="6"/>
      <c r="J7" s="5">
        <f>VLOOKUP(I7,'Win Methods'!$C$4:$F$4992,4,FALSE)</f>
        <v>0</v>
      </c>
      <c r="K7" s="6"/>
      <c r="L7" s="5">
        <f>VLOOKUP(K7,'Win Methods'!$C$4:$F$4992,4,FALSE)</f>
        <v>0</v>
      </c>
      <c r="M7" s="6"/>
      <c r="N7" s="5">
        <f>VLOOKUP(M7,'Win Methods'!$C$4:$F$4992,4,FALSE)</f>
        <v>0</v>
      </c>
      <c r="O7" s="6"/>
      <c r="P7" s="5">
        <f>VLOOKUP(O7,'Win Methods'!$C$4:$F$4992,4,FALSE)</f>
        <v>0</v>
      </c>
      <c r="Q7" s="6"/>
      <c r="R7" s="5">
        <f>VLOOKUP(Q7,'Win Methods'!$C$4:$F$4992,4,FALSE)</f>
        <v>0</v>
      </c>
      <c r="S7" s="6"/>
      <c r="T7" s="5">
        <f>VLOOKUP(S7,'Win Methods'!$C$4:$F$4992,4,FALSE)</f>
        <v>0</v>
      </c>
      <c r="U7" s="6"/>
      <c r="V7" s="5">
        <f>VLOOKUP(U7,'Win Methods'!$C$4:$F$4992,4,FALSE)</f>
        <v>0</v>
      </c>
      <c r="W7" s="6"/>
      <c r="X7" s="5">
        <f>VLOOKUP(W7,'Win Methods'!$C$4:$F$4992,4,FALSE)</f>
        <v>0</v>
      </c>
      <c r="Y7" s="5" t="str">
        <f t="shared" si="1"/>
        <v>main-3||||||||| x 1</v>
      </c>
    </row>
    <row r="8" spans="2:25">
      <c r="B8" s="5">
        <v>5</v>
      </c>
      <c r="C8" s="5">
        <f t="shared" si="0"/>
        <v>1.5</v>
      </c>
      <c r="D8" s="4">
        <v>1</v>
      </c>
      <c r="E8" s="6" t="s">
        <v>212</v>
      </c>
      <c r="F8" s="5">
        <f>VLOOKUP(E8,'Win Methods'!$C$4:$F$4992,4,FALSE)</f>
        <v>1.5</v>
      </c>
      <c r="G8" s="6"/>
      <c r="H8" s="5">
        <f>VLOOKUP(G8,'Win Methods'!$C$4:$F$4992,4,FALSE)</f>
        <v>0</v>
      </c>
      <c r="I8" s="6"/>
      <c r="J8" s="5">
        <f>VLOOKUP(I8,'Win Methods'!$C$4:$F$4992,4,FALSE)</f>
        <v>0</v>
      </c>
      <c r="K8" s="6"/>
      <c r="L8" s="5">
        <f>VLOOKUP(K8,'Win Methods'!$C$4:$F$4992,4,FALSE)</f>
        <v>0</v>
      </c>
      <c r="M8" s="6"/>
      <c r="N8" s="5">
        <f>VLOOKUP(M8,'Win Methods'!$C$4:$F$4992,4,FALSE)</f>
        <v>0</v>
      </c>
      <c r="O8" s="6"/>
      <c r="P8" s="5">
        <f>VLOOKUP(O8,'Win Methods'!$C$4:$F$4992,4,FALSE)</f>
        <v>0</v>
      </c>
      <c r="Q8" s="6"/>
      <c r="R8" s="5">
        <f>VLOOKUP(Q8,'Win Methods'!$C$4:$F$4992,4,FALSE)</f>
        <v>0</v>
      </c>
      <c r="S8" s="6"/>
      <c r="T8" s="5">
        <f>VLOOKUP(S8,'Win Methods'!$C$4:$F$4992,4,FALSE)</f>
        <v>0</v>
      </c>
      <c r="U8" s="6"/>
      <c r="V8" s="5">
        <f>VLOOKUP(U8,'Win Methods'!$C$4:$F$4992,4,FALSE)</f>
        <v>0</v>
      </c>
      <c r="W8" s="6"/>
      <c r="X8" s="5">
        <f>VLOOKUP(W8,'Win Methods'!$C$4:$F$4992,4,FALSE)</f>
        <v>0</v>
      </c>
      <c r="Y8" s="5" t="str">
        <f t="shared" si="1"/>
        <v>main-4||||||||| x 1</v>
      </c>
    </row>
    <row r="9" spans="2:25">
      <c r="B9" s="5">
        <v>6</v>
      </c>
      <c r="C9" s="5">
        <f t="shared" si="0"/>
        <v>2</v>
      </c>
      <c r="D9" s="4">
        <v>1</v>
      </c>
      <c r="E9" s="6" t="s">
        <v>213</v>
      </c>
      <c r="F9" s="5">
        <f>VLOOKUP(E9,'Win Methods'!$C$4:$F$4992,4,FALSE)</f>
        <v>2</v>
      </c>
      <c r="G9" s="6"/>
      <c r="H9" s="5">
        <f>VLOOKUP(G9,'Win Methods'!$C$4:$F$4992,4,FALSE)</f>
        <v>0</v>
      </c>
      <c r="I9" s="6"/>
      <c r="J9" s="5">
        <f>VLOOKUP(I9,'Win Methods'!$C$4:$F$4992,4,FALSE)</f>
        <v>0</v>
      </c>
      <c r="K9" s="6"/>
      <c r="L9" s="5">
        <f>VLOOKUP(K9,'Win Methods'!$C$4:$F$4992,4,FALSE)</f>
        <v>0</v>
      </c>
      <c r="M9" s="6"/>
      <c r="N9" s="5">
        <f>VLOOKUP(M9,'Win Methods'!$C$4:$F$4992,4,FALSE)</f>
        <v>0</v>
      </c>
      <c r="O9" s="6"/>
      <c r="P9" s="5">
        <f>VLOOKUP(O9,'Win Methods'!$C$4:$F$4992,4,FALSE)</f>
        <v>0</v>
      </c>
      <c r="Q9" s="6"/>
      <c r="R9" s="5">
        <f>VLOOKUP(Q9,'Win Methods'!$C$4:$F$4992,4,FALSE)</f>
        <v>0</v>
      </c>
      <c r="S9" s="6"/>
      <c r="T9" s="5">
        <f>VLOOKUP(S9,'Win Methods'!$C$4:$F$4992,4,FALSE)</f>
        <v>0</v>
      </c>
      <c r="U9" s="6"/>
      <c r="V9" s="5">
        <f>VLOOKUP(U9,'Win Methods'!$C$4:$F$4992,4,FALSE)</f>
        <v>0</v>
      </c>
      <c r="W9" s="6"/>
      <c r="X9" s="5">
        <f>VLOOKUP(W9,'Win Methods'!$C$4:$F$4992,4,FALSE)</f>
        <v>0</v>
      </c>
      <c r="Y9" s="5" t="str">
        <f t="shared" si="1"/>
        <v>main-5||||||||| x 1</v>
      </c>
    </row>
    <row r="10" spans="2:25">
      <c r="B10" s="5">
        <v>7</v>
      </c>
      <c r="C10" s="5">
        <f t="shared" si="0"/>
        <v>2.5</v>
      </c>
      <c r="D10" s="4">
        <v>1</v>
      </c>
      <c r="E10" s="6" t="s">
        <v>214</v>
      </c>
      <c r="F10" s="5">
        <f>VLOOKUP(E10,'Win Methods'!$C$4:$F$4992,4,FALSE)</f>
        <v>2.5</v>
      </c>
      <c r="G10" s="6"/>
      <c r="H10" s="5">
        <f>VLOOKUP(G10,'Win Methods'!$C$4:$F$4992,4,FALSE)</f>
        <v>0</v>
      </c>
      <c r="I10" s="6"/>
      <c r="J10" s="5">
        <f>VLOOKUP(I10,'Win Methods'!$C$4:$F$4992,4,FALSE)</f>
        <v>0</v>
      </c>
      <c r="K10" s="6"/>
      <c r="L10" s="5">
        <f>VLOOKUP(K10,'Win Methods'!$C$4:$F$4992,4,FALSE)</f>
        <v>0</v>
      </c>
      <c r="M10" s="6"/>
      <c r="N10" s="5">
        <f>VLOOKUP(M10,'Win Methods'!$C$4:$F$4992,4,FALSE)</f>
        <v>0</v>
      </c>
      <c r="O10" s="6"/>
      <c r="P10" s="5">
        <f>VLOOKUP(O10,'Win Methods'!$C$4:$F$4992,4,FALSE)</f>
        <v>0</v>
      </c>
      <c r="Q10" s="6"/>
      <c r="R10" s="5">
        <f>VLOOKUP(Q10,'Win Methods'!$C$4:$F$4992,4,FALSE)</f>
        <v>0</v>
      </c>
      <c r="S10" s="6"/>
      <c r="T10" s="5">
        <f>VLOOKUP(S10,'Win Methods'!$C$4:$F$4992,4,FALSE)</f>
        <v>0</v>
      </c>
      <c r="U10" s="6"/>
      <c r="V10" s="5">
        <f>VLOOKUP(U10,'Win Methods'!$C$4:$F$4992,4,FALSE)</f>
        <v>0</v>
      </c>
      <c r="W10" s="6"/>
      <c r="X10" s="5">
        <f>VLOOKUP(W10,'Win Methods'!$C$4:$F$4992,4,FALSE)</f>
        <v>0</v>
      </c>
      <c r="Y10" s="5" t="str">
        <f t="shared" si="1"/>
        <v>main-6||||||||| x 1</v>
      </c>
    </row>
    <row r="11" spans="2:25">
      <c r="B11" s="5">
        <v>8</v>
      </c>
      <c r="C11" s="5">
        <f t="shared" si="0"/>
        <v>3</v>
      </c>
      <c r="D11" s="4">
        <v>1</v>
      </c>
      <c r="E11" s="6" t="s">
        <v>215</v>
      </c>
      <c r="F11" s="5">
        <f>VLOOKUP(E11,'Win Methods'!$C$4:$F$4992,4,FALSE)</f>
        <v>3</v>
      </c>
      <c r="G11" s="6"/>
      <c r="H11" s="5">
        <f>VLOOKUP(G11,'Win Methods'!$C$4:$F$4992,4,FALSE)</f>
        <v>0</v>
      </c>
      <c r="I11" s="6"/>
      <c r="J11" s="5">
        <f>VLOOKUP(I11,'Win Methods'!$C$4:$F$4992,4,FALSE)</f>
        <v>0</v>
      </c>
      <c r="K11" s="6"/>
      <c r="L11" s="5">
        <f>VLOOKUP(K11,'Win Methods'!$C$4:$F$4992,4,FALSE)</f>
        <v>0</v>
      </c>
      <c r="M11" s="6"/>
      <c r="N11" s="5">
        <f>VLOOKUP(M11,'Win Methods'!$C$4:$F$4992,4,FALSE)</f>
        <v>0</v>
      </c>
      <c r="O11" s="6"/>
      <c r="P11" s="5">
        <f>VLOOKUP(O11,'Win Methods'!$C$4:$F$4992,4,FALSE)</f>
        <v>0</v>
      </c>
      <c r="Q11" s="6"/>
      <c r="R11" s="5">
        <f>VLOOKUP(Q11,'Win Methods'!$C$4:$F$4992,4,FALSE)</f>
        <v>0</v>
      </c>
      <c r="S11" s="6"/>
      <c r="T11" s="5">
        <f>VLOOKUP(S11,'Win Methods'!$C$4:$F$4992,4,FALSE)</f>
        <v>0</v>
      </c>
      <c r="U11" s="6"/>
      <c r="V11" s="5">
        <f>VLOOKUP(U11,'Win Methods'!$C$4:$F$4992,4,FALSE)</f>
        <v>0</v>
      </c>
      <c r="W11" s="6"/>
      <c r="X11" s="5">
        <f>VLOOKUP(W11,'Win Methods'!$C$4:$F$4992,4,FALSE)</f>
        <v>0</v>
      </c>
      <c r="Y11" s="5" t="str">
        <f t="shared" si="1"/>
        <v>main-7||||||||| x 1</v>
      </c>
    </row>
    <row r="12" spans="2:25">
      <c r="B12" s="5">
        <v>9</v>
      </c>
      <c r="C12" s="5">
        <f t="shared" si="0"/>
        <v>5</v>
      </c>
      <c r="D12" s="4">
        <v>1</v>
      </c>
      <c r="E12" s="6" t="s">
        <v>216</v>
      </c>
      <c r="F12" s="5">
        <f>VLOOKUP(E12,'Win Methods'!$C$4:$F$4992,4,FALSE)</f>
        <v>5</v>
      </c>
      <c r="G12" s="6"/>
      <c r="H12" s="5">
        <f>VLOOKUP(G12,'Win Methods'!$C$4:$F$4992,4,FALSE)</f>
        <v>0</v>
      </c>
      <c r="I12" s="6"/>
      <c r="J12" s="5">
        <f>VLOOKUP(I12,'Win Methods'!$C$4:$F$4992,4,FALSE)</f>
        <v>0</v>
      </c>
      <c r="K12" s="6"/>
      <c r="L12" s="5">
        <f>VLOOKUP(K12,'Win Methods'!$C$4:$F$4992,4,FALSE)</f>
        <v>0</v>
      </c>
      <c r="M12" s="6"/>
      <c r="N12" s="5">
        <f>VLOOKUP(M12,'Win Methods'!$C$4:$F$4992,4,FALSE)</f>
        <v>0</v>
      </c>
      <c r="O12" s="6"/>
      <c r="P12" s="5">
        <f>VLOOKUP(O12,'Win Methods'!$C$4:$F$4992,4,FALSE)</f>
        <v>0</v>
      </c>
      <c r="Q12" s="6"/>
      <c r="R12" s="5">
        <f>VLOOKUP(Q12,'Win Methods'!$C$4:$F$4992,4,FALSE)</f>
        <v>0</v>
      </c>
      <c r="S12" s="6"/>
      <c r="T12" s="5">
        <f>VLOOKUP(S12,'Win Methods'!$C$4:$F$4992,4,FALSE)</f>
        <v>0</v>
      </c>
      <c r="U12" s="6"/>
      <c r="V12" s="5">
        <f>VLOOKUP(U12,'Win Methods'!$C$4:$F$4992,4,FALSE)</f>
        <v>0</v>
      </c>
      <c r="W12" s="6"/>
      <c r="X12" s="5">
        <f>VLOOKUP(W12,'Win Methods'!$C$4:$F$4992,4,FALSE)</f>
        <v>0</v>
      </c>
      <c r="Y12" s="5" t="str">
        <f t="shared" si="1"/>
        <v>main-8||||||||| x 1</v>
      </c>
    </row>
    <row r="13" spans="2:25">
      <c r="B13" s="5">
        <v>10</v>
      </c>
      <c r="C13" s="5">
        <f t="shared" si="0"/>
        <v>10</v>
      </c>
      <c r="D13" s="4">
        <v>1</v>
      </c>
      <c r="E13" s="6" t="s">
        <v>217</v>
      </c>
      <c r="F13" s="5">
        <f>VLOOKUP(E13,'Win Methods'!$C$4:$F$4992,4,FALSE)</f>
        <v>10</v>
      </c>
      <c r="G13" s="6"/>
      <c r="H13" s="5">
        <f>VLOOKUP(G13,'Win Methods'!$C$4:$F$4992,4,FALSE)</f>
        <v>0</v>
      </c>
      <c r="I13" s="6"/>
      <c r="J13" s="5">
        <f>VLOOKUP(I13,'Win Methods'!$C$4:$F$4992,4,FALSE)</f>
        <v>0</v>
      </c>
      <c r="K13" s="6"/>
      <c r="L13" s="5">
        <f>VLOOKUP(K13,'Win Methods'!$C$4:$F$4992,4,FALSE)</f>
        <v>0</v>
      </c>
      <c r="M13" s="6"/>
      <c r="N13" s="5">
        <f>VLOOKUP(M13,'Win Methods'!$C$4:$F$4992,4,FALSE)</f>
        <v>0</v>
      </c>
      <c r="O13" s="6"/>
      <c r="P13" s="5">
        <f>VLOOKUP(O13,'Win Methods'!$C$4:$F$4992,4,FALSE)</f>
        <v>0</v>
      </c>
      <c r="Q13" s="6"/>
      <c r="R13" s="5">
        <f>VLOOKUP(Q13,'Win Methods'!$C$4:$F$4992,4,FALSE)</f>
        <v>0</v>
      </c>
      <c r="S13" s="6"/>
      <c r="T13" s="5">
        <f>VLOOKUP(S13,'Win Methods'!$C$4:$F$4992,4,FALSE)</f>
        <v>0</v>
      </c>
      <c r="U13" s="6"/>
      <c r="V13" s="5">
        <f>VLOOKUP(U13,'Win Methods'!$C$4:$F$4992,4,FALSE)</f>
        <v>0</v>
      </c>
      <c r="W13" s="6"/>
      <c r="X13" s="5">
        <f>VLOOKUP(W13,'Win Methods'!$C$4:$F$4992,4,FALSE)</f>
        <v>0</v>
      </c>
      <c r="Y13" s="5" t="str">
        <f t="shared" si="1"/>
        <v>main-9||||||||| x 1</v>
      </c>
    </row>
    <row r="14" spans="2:25">
      <c r="B14" s="5">
        <v>11</v>
      </c>
      <c r="C14" s="5">
        <f t="shared" si="0"/>
        <v>1</v>
      </c>
      <c r="D14" s="4">
        <v>1</v>
      </c>
      <c r="E14" s="6" t="s">
        <v>218</v>
      </c>
      <c r="F14" s="5">
        <f>VLOOKUP(E14,'Win Methods'!$C$4:$F$4992,4,FALSE)</f>
        <v>1</v>
      </c>
      <c r="G14" s="6"/>
      <c r="H14" s="5">
        <f>VLOOKUP(G14,'Win Methods'!$C$4:$F$4992,4,FALSE)</f>
        <v>0</v>
      </c>
      <c r="I14" s="6"/>
      <c r="J14" s="5">
        <f>VLOOKUP(I14,'Win Methods'!$C$4:$F$4992,4,FALSE)</f>
        <v>0</v>
      </c>
      <c r="K14" s="6"/>
      <c r="L14" s="5">
        <f>VLOOKUP(K14,'Win Methods'!$C$4:$F$4992,4,FALSE)</f>
        <v>0</v>
      </c>
      <c r="M14" s="6"/>
      <c r="N14" s="5">
        <f>VLOOKUP(M14,'Win Methods'!$C$4:$F$4992,4,FALSE)</f>
        <v>0</v>
      </c>
      <c r="O14" s="6"/>
      <c r="P14" s="5">
        <f>VLOOKUP(O14,'Win Methods'!$C$4:$F$4992,4,FALSE)</f>
        <v>0</v>
      </c>
      <c r="Q14" s="6"/>
      <c r="R14" s="5">
        <f>VLOOKUP(Q14,'Win Methods'!$C$4:$F$4992,4,FALSE)</f>
        <v>0</v>
      </c>
      <c r="S14" s="6"/>
      <c r="T14" s="5">
        <f>VLOOKUP(S14,'Win Methods'!$C$4:$F$4992,4,FALSE)</f>
        <v>0</v>
      </c>
      <c r="U14" s="6"/>
      <c r="V14" s="5">
        <f>VLOOKUP(U14,'Win Methods'!$C$4:$F$4992,4,FALSE)</f>
        <v>0</v>
      </c>
      <c r="W14" s="6"/>
      <c r="X14" s="5">
        <f>VLOOKUP(W14,'Win Methods'!$C$4:$F$4992,4,FALSE)</f>
        <v>0</v>
      </c>
      <c r="Y14" s="5" t="str">
        <f t="shared" si="1"/>
        <v>main-10||||||||| x 1</v>
      </c>
    </row>
    <row r="15" spans="2:25">
      <c r="B15" s="5">
        <v>12</v>
      </c>
      <c r="C15" s="5">
        <f t="shared" si="0"/>
        <v>1.5</v>
      </c>
      <c r="D15" s="4">
        <v>1</v>
      </c>
      <c r="E15" s="6" t="s">
        <v>219</v>
      </c>
      <c r="F15" s="5">
        <f>VLOOKUP(E15,'Win Methods'!$C$4:$F$4992,4,FALSE)</f>
        <v>1.5</v>
      </c>
      <c r="G15" s="6"/>
      <c r="H15" s="5">
        <f>VLOOKUP(G15,'Win Methods'!$C$4:$F$4992,4,FALSE)</f>
        <v>0</v>
      </c>
      <c r="I15" s="6"/>
      <c r="J15" s="5">
        <f>VLOOKUP(I15,'Win Methods'!$C$4:$F$4992,4,FALSE)</f>
        <v>0</v>
      </c>
      <c r="K15" s="6"/>
      <c r="L15" s="5">
        <f>VLOOKUP(K15,'Win Methods'!$C$4:$F$4992,4,FALSE)</f>
        <v>0</v>
      </c>
      <c r="M15" s="6"/>
      <c r="N15" s="5">
        <f>VLOOKUP(M15,'Win Methods'!$C$4:$F$4992,4,FALSE)</f>
        <v>0</v>
      </c>
      <c r="O15" s="6"/>
      <c r="P15" s="5">
        <f>VLOOKUP(O15,'Win Methods'!$C$4:$F$4992,4,FALSE)</f>
        <v>0</v>
      </c>
      <c r="Q15" s="6"/>
      <c r="R15" s="5">
        <f>VLOOKUP(Q15,'Win Methods'!$C$4:$F$4992,4,FALSE)</f>
        <v>0</v>
      </c>
      <c r="S15" s="6"/>
      <c r="T15" s="5">
        <f>VLOOKUP(S15,'Win Methods'!$C$4:$F$4992,4,FALSE)</f>
        <v>0</v>
      </c>
      <c r="U15" s="6"/>
      <c r="V15" s="5">
        <f>VLOOKUP(U15,'Win Methods'!$C$4:$F$4992,4,FALSE)</f>
        <v>0</v>
      </c>
      <c r="W15" s="6"/>
      <c r="X15" s="5">
        <f>VLOOKUP(W15,'Win Methods'!$C$4:$F$4992,4,FALSE)</f>
        <v>0</v>
      </c>
      <c r="Y15" s="5" t="str">
        <f t="shared" si="1"/>
        <v>main-11||||||||| x 1</v>
      </c>
    </row>
    <row r="16" spans="2:25">
      <c r="B16" s="5">
        <v>13</v>
      </c>
      <c r="C16" s="5">
        <f t="shared" si="0"/>
        <v>2</v>
      </c>
      <c r="D16" s="4">
        <v>1</v>
      </c>
      <c r="E16" s="6" t="s">
        <v>220</v>
      </c>
      <c r="F16" s="5">
        <f>VLOOKUP(E16,'Win Methods'!$C$4:$F$4992,4,FALSE)</f>
        <v>2</v>
      </c>
      <c r="G16" s="6"/>
      <c r="H16" s="5">
        <f>VLOOKUP(G16,'Win Methods'!$C$4:$F$4992,4,FALSE)</f>
        <v>0</v>
      </c>
      <c r="I16" s="6"/>
      <c r="J16" s="5">
        <f>VLOOKUP(I16,'Win Methods'!$C$4:$F$4992,4,FALSE)</f>
        <v>0</v>
      </c>
      <c r="K16" s="6"/>
      <c r="L16" s="5">
        <f>VLOOKUP(K16,'Win Methods'!$C$4:$F$4992,4,FALSE)</f>
        <v>0</v>
      </c>
      <c r="M16" s="6"/>
      <c r="N16" s="5">
        <f>VLOOKUP(M16,'Win Methods'!$C$4:$F$4992,4,FALSE)</f>
        <v>0</v>
      </c>
      <c r="O16" s="6"/>
      <c r="P16" s="5">
        <f>VLOOKUP(O16,'Win Methods'!$C$4:$F$4992,4,FALSE)</f>
        <v>0</v>
      </c>
      <c r="Q16" s="6"/>
      <c r="R16" s="5">
        <f>VLOOKUP(Q16,'Win Methods'!$C$4:$F$4992,4,FALSE)</f>
        <v>0</v>
      </c>
      <c r="S16" s="6"/>
      <c r="T16" s="5">
        <f>VLOOKUP(S16,'Win Methods'!$C$4:$F$4992,4,FALSE)</f>
        <v>0</v>
      </c>
      <c r="U16" s="6"/>
      <c r="V16" s="5">
        <f>VLOOKUP(U16,'Win Methods'!$C$4:$F$4992,4,FALSE)</f>
        <v>0</v>
      </c>
      <c r="W16" s="6"/>
      <c r="X16" s="5">
        <f>VLOOKUP(W16,'Win Methods'!$C$4:$F$4992,4,FALSE)</f>
        <v>0</v>
      </c>
      <c r="Y16" s="5" t="str">
        <f t="shared" si="1"/>
        <v>main-12||||||||| x 1</v>
      </c>
    </row>
    <row r="17" spans="2:25">
      <c r="B17" s="5">
        <v>14</v>
      </c>
      <c r="C17" s="5">
        <f t="shared" si="0"/>
        <v>5</v>
      </c>
      <c r="D17" s="4">
        <v>1</v>
      </c>
      <c r="E17" s="6" t="s">
        <v>221</v>
      </c>
      <c r="F17" s="5">
        <f>VLOOKUP(E17,'Win Methods'!$C$4:$F$4992,4,FALSE)</f>
        <v>5</v>
      </c>
      <c r="G17" s="6"/>
      <c r="H17" s="5">
        <f>VLOOKUP(G17,'Win Methods'!$C$4:$F$4992,4,FALSE)</f>
        <v>0</v>
      </c>
      <c r="I17" s="6"/>
      <c r="J17" s="5">
        <f>VLOOKUP(I17,'Win Methods'!$C$4:$F$4992,4,FALSE)</f>
        <v>0</v>
      </c>
      <c r="K17" s="6"/>
      <c r="L17" s="5">
        <f>VLOOKUP(K17,'Win Methods'!$C$4:$F$4992,4,FALSE)</f>
        <v>0</v>
      </c>
      <c r="M17" s="6"/>
      <c r="N17" s="5">
        <f>VLOOKUP(M17,'Win Methods'!$C$4:$F$4992,4,FALSE)</f>
        <v>0</v>
      </c>
      <c r="O17" s="6"/>
      <c r="P17" s="5">
        <f>VLOOKUP(O17,'Win Methods'!$C$4:$F$4992,4,FALSE)</f>
        <v>0</v>
      </c>
      <c r="Q17" s="6"/>
      <c r="R17" s="5">
        <f>VLOOKUP(Q17,'Win Methods'!$C$4:$F$4992,4,FALSE)</f>
        <v>0</v>
      </c>
      <c r="S17" s="6"/>
      <c r="T17" s="5">
        <f>VLOOKUP(S17,'Win Methods'!$C$4:$F$4992,4,FALSE)</f>
        <v>0</v>
      </c>
      <c r="U17" s="6"/>
      <c r="V17" s="5">
        <f>VLOOKUP(U17,'Win Methods'!$C$4:$F$4992,4,FALSE)</f>
        <v>0</v>
      </c>
      <c r="W17" s="6"/>
      <c r="X17" s="5">
        <f>VLOOKUP(W17,'Win Methods'!$C$4:$F$4992,4,FALSE)</f>
        <v>0</v>
      </c>
      <c r="Y17" s="5" t="str">
        <f t="shared" si="1"/>
        <v>main-13||||||||| x 1</v>
      </c>
    </row>
    <row r="18" spans="2:25">
      <c r="B18" s="5">
        <v>15</v>
      </c>
      <c r="C18" s="5">
        <f t="shared" si="0"/>
        <v>10</v>
      </c>
      <c r="D18" s="4">
        <v>1</v>
      </c>
      <c r="E18" s="6" t="s">
        <v>222</v>
      </c>
      <c r="F18" s="5">
        <f>VLOOKUP(E18,'Win Methods'!$C$4:$F$4992,4,FALSE)</f>
        <v>10</v>
      </c>
      <c r="G18" s="6"/>
      <c r="H18" s="5">
        <f>VLOOKUP(G18,'Win Methods'!$C$4:$F$4992,4,FALSE)</f>
        <v>0</v>
      </c>
      <c r="I18" s="6"/>
      <c r="J18" s="5">
        <f>VLOOKUP(I18,'Win Methods'!$C$4:$F$4992,4,FALSE)</f>
        <v>0</v>
      </c>
      <c r="K18" s="6"/>
      <c r="L18" s="5">
        <f>VLOOKUP(K18,'Win Methods'!$C$4:$F$4992,4,FALSE)</f>
        <v>0</v>
      </c>
      <c r="M18" s="6"/>
      <c r="N18" s="5">
        <f>VLOOKUP(M18,'Win Methods'!$C$4:$F$4992,4,FALSE)</f>
        <v>0</v>
      </c>
      <c r="O18" s="6"/>
      <c r="P18" s="5">
        <f>VLOOKUP(O18,'Win Methods'!$C$4:$F$4992,4,FALSE)</f>
        <v>0</v>
      </c>
      <c r="Q18" s="6"/>
      <c r="R18" s="5">
        <f>VLOOKUP(Q18,'Win Methods'!$C$4:$F$4992,4,FALSE)</f>
        <v>0</v>
      </c>
      <c r="S18" s="6"/>
      <c r="T18" s="5">
        <f>VLOOKUP(S18,'Win Methods'!$C$4:$F$4992,4,FALSE)</f>
        <v>0</v>
      </c>
      <c r="U18" s="6"/>
      <c r="V18" s="5">
        <f>VLOOKUP(U18,'Win Methods'!$C$4:$F$4992,4,FALSE)</f>
        <v>0</v>
      </c>
      <c r="W18" s="6"/>
      <c r="X18" s="5">
        <f>VLOOKUP(W18,'Win Methods'!$C$4:$F$4992,4,FALSE)</f>
        <v>0</v>
      </c>
      <c r="Y18" s="5" t="str">
        <f t="shared" si="1"/>
        <v>main-14||||||||| x 1</v>
      </c>
    </row>
    <row r="19" spans="2:25">
      <c r="B19" s="5">
        <v>16</v>
      </c>
      <c r="C19" s="5">
        <f t="shared" si="0"/>
        <v>15</v>
      </c>
      <c r="D19" s="4">
        <v>1</v>
      </c>
      <c r="E19" s="6" t="s">
        <v>223</v>
      </c>
      <c r="F19" s="5">
        <f>VLOOKUP(E19,'Win Methods'!$C$4:$F$4992,4,FALSE)</f>
        <v>15</v>
      </c>
      <c r="G19" s="6"/>
      <c r="H19" s="5">
        <f>VLOOKUP(G19,'Win Methods'!$C$4:$F$4992,4,FALSE)</f>
        <v>0</v>
      </c>
      <c r="I19" s="6"/>
      <c r="J19" s="5">
        <f>VLOOKUP(I19,'Win Methods'!$C$4:$F$4992,4,FALSE)</f>
        <v>0</v>
      </c>
      <c r="K19" s="6"/>
      <c r="L19" s="5">
        <f>VLOOKUP(K19,'Win Methods'!$C$4:$F$4992,4,FALSE)</f>
        <v>0</v>
      </c>
      <c r="M19" s="6"/>
      <c r="N19" s="5">
        <f>VLOOKUP(M19,'Win Methods'!$C$4:$F$4992,4,FALSE)</f>
        <v>0</v>
      </c>
      <c r="O19" s="6"/>
      <c r="P19" s="5">
        <f>VLOOKUP(O19,'Win Methods'!$C$4:$F$4992,4,FALSE)</f>
        <v>0</v>
      </c>
      <c r="Q19" s="6"/>
      <c r="R19" s="5">
        <f>VLOOKUP(Q19,'Win Methods'!$C$4:$F$4992,4,FALSE)</f>
        <v>0</v>
      </c>
      <c r="S19" s="6"/>
      <c r="T19" s="5">
        <f>VLOOKUP(S19,'Win Methods'!$C$4:$F$4992,4,FALSE)</f>
        <v>0</v>
      </c>
      <c r="U19" s="6"/>
      <c r="V19" s="5">
        <f>VLOOKUP(U19,'Win Methods'!$C$4:$F$4992,4,FALSE)</f>
        <v>0</v>
      </c>
      <c r="W19" s="6"/>
      <c r="X19" s="5">
        <f>VLOOKUP(W19,'Win Methods'!$C$4:$F$4992,4,FALSE)</f>
        <v>0</v>
      </c>
      <c r="Y19" s="5" t="str">
        <f t="shared" si="1"/>
        <v>main-15||||||||| x 1</v>
      </c>
    </row>
    <row r="20" spans="2:25">
      <c r="B20" s="5">
        <v>17</v>
      </c>
      <c r="C20" s="5">
        <f t="shared" si="0"/>
        <v>20</v>
      </c>
      <c r="D20" s="4">
        <v>1</v>
      </c>
      <c r="E20" s="6" t="s">
        <v>224</v>
      </c>
      <c r="F20" s="5">
        <f>VLOOKUP(E20,'Win Methods'!$C$4:$F$4992,4,FALSE)</f>
        <v>20</v>
      </c>
      <c r="G20" s="6"/>
      <c r="H20" s="5">
        <f>VLOOKUP(G20,'Win Methods'!$C$4:$F$4992,4,FALSE)</f>
        <v>0</v>
      </c>
      <c r="I20" s="6"/>
      <c r="J20" s="5">
        <f>VLOOKUP(I20,'Win Methods'!$C$4:$F$4992,4,FALSE)</f>
        <v>0</v>
      </c>
      <c r="K20" s="6"/>
      <c r="L20" s="5">
        <f>VLOOKUP(K20,'Win Methods'!$C$4:$F$4992,4,FALSE)</f>
        <v>0</v>
      </c>
      <c r="M20" s="6"/>
      <c r="N20" s="5">
        <f>VLOOKUP(M20,'Win Methods'!$C$4:$F$4992,4,FALSE)</f>
        <v>0</v>
      </c>
      <c r="O20" s="6"/>
      <c r="P20" s="5">
        <f>VLOOKUP(O20,'Win Methods'!$C$4:$F$4992,4,FALSE)</f>
        <v>0</v>
      </c>
      <c r="Q20" s="6"/>
      <c r="R20" s="5">
        <f>VLOOKUP(Q20,'Win Methods'!$C$4:$F$4992,4,FALSE)</f>
        <v>0</v>
      </c>
      <c r="S20" s="6"/>
      <c r="T20" s="5">
        <f>VLOOKUP(S20,'Win Methods'!$C$4:$F$4992,4,FALSE)</f>
        <v>0</v>
      </c>
      <c r="U20" s="6"/>
      <c r="V20" s="5">
        <f>VLOOKUP(U20,'Win Methods'!$C$4:$F$4992,4,FALSE)</f>
        <v>0</v>
      </c>
      <c r="W20" s="6"/>
      <c r="X20" s="5">
        <f>VLOOKUP(W20,'Win Methods'!$C$4:$F$4992,4,FALSE)</f>
        <v>0</v>
      </c>
      <c r="Y20" s="5" t="str">
        <f t="shared" si="1"/>
        <v>main-16||||||||| x 1</v>
      </c>
    </row>
    <row r="21" spans="2:25">
      <c r="B21" s="5">
        <v>18</v>
      </c>
      <c r="C21" s="5">
        <f t="shared" si="0"/>
        <v>50</v>
      </c>
      <c r="D21" s="4">
        <v>1</v>
      </c>
      <c r="E21" s="6" t="s">
        <v>225</v>
      </c>
      <c r="F21" s="5">
        <f>VLOOKUP(E21,'Win Methods'!$C$4:$F$4992,4,FALSE)</f>
        <v>50</v>
      </c>
      <c r="G21" s="6"/>
      <c r="H21" s="5">
        <f>VLOOKUP(G21,'Win Methods'!$C$4:$F$4992,4,FALSE)</f>
        <v>0</v>
      </c>
      <c r="I21" s="6"/>
      <c r="J21" s="5">
        <f>VLOOKUP(I21,'Win Methods'!$C$4:$F$4992,4,FALSE)</f>
        <v>0</v>
      </c>
      <c r="K21" s="6"/>
      <c r="L21" s="5">
        <f>VLOOKUP(K21,'Win Methods'!$C$4:$F$4992,4,FALSE)</f>
        <v>0</v>
      </c>
      <c r="M21" s="6"/>
      <c r="N21" s="5">
        <f>VLOOKUP(M21,'Win Methods'!$C$4:$F$4992,4,FALSE)</f>
        <v>0</v>
      </c>
      <c r="O21" s="6"/>
      <c r="P21" s="5">
        <f>VLOOKUP(O21,'Win Methods'!$C$4:$F$4992,4,FALSE)</f>
        <v>0</v>
      </c>
      <c r="Q21" s="6"/>
      <c r="R21" s="5">
        <f>VLOOKUP(Q21,'Win Methods'!$C$4:$F$4992,4,FALSE)</f>
        <v>0</v>
      </c>
      <c r="S21" s="6"/>
      <c r="T21" s="5">
        <f>VLOOKUP(S21,'Win Methods'!$C$4:$F$4992,4,FALSE)</f>
        <v>0</v>
      </c>
      <c r="U21" s="6"/>
      <c r="V21" s="5">
        <f>VLOOKUP(U21,'Win Methods'!$C$4:$F$4992,4,FALSE)</f>
        <v>0</v>
      </c>
      <c r="W21" s="6"/>
      <c r="X21" s="5">
        <f>VLOOKUP(W21,'Win Methods'!$C$4:$F$4992,4,FALSE)</f>
        <v>0</v>
      </c>
      <c r="Y21" s="5" t="str">
        <f t="shared" si="1"/>
        <v>main-17||||||||| x 1</v>
      </c>
    </row>
    <row r="22" spans="2:25">
      <c r="B22" s="5">
        <v>19</v>
      </c>
      <c r="C22" s="5">
        <f t="shared" si="0"/>
        <v>100</v>
      </c>
      <c r="D22" s="4">
        <v>1</v>
      </c>
      <c r="E22" s="6" t="s">
        <v>226</v>
      </c>
      <c r="F22" s="5">
        <f>VLOOKUP(E22,'Win Methods'!$C$4:$F$4992,4,FALSE)</f>
        <v>100</v>
      </c>
      <c r="G22" s="6"/>
      <c r="H22" s="5">
        <f>VLOOKUP(G22,'Win Methods'!$C$4:$F$4992,4,FALSE)</f>
        <v>0</v>
      </c>
      <c r="I22" s="6"/>
      <c r="J22" s="5">
        <f>VLOOKUP(I22,'Win Methods'!$C$4:$F$4992,4,FALSE)</f>
        <v>0</v>
      </c>
      <c r="K22" s="6"/>
      <c r="L22" s="5">
        <f>VLOOKUP(K22,'Win Methods'!$C$4:$F$4992,4,FALSE)</f>
        <v>0</v>
      </c>
      <c r="M22" s="6"/>
      <c r="N22" s="5">
        <f>VLOOKUP(M22,'Win Methods'!$C$4:$F$4992,4,FALSE)</f>
        <v>0</v>
      </c>
      <c r="O22" s="6"/>
      <c r="P22" s="5">
        <f>VLOOKUP(O22,'Win Methods'!$C$4:$F$4992,4,FALSE)</f>
        <v>0</v>
      </c>
      <c r="Q22" s="6"/>
      <c r="R22" s="5">
        <f>VLOOKUP(Q22,'Win Methods'!$C$4:$F$4992,4,FALSE)</f>
        <v>0</v>
      </c>
      <c r="S22" s="6"/>
      <c r="T22" s="5">
        <f>VLOOKUP(S22,'Win Methods'!$C$4:$F$4992,4,FALSE)</f>
        <v>0</v>
      </c>
      <c r="U22" s="6"/>
      <c r="V22" s="5">
        <f>VLOOKUP(U22,'Win Methods'!$C$4:$F$4992,4,FALSE)</f>
        <v>0</v>
      </c>
      <c r="W22" s="6"/>
      <c r="X22" s="5">
        <f>VLOOKUP(W22,'Win Methods'!$C$4:$F$4992,4,FALSE)</f>
        <v>0</v>
      </c>
      <c r="Y22" s="5" t="str">
        <f t="shared" si="1"/>
        <v>main-18||||||||| x 1</v>
      </c>
    </row>
    <row r="23" spans="2:25">
      <c r="B23" s="5">
        <v>20</v>
      </c>
      <c r="C23" s="5">
        <f t="shared" si="0"/>
        <v>200</v>
      </c>
      <c r="D23" s="4">
        <v>1</v>
      </c>
      <c r="E23" s="6" t="s">
        <v>227</v>
      </c>
      <c r="F23" s="5">
        <f>VLOOKUP(E23,'Win Methods'!$C$4:$F$4992,4,FALSE)</f>
        <v>200</v>
      </c>
      <c r="G23" s="6"/>
      <c r="H23" s="5">
        <f>VLOOKUP(G23,'Win Methods'!$C$4:$F$4992,4,FALSE)</f>
        <v>0</v>
      </c>
      <c r="I23" s="6"/>
      <c r="J23" s="5">
        <f>VLOOKUP(I23,'Win Methods'!$C$4:$F$4992,4,FALSE)</f>
        <v>0</v>
      </c>
      <c r="K23" s="6"/>
      <c r="L23" s="5">
        <f>VLOOKUP(K23,'Win Methods'!$C$4:$F$4992,4,FALSE)</f>
        <v>0</v>
      </c>
      <c r="M23" s="6"/>
      <c r="N23" s="5">
        <f>VLOOKUP(M23,'Win Methods'!$C$4:$F$4992,4,FALSE)</f>
        <v>0</v>
      </c>
      <c r="O23" s="6"/>
      <c r="P23" s="5">
        <f>VLOOKUP(O23,'Win Methods'!$C$4:$F$4992,4,FALSE)</f>
        <v>0</v>
      </c>
      <c r="Q23" s="6"/>
      <c r="R23" s="5">
        <f>VLOOKUP(Q23,'Win Methods'!$C$4:$F$4992,4,FALSE)</f>
        <v>0</v>
      </c>
      <c r="S23" s="6"/>
      <c r="T23" s="5">
        <f>VLOOKUP(S23,'Win Methods'!$C$4:$F$4992,4,FALSE)</f>
        <v>0</v>
      </c>
      <c r="U23" s="6"/>
      <c r="V23" s="5">
        <f>VLOOKUP(U23,'Win Methods'!$C$4:$F$4992,4,FALSE)</f>
        <v>0</v>
      </c>
      <c r="W23" s="6"/>
      <c r="X23" s="5">
        <f>VLOOKUP(W23,'Win Methods'!$C$4:$F$4992,4,FALSE)</f>
        <v>0</v>
      </c>
      <c r="Y23" s="5" t="str">
        <f t="shared" si="1"/>
        <v>main-19||||||||| x 1</v>
      </c>
    </row>
    <row r="24" spans="2:25">
      <c r="B24" s="5">
        <v>21</v>
      </c>
      <c r="C24" s="5">
        <f t="shared" si="0"/>
        <v>1.5</v>
      </c>
      <c r="D24" s="4">
        <v>1</v>
      </c>
      <c r="E24" s="6" t="s">
        <v>228</v>
      </c>
      <c r="F24" s="5">
        <f>VLOOKUP(E24,'Win Methods'!$C$4:$F$4992,4,FALSE)</f>
        <v>1.5</v>
      </c>
      <c r="G24" s="6"/>
      <c r="H24" s="5">
        <f>VLOOKUP(G24,'Win Methods'!$C$4:$F$4992,4,FALSE)</f>
        <v>0</v>
      </c>
      <c r="I24" s="6"/>
      <c r="J24" s="5">
        <f>VLOOKUP(I24,'Win Methods'!$C$4:$F$4992,4,FALSE)</f>
        <v>0</v>
      </c>
      <c r="K24" s="6"/>
      <c r="L24" s="5">
        <f>VLOOKUP(K24,'Win Methods'!$C$4:$F$4992,4,FALSE)</f>
        <v>0</v>
      </c>
      <c r="M24" s="6"/>
      <c r="N24" s="5">
        <f>VLOOKUP(M24,'Win Methods'!$C$4:$F$4992,4,FALSE)</f>
        <v>0</v>
      </c>
      <c r="O24" s="6"/>
      <c r="P24" s="5">
        <f>VLOOKUP(O24,'Win Methods'!$C$4:$F$4992,4,FALSE)</f>
        <v>0</v>
      </c>
      <c r="Q24" s="6"/>
      <c r="R24" s="5">
        <f>VLOOKUP(Q24,'Win Methods'!$C$4:$F$4992,4,FALSE)</f>
        <v>0</v>
      </c>
      <c r="S24" s="6"/>
      <c r="T24" s="5">
        <f>VLOOKUP(S24,'Win Methods'!$C$4:$F$4992,4,FALSE)</f>
        <v>0</v>
      </c>
      <c r="U24" s="6"/>
      <c r="V24" s="5">
        <f>VLOOKUP(U24,'Win Methods'!$C$4:$F$4992,4,FALSE)</f>
        <v>0</v>
      </c>
      <c r="W24" s="6"/>
      <c r="X24" s="5">
        <f>VLOOKUP(W24,'Win Methods'!$C$4:$F$4992,4,FALSE)</f>
        <v>0</v>
      </c>
      <c r="Y24" s="5" t="str">
        <f t="shared" si="1"/>
        <v>main-20||||||||| x 1</v>
      </c>
    </row>
    <row r="25" spans="2:25">
      <c r="B25" s="5">
        <v>22</v>
      </c>
      <c r="C25" s="5">
        <f t="shared" si="0"/>
        <v>2</v>
      </c>
      <c r="D25" s="4">
        <v>1</v>
      </c>
      <c r="E25" s="6" t="s">
        <v>229</v>
      </c>
      <c r="F25" s="5">
        <f>VLOOKUP(E25,'Win Methods'!$C$4:$F$4992,4,FALSE)</f>
        <v>2</v>
      </c>
      <c r="G25" s="6"/>
      <c r="H25" s="5">
        <f>VLOOKUP(G25,'Win Methods'!$C$4:$F$4992,4,FALSE)</f>
        <v>0</v>
      </c>
      <c r="I25" s="6"/>
      <c r="J25" s="5">
        <f>VLOOKUP(I25,'Win Methods'!$C$4:$F$4992,4,FALSE)</f>
        <v>0</v>
      </c>
      <c r="K25" s="6"/>
      <c r="L25" s="5">
        <f>VLOOKUP(K25,'Win Methods'!$C$4:$F$4992,4,FALSE)</f>
        <v>0</v>
      </c>
      <c r="M25" s="6"/>
      <c r="N25" s="5">
        <f>VLOOKUP(M25,'Win Methods'!$C$4:$F$4992,4,FALSE)</f>
        <v>0</v>
      </c>
      <c r="O25" s="6"/>
      <c r="P25" s="5">
        <f>VLOOKUP(O25,'Win Methods'!$C$4:$F$4992,4,FALSE)</f>
        <v>0</v>
      </c>
      <c r="Q25" s="6"/>
      <c r="R25" s="5">
        <f>VLOOKUP(Q25,'Win Methods'!$C$4:$F$4992,4,FALSE)</f>
        <v>0</v>
      </c>
      <c r="S25" s="6"/>
      <c r="T25" s="5">
        <f>VLOOKUP(S25,'Win Methods'!$C$4:$F$4992,4,FALSE)</f>
        <v>0</v>
      </c>
      <c r="U25" s="6"/>
      <c r="V25" s="5">
        <f>VLOOKUP(U25,'Win Methods'!$C$4:$F$4992,4,FALSE)</f>
        <v>0</v>
      </c>
      <c r="W25" s="6"/>
      <c r="X25" s="5">
        <f>VLOOKUP(W25,'Win Methods'!$C$4:$F$4992,4,FALSE)</f>
        <v>0</v>
      </c>
      <c r="Y25" s="5" t="str">
        <f t="shared" si="1"/>
        <v>main-21||||||||| x 1</v>
      </c>
    </row>
    <row r="26" spans="2:25">
      <c r="B26" s="5">
        <v>23</v>
      </c>
      <c r="C26" s="5">
        <f t="shared" si="0"/>
        <v>5</v>
      </c>
      <c r="D26" s="4">
        <v>1</v>
      </c>
      <c r="E26" s="6" t="s">
        <v>230</v>
      </c>
      <c r="F26" s="5">
        <f>VLOOKUP(E26,'Win Methods'!$C$4:$F$4992,4,FALSE)</f>
        <v>5</v>
      </c>
      <c r="G26" s="6"/>
      <c r="H26" s="5">
        <f>VLOOKUP(G26,'Win Methods'!$C$4:$F$4992,4,FALSE)</f>
        <v>0</v>
      </c>
      <c r="I26" s="6"/>
      <c r="J26" s="5">
        <f>VLOOKUP(I26,'Win Methods'!$C$4:$F$4992,4,FALSE)</f>
        <v>0</v>
      </c>
      <c r="K26" s="6"/>
      <c r="L26" s="5">
        <f>VLOOKUP(K26,'Win Methods'!$C$4:$F$4992,4,FALSE)</f>
        <v>0</v>
      </c>
      <c r="M26" s="6"/>
      <c r="N26" s="5">
        <f>VLOOKUP(M26,'Win Methods'!$C$4:$F$4992,4,FALSE)</f>
        <v>0</v>
      </c>
      <c r="O26" s="6"/>
      <c r="P26" s="5">
        <f>VLOOKUP(O26,'Win Methods'!$C$4:$F$4992,4,FALSE)</f>
        <v>0</v>
      </c>
      <c r="Q26" s="6"/>
      <c r="R26" s="5">
        <f>VLOOKUP(Q26,'Win Methods'!$C$4:$F$4992,4,FALSE)</f>
        <v>0</v>
      </c>
      <c r="S26" s="6"/>
      <c r="T26" s="5">
        <f>VLOOKUP(S26,'Win Methods'!$C$4:$F$4992,4,FALSE)</f>
        <v>0</v>
      </c>
      <c r="U26" s="6"/>
      <c r="V26" s="5">
        <f>VLOOKUP(U26,'Win Methods'!$C$4:$F$4992,4,FALSE)</f>
        <v>0</v>
      </c>
      <c r="W26" s="6"/>
      <c r="X26" s="5">
        <f>VLOOKUP(W26,'Win Methods'!$C$4:$F$4992,4,FALSE)</f>
        <v>0</v>
      </c>
      <c r="Y26" s="5" t="str">
        <f t="shared" si="1"/>
        <v>main-22||||||||| x 1</v>
      </c>
    </row>
    <row r="27" spans="2:25">
      <c r="B27" s="5">
        <v>24</v>
      </c>
      <c r="C27" s="5">
        <f t="shared" si="0"/>
        <v>10</v>
      </c>
      <c r="D27" s="4">
        <v>1</v>
      </c>
      <c r="E27" s="6" t="s">
        <v>231</v>
      </c>
      <c r="F27" s="5">
        <f>VLOOKUP(E27,'Win Methods'!$C$4:$F$4992,4,FALSE)</f>
        <v>10</v>
      </c>
      <c r="G27" s="6"/>
      <c r="H27" s="5">
        <f>VLOOKUP(G27,'Win Methods'!$C$4:$F$4992,4,FALSE)</f>
        <v>0</v>
      </c>
      <c r="I27" s="6"/>
      <c r="J27" s="5">
        <f>VLOOKUP(I27,'Win Methods'!$C$4:$F$4992,4,FALSE)</f>
        <v>0</v>
      </c>
      <c r="K27" s="6"/>
      <c r="L27" s="5">
        <f>VLOOKUP(K27,'Win Methods'!$C$4:$F$4992,4,FALSE)</f>
        <v>0</v>
      </c>
      <c r="M27" s="6"/>
      <c r="N27" s="5">
        <f>VLOOKUP(M27,'Win Methods'!$C$4:$F$4992,4,FALSE)</f>
        <v>0</v>
      </c>
      <c r="O27" s="6"/>
      <c r="P27" s="5">
        <f>VLOOKUP(O27,'Win Methods'!$C$4:$F$4992,4,FALSE)</f>
        <v>0</v>
      </c>
      <c r="Q27" s="6"/>
      <c r="R27" s="5">
        <f>VLOOKUP(Q27,'Win Methods'!$C$4:$F$4992,4,FALSE)</f>
        <v>0</v>
      </c>
      <c r="S27" s="6"/>
      <c r="T27" s="5">
        <f>VLOOKUP(S27,'Win Methods'!$C$4:$F$4992,4,FALSE)</f>
        <v>0</v>
      </c>
      <c r="U27" s="6"/>
      <c r="V27" s="5">
        <f>VLOOKUP(U27,'Win Methods'!$C$4:$F$4992,4,FALSE)</f>
        <v>0</v>
      </c>
      <c r="W27" s="6"/>
      <c r="X27" s="5">
        <f>VLOOKUP(W27,'Win Methods'!$C$4:$F$4992,4,FALSE)</f>
        <v>0</v>
      </c>
      <c r="Y27" s="5" t="str">
        <f t="shared" si="1"/>
        <v>main-23||||||||| x 1</v>
      </c>
    </row>
    <row r="28" spans="2:25">
      <c r="B28" s="5">
        <v>25</v>
      </c>
      <c r="C28" s="5">
        <f t="shared" si="0"/>
        <v>15</v>
      </c>
      <c r="D28" s="4">
        <v>1</v>
      </c>
      <c r="E28" s="6" t="s">
        <v>232</v>
      </c>
      <c r="F28" s="5">
        <f>VLOOKUP(E28,'Win Methods'!$C$4:$F$4992,4,FALSE)</f>
        <v>15</v>
      </c>
      <c r="G28" s="6"/>
      <c r="H28" s="5">
        <f>VLOOKUP(G28,'Win Methods'!$C$4:$F$4992,4,FALSE)</f>
        <v>0</v>
      </c>
      <c r="I28" s="6"/>
      <c r="J28" s="5">
        <f>VLOOKUP(I28,'Win Methods'!$C$4:$F$4992,4,FALSE)</f>
        <v>0</v>
      </c>
      <c r="K28" s="6"/>
      <c r="L28" s="5">
        <f>VLOOKUP(K28,'Win Methods'!$C$4:$F$4992,4,FALSE)</f>
        <v>0</v>
      </c>
      <c r="M28" s="6"/>
      <c r="N28" s="5">
        <f>VLOOKUP(M28,'Win Methods'!$C$4:$F$4992,4,FALSE)</f>
        <v>0</v>
      </c>
      <c r="O28" s="6"/>
      <c r="P28" s="5">
        <f>VLOOKUP(O28,'Win Methods'!$C$4:$F$4992,4,FALSE)</f>
        <v>0</v>
      </c>
      <c r="Q28" s="6"/>
      <c r="R28" s="5">
        <f>VLOOKUP(Q28,'Win Methods'!$C$4:$F$4992,4,FALSE)</f>
        <v>0</v>
      </c>
      <c r="S28" s="6"/>
      <c r="T28" s="5">
        <f>VLOOKUP(S28,'Win Methods'!$C$4:$F$4992,4,FALSE)</f>
        <v>0</v>
      </c>
      <c r="U28" s="6"/>
      <c r="V28" s="5">
        <f>VLOOKUP(U28,'Win Methods'!$C$4:$F$4992,4,FALSE)</f>
        <v>0</v>
      </c>
      <c r="W28" s="6"/>
      <c r="X28" s="5">
        <f>VLOOKUP(W28,'Win Methods'!$C$4:$F$4992,4,FALSE)</f>
        <v>0</v>
      </c>
      <c r="Y28" s="5" t="str">
        <f t="shared" si="1"/>
        <v>main-24||||||||| x 1</v>
      </c>
    </row>
    <row r="29" spans="2:25">
      <c r="B29" s="5">
        <v>26</v>
      </c>
      <c r="C29" s="5">
        <f t="shared" si="0"/>
        <v>20</v>
      </c>
      <c r="D29" s="4">
        <v>1</v>
      </c>
      <c r="E29" s="6" t="s">
        <v>233</v>
      </c>
      <c r="F29" s="5">
        <f>VLOOKUP(E29,'Win Methods'!$C$4:$F$4992,4,FALSE)</f>
        <v>20</v>
      </c>
      <c r="G29" s="6"/>
      <c r="H29" s="5">
        <f>VLOOKUP(G29,'Win Methods'!$C$4:$F$4992,4,FALSE)</f>
        <v>0</v>
      </c>
      <c r="I29" s="6"/>
      <c r="J29" s="5">
        <f>VLOOKUP(I29,'Win Methods'!$C$4:$F$4992,4,FALSE)</f>
        <v>0</v>
      </c>
      <c r="K29" s="6"/>
      <c r="L29" s="5">
        <f>VLOOKUP(K29,'Win Methods'!$C$4:$F$4992,4,FALSE)</f>
        <v>0</v>
      </c>
      <c r="M29" s="6"/>
      <c r="N29" s="5">
        <f>VLOOKUP(M29,'Win Methods'!$C$4:$F$4992,4,FALSE)</f>
        <v>0</v>
      </c>
      <c r="O29" s="6"/>
      <c r="P29" s="5">
        <f>VLOOKUP(O29,'Win Methods'!$C$4:$F$4992,4,FALSE)</f>
        <v>0</v>
      </c>
      <c r="Q29" s="6"/>
      <c r="R29" s="5">
        <f>VLOOKUP(Q29,'Win Methods'!$C$4:$F$4992,4,FALSE)</f>
        <v>0</v>
      </c>
      <c r="S29" s="6"/>
      <c r="T29" s="5">
        <f>VLOOKUP(S29,'Win Methods'!$C$4:$F$4992,4,FALSE)</f>
        <v>0</v>
      </c>
      <c r="U29" s="6"/>
      <c r="V29" s="5">
        <f>VLOOKUP(U29,'Win Methods'!$C$4:$F$4992,4,FALSE)</f>
        <v>0</v>
      </c>
      <c r="W29" s="6"/>
      <c r="X29" s="5">
        <f>VLOOKUP(W29,'Win Methods'!$C$4:$F$4992,4,FALSE)</f>
        <v>0</v>
      </c>
      <c r="Y29" s="5" t="str">
        <f t="shared" si="1"/>
        <v>main-25||||||||| x 1</v>
      </c>
    </row>
    <row r="30" spans="2:25">
      <c r="B30" s="5">
        <v>27</v>
      </c>
      <c r="C30" s="5">
        <f t="shared" si="0"/>
        <v>50</v>
      </c>
      <c r="D30" s="4">
        <v>1</v>
      </c>
      <c r="E30" s="6" t="s">
        <v>234</v>
      </c>
      <c r="F30" s="5">
        <f>VLOOKUP(E30,'Win Methods'!$C$4:$F$4992,4,FALSE)</f>
        <v>50</v>
      </c>
      <c r="G30" s="6"/>
      <c r="H30" s="5">
        <f>VLOOKUP(G30,'Win Methods'!$C$4:$F$4992,4,FALSE)</f>
        <v>0</v>
      </c>
      <c r="I30" s="6"/>
      <c r="J30" s="5">
        <f>VLOOKUP(I30,'Win Methods'!$C$4:$F$4992,4,FALSE)</f>
        <v>0</v>
      </c>
      <c r="K30" s="6"/>
      <c r="L30" s="5">
        <f>VLOOKUP(K30,'Win Methods'!$C$4:$F$4992,4,FALSE)</f>
        <v>0</v>
      </c>
      <c r="M30" s="6"/>
      <c r="N30" s="5">
        <f>VLOOKUP(M30,'Win Methods'!$C$4:$F$4992,4,FALSE)</f>
        <v>0</v>
      </c>
      <c r="O30" s="6"/>
      <c r="P30" s="5">
        <f>VLOOKUP(O30,'Win Methods'!$C$4:$F$4992,4,FALSE)</f>
        <v>0</v>
      </c>
      <c r="Q30" s="6"/>
      <c r="R30" s="5">
        <f>VLOOKUP(Q30,'Win Methods'!$C$4:$F$4992,4,FALSE)</f>
        <v>0</v>
      </c>
      <c r="S30" s="6"/>
      <c r="T30" s="5">
        <f>VLOOKUP(S30,'Win Methods'!$C$4:$F$4992,4,FALSE)</f>
        <v>0</v>
      </c>
      <c r="U30" s="6"/>
      <c r="V30" s="5">
        <f>VLOOKUP(U30,'Win Methods'!$C$4:$F$4992,4,FALSE)</f>
        <v>0</v>
      </c>
      <c r="W30" s="6"/>
      <c r="X30" s="5">
        <f>VLOOKUP(W30,'Win Methods'!$C$4:$F$4992,4,FALSE)</f>
        <v>0</v>
      </c>
      <c r="Y30" s="5" t="str">
        <f t="shared" si="1"/>
        <v>main-26||||||||| x 1</v>
      </c>
    </row>
    <row r="31" spans="2:25">
      <c r="B31" s="5">
        <v>28</v>
      </c>
      <c r="C31" s="5">
        <f t="shared" si="0"/>
        <v>100</v>
      </c>
      <c r="D31" s="4">
        <v>1</v>
      </c>
      <c r="E31" s="6" t="s">
        <v>235</v>
      </c>
      <c r="F31" s="5">
        <f>VLOOKUP(E31,'Win Methods'!$C$4:$F$4992,4,FALSE)</f>
        <v>100</v>
      </c>
      <c r="G31" s="6"/>
      <c r="H31" s="5">
        <f>VLOOKUP(G31,'Win Methods'!$C$4:$F$4992,4,FALSE)</f>
        <v>0</v>
      </c>
      <c r="I31" s="6"/>
      <c r="J31" s="5">
        <f>VLOOKUP(I31,'Win Methods'!$C$4:$F$4992,4,FALSE)</f>
        <v>0</v>
      </c>
      <c r="K31" s="6"/>
      <c r="L31" s="5">
        <f>VLOOKUP(K31,'Win Methods'!$C$4:$F$4992,4,FALSE)</f>
        <v>0</v>
      </c>
      <c r="M31" s="6"/>
      <c r="N31" s="5">
        <f>VLOOKUP(M31,'Win Methods'!$C$4:$F$4992,4,FALSE)</f>
        <v>0</v>
      </c>
      <c r="O31" s="6"/>
      <c r="P31" s="5">
        <f>VLOOKUP(O31,'Win Methods'!$C$4:$F$4992,4,FALSE)</f>
        <v>0</v>
      </c>
      <c r="Q31" s="6"/>
      <c r="R31" s="5">
        <f>VLOOKUP(Q31,'Win Methods'!$C$4:$F$4992,4,FALSE)</f>
        <v>0</v>
      </c>
      <c r="S31" s="6"/>
      <c r="T31" s="5">
        <f>VLOOKUP(S31,'Win Methods'!$C$4:$F$4992,4,FALSE)</f>
        <v>0</v>
      </c>
      <c r="U31" s="6"/>
      <c r="V31" s="5">
        <f>VLOOKUP(U31,'Win Methods'!$C$4:$F$4992,4,FALSE)</f>
        <v>0</v>
      </c>
      <c r="W31" s="6"/>
      <c r="X31" s="5">
        <f>VLOOKUP(W31,'Win Methods'!$C$4:$F$4992,4,FALSE)</f>
        <v>0</v>
      </c>
      <c r="Y31" s="5" t="str">
        <f t="shared" si="1"/>
        <v>main-27||||||||| x 1</v>
      </c>
    </row>
    <row r="32" spans="2:25">
      <c r="B32" s="5">
        <v>29</v>
      </c>
      <c r="C32" s="5">
        <f t="shared" si="0"/>
        <v>200</v>
      </c>
      <c r="D32" s="4">
        <v>1</v>
      </c>
      <c r="E32" s="6" t="s">
        <v>236</v>
      </c>
      <c r="F32" s="5">
        <f>VLOOKUP(E32,'Win Methods'!$C$4:$F$4992,4,FALSE)</f>
        <v>200</v>
      </c>
      <c r="G32" s="6"/>
      <c r="H32" s="5">
        <f>VLOOKUP(G32,'Win Methods'!$C$4:$F$4992,4,FALSE)</f>
        <v>0</v>
      </c>
      <c r="I32" s="6"/>
      <c r="J32" s="5">
        <f>VLOOKUP(I32,'Win Methods'!$C$4:$F$4992,4,FALSE)</f>
        <v>0</v>
      </c>
      <c r="K32" s="6"/>
      <c r="L32" s="5">
        <f>VLOOKUP(K32,'Win Methods'!$C$4:$F$4992,4,FALSE)</f>
        <v>0</v>
      </c>
      <c r="M32" s="6"/>
      <c r="N32" s="5">
        <f>VLOOKUP(M32,'Win Methods'!$C$4:$F$4992,4,FALSE)</f>
        <v>0</v>
      </c>
      <c r="O32" s="6"/>
      <c r="P32" s="5">
        <f>VLOOKUP(O32,'Win Methods'!$C$4:$F$4992,4,FALSE)</f>
        <v>0</v>
      </c>
      <c r="Q32" s="6"/>
      <c r="R32" s="5">
        <f>VLOOKUP(Q32,'Win Methods'!$C$4:$F$4992,4,FALSE)</f>
        <v>0</v>
      </c>
      <c r="S32" s="6"/>
      <c r="T32" s="5">
        <f>VLOOKUP(S32,'Win Methods'!$C$4:$F$4992,4,FALSE)</f>
        <v>0</v>
      </c>
      <c r="U32" s="6"/>
      <c r="V32" s="5">
        <f>VLOOKUP(U32,'Win Methods'!$C$4:$F$4992,4,FALSE)</f>
        <v>0</v>
      </c>
      <c r="W32" s="6"/>
      <c r="X32" s="5">
        <f>VLOOKUP(W32,'Win Methods'!$C$4:$F$4992,4,FALSE)</f>
        <v>0</v>
      </c>
      <c r="Y32" s="5" t="str">
        <f t="shared" si="1"/>
        <v>main-28||||||||| x 1</v>
      </c>
    </row>
    <row r="33" spans="2:25">
      <c r="B33" s="5">
        <v>30</v>
      </c>
      <c r="C33" s="5">
        <f t="shared" si="0"/>
        <v>500</v>
      </c>
      <c r="D33" s="4">
        <v>1</v>
      </c>
      <c r="E33" s="6" t="s">
        <v>237</v>
      </c>
      <c r="F33" s="5">
        <f>VLOOKUP(E33,'Win Methods'!$C$4:$F$4992,4,FALSE)</f>
        <v>500</v>
      </c>
      <c r="G33" s="6"/>
      <c r="H33" s="5">
        <f>VLOOKUP(G33,'Win Methods'!$C$4:$F$4992,4,FALSE)</f>
        <v>0</v>
      </c>
      <c r="I33" s="6"/>
      <c r="J33" s="5">
        <f>VLOOKUP(I33,'Win Methods'!$C$4:$F$4992,4,FALSE)</f>
        <v>0</v>
      </c>
      <c r="K33" s="6"/>
      <c r="L33" s="5">
        <f>VLOOKUP(K33,'Win Methods'!$C$4:$F$4992,4,FALSE)</f>
        <v>0</v>
      </c>
      <c r="M33" s="6"/>
      <c r="N33" s="5">
        <f>VLOOKUP(M33,'Win Methods'!$C$4:$F$4992,4,FALSE)</f>
        <v>0</v>
      </c>
      <c r="O33" s="6"/>
      <c r="P33" s="5">
        <f>VLOOKUP(O33,'Win Methods'!$C$4:$F$4992,4,FALSE)</f>
        <v>0</v>
      </c>
      <c r="Q33" s="6"/>
      <c r="R33" s="5">
        <f>VLOOKUP(Q33,'Win Methods'!$C$4:$F$4992,4,FALSE)</f>
        <v>0</v>
      </c>
      <c r="S33" s="6"/>
      <c r="T33" s="5">
        <f>VLOOKUP(S33,'Win Methods'!$C$4:$F$4992,4,FALSE)</f>
        <v>0</v>
      </c>
      <c r="U33" s="6"/>
      <c r="V33" s="5">
        <f>VLOOKUP(U33,'Win Methods'!$C$4:$F$4992,4,FALSE)</f>
        <v>0</v>
      </c>
      <c r="W33" s="6"/>
      <c r="X33" s="5">
        <f>VLOOKUP(W33,'Win Methods'!$C$4:$F$4992,4,FALSE)</f>
        <v>0</v>
      </c>
      <c r="Y33" s="5" t="str">
        <f t="shared" si="1"/>
        <v>main-29||||||||| x 1</v>
      </c>
    </row>
    <row r="34" spans="2:25">
      <c r="B34" s="5">
        <v>31</v>
      </c>
      <c r="C34" s="5">
        <f t="shared" si="0"/>
        <v>2</v>
      </c>
      <c r="D34" s="4">
        <v>1</v>
      </c>
      <c r="E34" s="6" t="s">
        <v>238</v>
      </c>
      <c r="F34" s="5">
        <f>VLOOKUP(E34,'Win Methods'!$C$4:$F$4992,4,FALSE)</f>
        <v>2</v>
      </c>
      <c r="G34" s="6"/>
      <c r="H34" s="5">
        <f>VLOOKUP(G34,'Win Methods'!$C$4:$F$4992,4,FALSE)</f>
        <v>0</v>
      </c>
      <c r="I34" s="6"/>
      <c r="J34" s="5">
        <f>VLOOKUP(I34,'Win Methods'!$C$4:$F$4992,4,FALSE)</f>
        <v>0</v>
      </c>
      <c r="K34" s="6"/>
      <c r="L34" s="5">
        <f>VLOOKUP(K34,'Win Methods'!$C$4:$F$4992,4,FALSE)</f>
        <v>0</v>
      </c>
      <c r="M34" s="6"/>
      <c r="N34" s="5">
        <f>VLOOKUP(M34,'Win Methods'!$C$4:$F$4992,4,FALSE)</f>
        <v>0</v>
      </c>
      <c r="O34" s="6"/>
      <c r="P34" s="5">
        <f>VLOOKUP(O34,'Win Methods'!$C$4:$F$4992,4,FALSE)</f>
        <v>0</v>
      </c>
      <c r="Q34" s="6"/>
      <c r="R34" s="5">
        <f>VLOOKUP(Q34,'Win Methods'!$C$4:$F$4992,4,FALSE)</f>
        <v>0</v>
      </c>
      <c r="S34" s="6"/>
      <c r="T34" s="5">
        <f>VLOOKUP(S34,'Win Methods'!$C$4:$F$4992,4,FALSE)</f>
        <v>0</v>
      </c>
      <c r="U34" s="6"/>
      <c r="V34" s="5">
        <f>VLOOKUP(U34,'Win Methods'!$C$4:$F$4992,4,FALSE)</f>
        <v>0</v>
      </c>
      <c r="W34" s="6"/>
      <c r="X34" s="5">
        <f>VLOOKUP(W34,'Win Methods'!$C$4:$F$4992,4,FALSE)</f>
        <v>0</v>
      </c>
      <c r="Y34" s="5" t="str">
        <f t="shared" si="1"/>
        <v>main-30||||||||| x 1</v>
      </c>
    </row>
    <row r="35" spans="2:25">
      <c r="B35" s="5">
        <v>32</v>
      </c>
      <c r="C35" s="5">
        <f t="shared" ref="C35:C66" si="2">(F35+H35+J35+L35+N35+P35+R35+T35+V35+X35)*D35</f>
        <v>5</v>
      </c>
      <c r="D35" s="4">
        <v>1</v>
      </c>
      <c r="E35" s="6" t="s">
        <v>239</v>
      </c>
      <c r="F35" s="5">
        <f>VLOOKUP(E35,'Win Methods'!$C$4:$F$4992,4,FALSE)</f>
        <v>5</v>
      </c>
      <c r="G35" s="6"/>
      <c r="H35" s="5">
        <f>VLOOKUP(G35,'Win Methods'!$C$4:$F$4992,4,FALSE)</f>
        <v>0</v>
      </c>
      <c r="I35" s="6"/>
      <c r="J35" s="5">
        <f>VLOOKUP(I35,'Win Methods'!$C$4:$F$4992,4,FALSE)</f>
        <v>0</v>
      </c>
      <c r="K35" s="6"/>
      <c r="L35" s="5">
        <f>VLOOKUP(K35,'Win Methods'!$C$4:$F$4992,4,FALSE)</f>
        <v>0</v>
      </c>
      <c r="M35" s="6"/>
      <c r="N35" s="5">
        <f>VLOOKUP(M35,'Win Methods'!$C$4:$F$4992,4,FALSE)</f>
        <v>0</v>
      </c>
      <c r="O35" s="6"/>
      <c r="P35" s="5">
        <f>VLOOKUP(O35,'Win Methods'!$C$4:$F$4992,4,FALSE)</f>
        <v>0</v>
      </c>
      <c r="Q35" s="6"/>
      <c r="R35" s="5">
        <f>VLOOKUP(Q35,'Win Methods'!$C$4:$F$4992,4,FALSE)</f>
        <v>0</v>
      </c>
      <c r="S35" s="6"/>
      <c r="T35" s="5">
        <f>VLOOKUP(S35,'Win Methods'!$C$4:$F$4992,4,FALSE)</f>
        <v>0</v>
      </c>
      <c r="U35" s="6"/>
      <c r="V35" s="5">
        <f>VLOOKUP(U35,'Win Methods'!$C$4:$F$4992,4,FALSE)</f>
        <v>0</v>
      </c>
      <c r="W35" s="6"/>
      <c r="X35" s="5">
        <f>VLOOKUP(W35,'Win Methods'!$C$4:$F$4992,4,FALSE)</f>
        <v>0</v>
      </c>
      <c r="Y35" s="5" t="str">
        <f t="shared" si="1"/>
        <v>main-31||||||||| x 1</v>
      </c>
    </row>
    <row r="36" spans="2:25">
      <c r="B36" s="5">
        <v>33</v>
      </c>
      <c r="C36" s="5">
        <f t="shared" si="2"/>
        <v>10</v>
      </c>
      <c r="D36" s="4">
        <v>1</v>
      </c>
      <c r="E36" s="6" t="s">
        <v>240</v>
      </c>
      <c r="F36" s="5">
        <f>VLOOKUP(E36,'Win Methods'!$C$4:$F$4992,4,FALSE)</f>
        <v>10</v>
      </c>
      <c r="G36" s="6"/>
      <c r="H36" s="5">
        <f>VLOOKUP(G36,'Win Methods'!$C$4:$F$4992,4,FALSE)</f>
        <v>0</v>
      </c>
      <c r="I36" s="6"/>
      <c r="J36" s="5">
        <f>VLOOKUP(I36,'Win Methods'!$C$4:$F$4992,4,FALSE)</f>
        <v>0</v>
      </c>
      <c r="K36" s="6"/>
      <c r="L36" s="5">
        <f>VLOOKUP(K36,'Win Methods'!$C$4:$F$4992,4,FALSE)</f>
        <v>0</v>
      </c>
      <c r="M36" s="6"/>
      <c r="N36" s="5">
        <f>VLOOKUP(M36,'Win Methods'!$C$4:$F$4992,4,FALSE)</f>
        <v>0</v>
      </c>
      <c r="O36" s="6"/>
      <c r="P36" s="5">
        <f>VLOOKUP(O36,'Win Methods'!$C$4:$F$4992,4,FALSE)</f>
        <v>0</v>
      </c>
      <c r="Q36" s="6"/>
      <c r="R36" s="5">
        <f>VLOOKUP(Q36,'Win Methods'!$C$4:$F$4992,4,FALSE)</f>
        <v>0</v>
      </c>
      <c r="S36" s="6"/>
      <c r="T36" s="5">
        <f>VLOOKUP(S36,'Win Methods'!$C$4:$F$4992,4,FALSE)</f>
        <v>0</v>
      </c>
      <c r="U36" s="6"/>
      <c r="V36" s="5">
        <f>VLOOKUP(U36,'Win Methods'!$C$4:$F$4992,4,FALSE)</f>
        <v>0</v>
      </c>
      <c r="W36" s="6"/>
      <c r="X36" s="5">
        <f>VLOOKUP(W36,'Win Methods'!$C$4:$F$4992,4,FALSE)</f>
        <v>0</v>
      </c>
      <c r="Y36" s="5" t="str">
        <f t="shared" si="1"/>
        <v>main-32||||||||| x 1</v>
      </c>
    </row>
    <row r="37" spans="2:25">
      <c r="B37" s="5">
        <v>34</v>
      </c>
      <c r="C37" s="5">
        <f t="shared" si="2"/>
        <v>15</v>
      </c>
      <c r="D37" s="4">
        <v>1</v>
      </c>
      <c r="E37" s="6" t="s">
        <v>241</v>
      </c>
      <c r="F37" s="5">
        <f>VLOOKUP(E37,'Win Methods'!$C$4:$F$4992,4,FALSE)</f>
        <v>15</v>
      </c>
      <c r="G37" s="6"/>
      <c r="H37" s="5">
        <f>VLOOKUP(G37,'Win Methods'!$C$4:$F$4992,4,FALSE)</f>
        <v>0</v>
      </c>
      <c r="I37" s="6"/>
      <c r="J37" s="5">
        <f>VLOOKUP(I37,'Win Methods'!$C$4:$F$4992,4,FALSE)</f>
        <v>0</v>
      </c>
      <c r="K37" s="6"/>
      <c r="L37" s="5">
        <f>VLOOKUP(K37,'Win Methods'!$C$4:$F$4992,4,FALSE)</f>
        <v>0</v>
      </c>
      <c r="M37" s="6"/>
      <c r="N37" s="5">
        <f>VLOOKUP(M37,'Win Methods'!$C$4:$F$4992,4,FALSE)</f>
        <v>0</v>
      </c>
      <c r="O37" s="6"/>
      <c r="P37" s="5">
        <f>VLOOKUP(O37,'Win Methods'!$C$4:$F$4992,4,FALSE)</f>
        <v>0</v>
      </c>
      <c r="Q37" s="6"/>
      <c r="R37" s="5">
        <f>VLOOKUP(Q37,'Win Methods'!$C$4:$F$4992,4,FALSE)</f>
        <v>0</v>
      </c>
      <c r="S37" s="6"/>
      <c r="T37" s="5">
        <f>VLOOKUP(S37,'Win Methods'!$C$4:$F$4992,4,FALSE)</f>
        <v>0</v>
      </c>
      <c r="U37" s="6"/>
      <c r="V37" s="5">
        <f>VLOOKUP(U37,'Win Methods'!$C$4:$F$4992,4,FALSE)</f>
        <v>0</v>
      </c>
      <c r="W37" s="6"/>
      <c r="X37" s="5">
        <f>VLOOKUP(W37,'Win Methods'!$C$4:$F$4992,4,FALSE)</f>
        <v>0</v>
      </c>
      <c r="Y37" s="5" t="str">
        <f t="shared" si="1"/>
        <v>main-33||||||||| x 1</v>
      </c>
    </row>
    <row r="38" spans="2:25">
      <c r="B38" s="5">
        <v>35</v>
      </c>
      <c r="C38" s="5">
        <f t="shared" si="2"/>
        <v>20</v>
      </c>
      <c r="D38" s="4">
        <v>1</v>
      </c>
      <c r="E38" s="6" t="s">
        <v>242</v>
      </c>
      <c r="F38" s="5">
        <f>VLOOKUP(E38,'Win Methods'!$C$4:$F$4992,4,FALSE)</f>
        <v>20</v>
      </c>
      <c r="G38" s="6"/>
      <c r="H38" s="5">
        <f>VLOOKUP(G38,'Win Methods'!$C$4:$F$4992,4,FALSE)</f>
        <v>0</v>
      </c>
      <c r="I38" s="6"/>
      <c r="J38" s="5">
        <f>VLOOKUP(I38,'Win Methods'!$C$4:$F$4992,4,FALSE)</f>
        <v>0</v>
      </c>
      <c r="K38" s="6"/>
      <c r="L38" s="5">
        <f>VLOOKUP(K38,'Win Methods'!$C$4:$F$4992,4,FALSE)</f>
        <v>0</v>
      </c>
      <c r="M38" s="6"/>
      <c r="N38" s="5">
        <f>VLOOKUP(M38,'Win Methods'!$C$4:$F$4992,4,FALSE)</f>
        <v>0</v>
      </c>
      <c r="O38" s="6"/>
      <c r="P38" s="5">
        <f>VLOOKUP(O38,'Win Methods'!$C$4:$F$4992,4,FALSE)</f>
        <v>0</v>
      </c>
      <c r="Q38" s="6"/>
      <c r="R38" s="5">
        <f>VLOOKUP(Q38,'Win Methods'!$C$4:$F$4992,4,FALSE)</f>
        <v>0</v>
      </c>
      <c r="S38" s="6"/>
      <c r="T38" s="5">
        <f>VLOOKUP(S38,'Win Methods'!$C$4:$F$4992,4,FALSE)</f>
        <v>0</v>
      </c>
      <c r="U38" s="6"/>
      <c r="V38" s="5">
        <f>VLOOKUP(U38,'Win Methods'!$C$4:$F$4992,4,FALSE)</f>
        <v>0</v>
      </c>
      <c r="W38" s="6"/>
      <c r="X38" s="5">
        <f>VLOOKUP(W38,'Win Methods'!$C$4:$F$4992,4,FALSE)</f>
        <v>0</v>
      </c>
      <c r="Y38" s="5" t="str">
        <f t="shared" si="1"/>
        <v>main-34||||||||| x 1</v>
      </c>
    </row>
    <row r="39" spans="2:25">
      <c r="B39" s="5">
        <v>36</v>
      </c>
      <c r="C39" s="5">
        <f t="shared" si="2"/>
        <v>50</v>
      </c>
      <c r="D39" s="4">
        <v>1</v>
      </c>
      <c r="E39" s="6" t="s">
        <v>243</v>
      </c>
      <c r="F39" s="5">
        <f>VLOOKUP(E39,'Win Methods'!$C$4:$F$4992,4,FALSE)</f>
        <v>50</v>
      </c>
      <c r="G39" s="6"/>
      <c r="H39" s="5">
        <f>VLOOKUP(G39,'Win Methods'!$C$4:$F$4992,4,FALSE)</f>
        <v>0</v>
      </c>
      <c r="I39" s="6"/>
      <c r="J39" s="5">
        <f>VLOOKUP(I39,'Win Methods'!$C$4:$F$4992,4,FALSE)</f>
        <v>0</v>
      </c>
      <c r="K39" s="6"/>
      <c r="L39" s="5">
        <f>VLOOKUP(K39,'Win Methods'!$C$4:$F$4992,4,FALSE)</f>
        <v>0</v>
      </c>
      <c r="M39" s="6"/>
      <c r="N39" s="5">
        <f>VLOOKUP(M39,'Win Methods'!$C$4:$F$4992,4,FALSE)</f>
        <v>0</v>
      </c>
      <c r="O39" s="6"/>
      <c r="P39" s="5">
        <f>VLOOKUP(O39,'Win Methods'!$C$4:$F$4992,4,FALSE)</f>
        <v>0</v>
      </c>
      <c r="Q39" s="6"/>
      <c r="R39" s="5">
        <f>VLOOKUP(Q39,'Win Methods'!$C$4:$F$4992,4,FALSE)</f>
        <v>0</v>
      </c>
      <c r="S39" s="6"/>
      <c r="T39" s="5">
        <f>VLOOKUP(S39,'Win Methods'!$C$4:$F$4992,4,FALSE)</f>
        <v>0</v>
      </c>
      <c r="U39" s="6"/>
      <c r="V39" s="5">
        <f>VLOOKUP(U39,'Win Methods'!$C$4:$F$4992,4,FALSE)</f>
        <v>0</v>
      </c>
      <c r="W39" s="6"/>
      <c r="X39" s="5">
        <f>VLOOKUP(W39,'Win Methods'!$C$4:$F$4992,4,FALSE)</f>
        <v>0</v>
      </c>
      <c r="Y39" s="5" t="str">
        <f t="shared" si="1"/>
        <v>main-35||||||||| x 1</v>
      </c>
    </row>
    <row r="40" spans="2:25">
      <c r="B40" s="5">
        <v>37</v>
      </c>
      <c r="C40" s="5">
        <f t="shared" si="2"/>
        <v>100</v>
      </c>
      <c r="D40" s="4">
        <v>1</v>
      </c>
      <c r="E40" s="6" t="s">
        <v>244</v>
      </c>
      <c r="F40" s="5">
        <f>VLOOKUP(E40,'Win Methods'!$C$4:$F$4992,4,FALSE)</f>
        <v>100</v>
      </c>
      <c r="G40" s="6"/>
      <c r="H40" s="5">
        <f>VLOOKUP(G40,'Win Methods'!$C$4:$F$4992,4,FALSE)</f>
        <v>0</v>
      </c>
      <c r="I40" s="6"/>
      <c r="J40" s="5">
        <f>VLOOKUP(I40,'Win Methods'!$C$4:$F$4992,4,FALSE)</f>
        <v>0</v>
      </c>
      <c r="K40" s="6"/>
      <c r="L40" s="5">
        <f>VLOOKUP(K40,'Win Methods'!$C$4:$F$4992,4,FALSE)</f>
        <v>0</v>
      </c>
      <c r="M40" s="6"/>
      <c r="N40" s="5">
        <f>VLOOKUP(M40,'Win Methods'!$C$4:$F$4992,4,FALSE)</f>
        <v>0</v>
      </c>
      <c r="O40" s="6"/>
      <c r="P40" s="5">
        <f>VLOOKUP(O40,'Win Methods'!$C$4:$F$4992,4,FALSE)</f>
        <v>0</v>
      </c>
      <c r="Q40" s="6"/>
      <c r="R40" s="5">
        <f>VLOOKUP(Q40,'Win Methods'!$C$4:$F$4992,4,FALSE)</f>
        <v>0</v>
      </c>
      <c r="S40" s="6"/>
      <c r="T40" s="5">
        <f>VLOOKUP(S40,'Win Methods'!$C$4:$F$4992,4,FALSE)</f>
        <v>0</v>
      </c>
      <c r="U40" s="6"/>
      <c r="V40" s="5">
        <f>VLOOKUP(U40,'Win Methods'!$C$4:$F$4992,4,FALSE)</f>
        <v>0</v>
      </c>
      <c r="W40" s="6"/>
      <c r="X40" s="5">
        <f>VLOOKUP(W40,'Win Methods'!$C$4:$F$4992,4,FALSE)</f>
        <v>0</v>
      </c>
      <c r="Y40" s="5" t="str">
        <f t="shared" si="1"/>
        <v>main-36||||||||| x 1</v>
      </c>
    </row>
    <row r="41" spans="2:25">
      <c r="B41" s="5">
        <v>38</v>
      </c>
      <c r="C41" s="5">
        <f t="shared" si="2"/>
        <v>200</v>
      </c>
      <c r="D41" s="4">
        <v>1</v>
      </c>
      <c r="E41" s="6" t="s">
        <v>245</v>
      </c>
      <c r="F41" s="5">
        <f>VLOOKUP(E41,'Win Methods'!$C$4:$F$4992,4,FALSE)</f>
        <v>200</v>
      </c>
      <c r="G41" s="6"/>
      <c r="H41" s="5">
        <f>VLOOKUP(G41,'Win Methods'!$C$4:$F$4992,4,FALSE)</f>
        <v>0</v>
      </c>
      <c r="I41" s="6"/>
      <c r="J41" s="5">
        <f>VLOOKUP(I41,'Win Methods'!$C$4:$F$4992,4,FALSE)</f>
        <v>0</v>
      </c>
      <c r="K41" s="6"/>
      <c r="L41" s="5">
        <f>VLOOKUP(K41,'Win Methods'!$C$4:$F$4992,4,FALSE)</f>
        <v>0</v>
      </c>
      <c r="M41" s="6"/>
      <c r="N41" s="5">
        <f>VLOOKUP(M41,'Win Methods'!$C$4:$F$4992,4,FALSE)</f>
        <v>0</v>
      </c>
      <c r="O41" s="6"/>
      <c r="P41" s="5">
        <f>VLOOKUP(O41,'Win Methods'!$C$4:$F$4992,4,FALSE)</f>
        <v>0</v>
      </c>
      <c r="Q41" s="6"/>
      <c r="R41" s="5">
        <f>VLOOKUP(Q41,'Win Methods'!$C$4:$F$4992,4,FALSE)</f>
        <v>0</v>
      </c>
      <c r="S41" s="6"/>
      <c r="T41" s="5">
        <f>VLOOKUP(S41,'Win Methods'!$C$4:$F$4992,4,FALSE)</f>
        <v>0</v>
      </c>
      <c r="U41" s="6"/>
      <c r="V41" s="5">
        <f>VLOOKUP(U41,'Win Methods'!$C$4:$F$4992,4,FALSE)</f>
        <v>0</v>
      </c>
      <c r="W41" s="6"/>
      <c r="X41" s="5">
        <f>VLOOKUP(W41,'Win Methods'!$C$4:$F$4992,4,FALSE)</f>
        <v>0</v>
      </c>
      <c r="Y41" s="5" t="str">
        <f t="shared" si="1"/>
        <v>main-37||||||||| x 1</v>
      </c>
    </row>
    <row r="42" spans="2:25">
      <c r="B42" s="5">
        <v>39</v>
      </c>
      <c r="C42" s="5">
        <f t="shared" si="2"/>
        <v>500</v>
      </c>
      <c r="D42" s="4">
        <v>1</v>
      </c>
      <c r="E42" s="6" t="s">
        <v>246</v>
      </c>
      <c r="F42" s="5">
        <f>VLOOKUP(E42,'Win Methods'!$C$4:$F$4992,4,FALSE)</f>
        <v>500</v>
      </c>
      <c r="G42" s="6"/>
      <c r="H42" s="5">
        <f>VLOOKUP(G42,'Win Methods'!$C$4:$F$4992,4,FALSE)</f>
        <v>0</v>
      </c>
      <c r="I42" s="6"/>
      <c r="J42" s="5">
        <f>VLOOKUP(I42,'Win Methods'!$C$4:$F$4992,4,FALSE)</f>
        <v>0</v>
      </c>
      <c r="K42" s="6"/>
      <c r="L42" s="5">
        <f>VLOOKUP(K42,'Win Methods'!$C$4:$F$4992,4,FALSE)</f>
        <v>0</v>
      </c>
      <c r="M42" s="6"/>
      <c r="N42" s="5">
        <f>VLOOKUP(M42,'Win Methods'!$C$4:$F$4992,4,FALSE)</f>
        <v>0</v>
      </c>
      <c r="O42" s="6"/>
      <c r="P42" s="5">
        <f>VLOOKUP(O42,'Win Methods'!$C$4:$F$4992,4,FALSE)</f>
        <v>0</v>
      </c>
      <c r="Q42" s="6"/>
      <c r="R42" s="5">
        <f>VLOOKUP(Q42,'Win Methods'!$C$4:$F$4992,4,FALSE)</f>
        <v>0</v>
      </c>
      <c r="S42" s="6"/>
      <c r="T42" s="5">
        <f>VLOOKUP(S42,'Win Methods'!$C$4:$F$4992,4,FALSE)</f>
        <v>0</v>
      </c>
      <c r="U42" s="6"/>
      <c r="V42" s="5">
        <f>VLOOKUP(U42,'Win Methods'!$C$4:$F$4992,4,FALSE)</f>
        <v>0</v>
      </c>
      <c r="W42" s="6"/>
      <c r="X42" s="5">
        <f>VLOOKUP(W42,'Win Methods'!$C$4:$F$4992,4,FALSE)</f>
        <v>0</v>
      </c>
      <c r="Y42" s="5" t="str">
        <f t="shared" si="1"/>
        <v>main-38||||||||| x 1</v>
      </c>
    </row>
    <row r="43" spans="2:25">
      <c r="B43" s="5">
        <v>40</v>
      </c>
      <c r="C43" s="5">
        <f t="shared" si="2"/>
        <v>1000</v>
      </c>
      <c r="D43" s="4">
        <v>1</v>
      </c>
      <c r="E43" s="6" t="s">
        <v>247</v>
      </c>
      <c r="F43" s="5">
        <f>VLOOKUP(E43,'Win Methods'!$C$4:$F$4992,4,FALSE)</f>
        <v>1000</v>
      </c>
      <c r="G43" s="6"/>
      <c r="H43" s="5">
        <f>VLOOKUP(G43,'Win Methods'!$C$4:$F$4992,4,FALSE)</f>
        <v>0</v>
      </c>
      <c r="I43" s="6"/>
      <c r="J43" s="5">
        <f>VLOOKUP(I43,'Win Methods'!$C$4:$F$4992,4,FALSE)</f>
        <v>0</v>
      </c>
      <c r="K43" s="6"/>
      <c r="L43" s="5">
        <f>VLOOKUP(K43,'Win Methods'!$C$4:$F$4992,4,FALSE)</f>
        <v>0</v>
      </c>
      <c r="M43" s="6"/>
      <c r="N43" s="5">
        <f>VLOOKUP(M43,'Win Methods'!$C$4:$F$4992,4,FALSE)</f>
        <v>0</v>
      </c>
      <c r="O43" s="6"/>
      <c r="P43" s="5">
        <f>VLOOKUP(O43,'Win Methods'!$C$4:$F$4992,4,FALSE)</f>
        <v>0</v>
      </c>
      <c r="Q43" s="6"/>
      <c r="R43" s="5">
        <f>VLOOKUP(Q43,'Win Methods'!$C$4:$F$4992,4,FALSE)</f>
        <v>0</v>
      </c>
      <c r="S43" s="6"/>
      <c r="T43" s="5">
        <f>VLOOKUP(S43,'Win Methods'!$C$4:$F$4992,4,FALSE)</f>
        <v>0</v>
      </c>
      <c r="U43" s="6"/>
      <c r="V43" s="5">
        <f>VLOOKUP(U43,'Win Methods'!$C$4:$F$4992,4,FALSE)</f>
        <v>0</v>
      </c>
      <c r="W43" s="6"/>
      <c r="X43" s="5">
        <f>VLOOKUP(W43,'Win Methods'!$C$4:$F$4992,4,FALSE)</f>
        <v>0</v>
      </c>
      <c r="Y43" s="5" t="str">
        <f t="shared" si="1"/>
        <v>main-39||||||||| x 1</v>
      </c>
    </row>
    <row r="44" spans="2:25">
      <c r="B44" s="5">
        <v>41</v>
      </c>
      <c r="C44" s="5">
        <f t="shared" si="2"/>
        <v>15</v>
      </c>
      <c r="D44" s="4">
        <v>1</v>
      </c>
      <c r="E44" s="6" t="s">
        <v>248</v>
      </c>
      <c r="F44" s="5">
        <f>VLOOKUP(E44,'Win Methods'!$C$4:$F$4992,4,FALSE)</f>
        <v>15</v>
      </c>
      <c r="G44" s="6"/>
      <c r="H44" s="5">
        <f>VLOOKUP(G44,'Win Methods'!$C$4:$F$4992,4,FALSE)</f>
        <v>0</v>
      </c>
      <c r="I44" s="6"/>
      <c r="J44" s="5">
        <f>VLOOKUP(I44,'Win Methods'!$C$4:$F$4992,4,FALSE)</f>
        <v>0</v>
      </c>
      <c r="K44" s="6"/>
      <c r="L44" s="5">
        <f>VLOOKUP(K44,'Win Methods'!$C$4:$F$4992,4,FALSE)</f>
        <v>0</v>
      </c>
      <c r="M44" s="6"/>
      <c r="N44" s="5">
        <f>VLOOKUP(M44,'Win Methods'!$C$4:$F$4992,4,FALSE)</f>
        <v>0</v>
      </c>
      <c r="O44" s="6"/>
      <c r="P44" s="5">
        <f>VLOOKUP(O44,'Win Methods'!$C$4:$F$4992,4,FALSE)</f>
        <v>0</v>
      </c>
      <c r="Q44" s="6"/>
      <c r="R44" s="5">
        <f>VLOOKUP(Q44,'Win Methods'!$C$4:$F$4992,4,FALSE)</f>
        <v>0</v>
      </c>
      <c r="S44" s="6"/>
      <c r="T44" s="5">
        <f>VLOOKUP(S44,'Win Methods'!$C$4:$F$4992,4,FALSE)</f>
        <v>0</v>
      </c>
      <c r="U44" s="6"/>
      <c r="V44" s="5">
        <f>VLOOKUP(U44,'Win Methods'!$C$4:$F$4992,4,FALSE)</f>
        <v>0</v>
      </c>
      <c r="W44" s="6"/>
      <c r="X44" s="5">
        <f>VLOOKUP(W44,'Win Methods'!$C$4:$F$4992,4,FALSE)</f>
        <v>0</v>
      </c>
      <c r="Y44" s="5" t="str">
        <f t="shared" si="1"/>
        <v>main-40||||||||| x 1</v>
      </c>
    </row>
    <row r="45" spans="2:25">
      <c r="B45" s="5">
        <v>42</v>
      </c>
      <c r="C45" s="5">
        <f t="shared" si="2"/>
        <v>20</v>
      </c>
      <c r="D45" s="4">
        <v>1</v>
      </c>
      <c r="E45" s="6" t="s">
        <v>249</v>
      </c>
      <c r="F45" s="5">
        <f>VLOOKUP(E45,'Win Methods'!$C$4:$F$4992,4,FALSE)</f>
        <v>20</v>
      </c>
      <c r="G45" s="6"/>
      <c r="H45" s="5">
        <f>VLOOKUP(G45,'Win Methods'!$C$4:$F$4992,4,FALSE)</f>
        <v>0</v>
      </c>
      <c r="I45" s="6"/>
      <c r="J45" s="5">
        <f>VLOOKUP(I45,'Win Methods'!$C$4:$F$4992,4,FALSE)</f>
        <v>0</v>
      </c>
      <c r="K45" s="6"/>
      <c r="L45" s="5">
        <f>VLOOKUP(K45,'Win Methods'!$C$4:$F$4992,4,FALSE)</f>
        <v>0</v>
      </c>
      <c r="M45" s="6"/>
      <c r="N45" s="5">
        <f>VLOOKUP(M45,'Win Methods'!$C$4:$F$4992,4,FALSE)</f>
        <v>0</v>
      </c>
      <c r="O45" s="6"/>
      <c r="P45" s="5">
        <f>VLOOKUP(O45,'Win Methods'!$C$4:$F$4992,4,FALSE)</f>
        <v>0</v>
      </c>
      <c r="Q45" s="6"/>
      <c r="R45" s="5">
        <f>VLOOKUP(Q45,'Win Methods'!$C$4:$F$4992,4,FALSE)</f>
        <v>0</v>
      </c>
      <c r="S45" s="6"/>
      <c r="T45" s="5">
        <f>VLOOKUP(S45,'Win Methods'!$C$4:$F$4992,4,FALSE)</f>
        <v>0</v>
      </c>
      <c r="U45" s="6"/>
      <c r="V45" s="5">
        <f>VLOOKUP(U45,'Win Methods'!$C$4:$F$4992,4,FALSE)</f>
        <v>0</v>
      </c>
      <c r="W45" s="6"/>
      <c r="X45" s="5">
        <f>VLOOKUP(W45,'Win Methods'!$C$4:$F$4992,4,FALSE)</f>
        <v>0</v>
      </c>
      <c r="Y45" s="5" t="str">
        <f t="shared" si="1"/>
        <v>main-41||||||||| x 1</v>
      </c>
    </row>
    <row r="46" spans="2:25">
      <c r="B46" s="5">
        <v>43</v>
      </c>
      <c r="C46" s="5">
        <f t="shared" si="2"/>
        <v>30</v>
      </c>
      <c r="D46" s="4">
        <v>1</v>
      </c>
      <c r="E46" s="6" t="s">
        <v>250</v>
      </c>
      <c r="F46" s="5">
        <f>VLOOKUP(E46,'Win Methods'!$C$4:$F$4992,4,FALSE)</f>
        <v>30</v>
      </c>
      <c r="G46" s="6"/>
      <c r="H46" s="5">
        <f>VLOOKUP(G46,'Win Methods'!$C$4:$F$4992,4,FALSE)</f>
        <v>0</v>
      </c>
      <c r="I46" s="6"/>
      <c r="J46" s="5">
        <f>VLOOKUP(I46,'Win Methods'!$C$4:$F$4992,4,FALSE)</f>
        <v>0</v>
      </c>
      <c r="K46" s="6"/>
      <c r="L46" s="5">
        <f>VLOOKUP(K46,'Win Methods'!$C$4:$F$4992,4,FALSE)</f>
        <v>0</v>
      </c>
      <c r="M46" s="6"/>
      <c r="N46" s="5">
        <f>VLOOKUP(M46,'Win Methods'!$C$4:$F$4992,4,FALSE)</f>
        <v>0</v>
      </c>
      <c r="O46" s="6"/>
      <c r="P46" s="5">
        <f>VLOOKUP(O46,'Win Methods'!$C$4:$F$4992,4,FALSE)</f>
        <v>0</v>
      </c>
      <c r="Q46" s="6"/>
      <c r="R46" s="5">
        <f>VLOOKUP(Q46,'Win Methods'!$C$4:$F$4992,4,FALSE)</f>
        <v>0</v>
      </c>
      <c r="S46" s="6"/>
      <c r="T46" s="5">
        <f>VLOOKUP(S46,'Win Methods'!$C$4:$F$4992,4,FALSE)</f>
        <v>0</v>
      </c>
      <c r="U46" s="6"/>
      <c r="V46" s="5">
        <f>VLOOKUP(U46,'Win Methods'!$C$4:$F$4992,4,FALSE)</f>
        <v>0</v>
      </c>
      <c r="W46" s="6"/>
      <c r="X46" s="5">
        <f>VLOOKUP(W46,'Win Methods'!$C$4:$F$4992,4,FALSE)</f>
        <v>0</v>
      </c>
      <c r="Y46" s="5" t="str">
        <f t="shared" si="1"/>
        <v>main-42||||||||| x 1</v>
      </c>
    </row>
    <row r="47" spans="2:25">
      <c r="B47" s="5">
        <v>44</v>
      </c>
      <c r="C47" s="5">
        <f t="shared" si="2"/>
        <v>0.2</v>
      </c>
      <c r="D47" s="4">
        <v>1</v>
      </c>
      <c r="E47" s="6" t="s">
        <v>208</v>
      </c>
      <c r="F47" s="5">
        <f>VLOOKUP(E47,'Win Methods'!$C$4:$F$4992,4,FALSE)</f>
        <v>0.1</v>
      </c>
      <c r="G47" s="6" t="s">
        <v>208</v>
      </c>
      <c r="H47" s="5">
        <f>VLOOKUP(G47,'Win Methods'!$C$4:$F$4992,4,FALSE)</f>
        <v>0.1</v>
      </c>
      <c r="I47" s="6"/>
      <c r="J47" s="5">
        <f>VLOOKUP(I47,'Win Methods'!$C$4:$F$4992,4,FALSE)</f>
        <v>0</v>
      </c>
      <c r="K47" s="6"/>
      <c r="L47" s="5">
        <f>VLOOKUP(K47,'Win Methods'!$C$4:$F$4992,4,FALSE)</f>
        <v>0</v>
      </c>
      <c r="M47" s="6"/>
      <c r="N47" s="5">
        <f>VLOOKUP(M47,'Win Methods'!$C$4:$F$4992,4,FALSE)</f>
        <v>0</v>
      </c>
      <c r="O47" s="6"/>
      <c r="P47" s="5">
        <f>VLOOKUP(O47,'Win Methods'!$C$4:$F$4992,4,FALSE)</f>
        <v>0</v>
      </c>
      <c r="Q47" s="6"/>
      <c r="R47" s="5">
        <f>VLOOKUP(Q47,'Win Methods'!$C$4:$F$4992,4,FALSE)</f>
        <v>0</v>
      </c>
      <c r="S47" s="6"/>
      <c r="T47" s="5">
        <f>VLOOKUP(S47,'Win Methods'!$C$4:$F$4992,4,FALSE)</f>
        <v>0</v>
      </c>
      <c r="U47" s="6"/>
      <c r="V47" s="5">
        <f>VLOOKUP(U47,'Win Methods'!$C$4:$F$4992,4,FALSE)</f>
        <v>0</v>
      </c>
      <c r="W47" s="6"/>
      <c r="X47" s="5">
        <f>VLOOKUP(W47,'Win Methods'!$C$4:$F$4992,4,FALSE)</f>
        <v>0</v>
      </c>
      <c r="Y47" s="5" t="str">
        <f t="shared" si="1"/>
        <v>main-0|main-0|||||||| x 1</v>
      </c>
    </row>
    <row r="48" spans="2:25">
      <c r="B48" s="5">
        <v>45</v>
      </c>
      <c r="C48" s="5">
        <f t="shared" si="2"/>
        <v>0.30000000000000004</v>
      </c>
      <c r="D48" s="4">
        <v>1</v>
      </c>
      <c r="E48" s="6" t="s">
        <v>208</v>
      </c>
      <c r="F48" s="5">
        <f>VLOOKUP(E48,'Win Methods'!$C$4:$F$4992,4,FALSE)</f>
        <v>0.1</v>
      </c>
      <c r="G48" s="6" t="s">
        <v>209</v>
      </c>
      <c r="H48" s="5">
        <f>VLOOKUP(G48,'Win Methods'!$C$4:$F$4992,4,FALSE)</f>
        <v>0.2</v>
      </c>
      <c r="I48" s="6"/>
      <c r="J48" s="5">
        <f>VLOOKUP(I48,'Win Methods'!$C$4:$F$4992,4,FALSE)</f>
        <v>0</v>
      </c>
      <c r="K48" s="6"/>
      <c r="L48" s="5">
        <f>VLOOKUP(K48,'Win Methods'!$C$4:$F$4992,4,FALSE)</f>
        <v>0</v>
      </c>
      <c r="M48" s="6"/>
      <c r="N48" s="5">
        <f>VLOOKUP(M48,'Win Methods'!$C$4:$F$4992,4,FALSE)</f>
        <v>0</v>
      </c>
      <c r="O48" s="6"/>
      <c r="P48" s="5">
        <f>VLOOKUP(O48,'Win Methods'!$C$4:$F$4992,4,FALSE)</f>
        <v>0</v>
      </c>
      <c r="Q48" s="6"/>
      <c r="R48" s="5">
        <f>VLOOKUP(Q48,'Win Methods'!$C$4:$F$4992,4,FALSE)</f>
        <v>0</v>
      </c>
      <c r="S48" s="6"/>
      <c r="T48" s="5">
        <f>VLOOKUP(S48,'Win Methods'!$C$4:$F$4992,4,FALSE)</f>
        <v>0</v>
      </c>
      <c r="U48" s="6"/>
      <c r="V48" s="5">
        <f>VLOOKUP(U48,'Win Methods'!$C$4:$F$4992,4,FALSE)</f>
        <v>0</v>
      </c>
      <c r="W48" s="6"/>
      <c r="X48" s="5">
        <f>VLOOKUP(W48,'Win Methods'!$C$4:$F$4992,4,FALSE)</f>
        <v>0</v>
      </c>
      <c r="Y48" s="5" t="str">
        <f t="shared" si="1"/>
        <v>main-0|main-1|||||||| x 1</v>
      </c>
    </row>
    <row r="49" spans="2:25">
      <c r="B49" s="5">
        <v>46</v>
      </c>
      <c r="C49" s="5">
        <f t="shared" si="2"/>
        <v>0.4</v>
      </c>
      <c r="D49" s="4">
        <v>1</v>
      </c>
      <c r="E49" s="6" t="s">
        <v>209</v>
      </c>
      <c r="F49" s="5">
        <f>VLOOKUP(E49,'Win Methods'!$C$4:$F$4992,4,FALSE)</f>
        <v>0.2</v>
      </c>
      <c r="G49" s="6" t="s">
        <v>209</v>
      </c>
      <c r="H49" s="5">
        <f>VLOOKUP(G49,'Win Methods'!$C$4:$F$4992,4,FALSE)</f>
        <v>0.2</v>
      </c>
      <c r="I49" s="6"/>
      <c r="J49" s="5">
        <f>VLOOKUP(I49,'Win Methods'!$C$4:$F$4992,4,FALSE)</f>
        <v>0</v>
      </c>
      <c r="K49" s="6"/>
      <c r="L49" s="5">
        <f>VLOOKUP(K49,'Win Methods'!$C$4:$F$4992,4,FALSE)</f>
        <v>0</v>
      </c>
      <c r="M49" s="6"/>
      <c r="N49" s="5">
        <f>VLOOKUP(M49,'Win Methods'!$C$4:$F$4992,4,FALSE)</f>
        <v>0</v>
      </c>
      <c r="O49" s="6"/>
      <c r="P49" s="5">
        <f>VLOOKUP(O49,'Win Methods'!$C$4:$F$4992,4,FALSE)</f>
        <v>0</v>
      </c>
      <c r="Q49" s="6"/>
      <c r="R49" s="5">
        <f>VLOOKUP(Q49,'Win Methods'!$C$4:$F$4992,4,FALSE)</f>
        <v>0</v>
      </c>
      <c r="S49" s="6"/>
      <c r="T49" s="5">
        <f>VLOOKUP(S49,'Win Methods'!$C$4:$F$4992,4,FALSE)</f>
        <v>0</v>
      </c>
      <c r="U49" s="6"/>
      <c r="V49" s="5">
        <f>VLOOKUP(U49,'Win Methods'!$C$4:$F$4992,4,FALSE)</f>
        <v>0</v>
      </c>
      <c r="W49" s="6"/>
      <c r="X49" s="5">
        <f>VLOOKUP(W49,'Win Methods'!$C$4:$F$4992,4,FALSE)</f>
        <v>0</v>
      </c>
      <c r="Y49" s="5" t="str">
        <f t="shared" si="1"/>
        <v>main-1|main-1|||||||| x 1</v>
      </c>
    </row>
    <row r="50" spans="2:25">
      <c r="B50" s="5">
        <v>47</v>
      </c>
      <c r="C50" s="5">
        <f t="shared" si="2"/>
        <v>0.6</v>
      </c>
      <c r="D50" s="4">
        <v>1</v>
      </c>
      <c r="E50" s="6" t="s">
        <v>208</v>
      </c>
      <c r="F50" s="5">
        <f>VLOOKUP(E50,'Win Methods'!$C$4:$F$4992,4,FALSE)</f>
        <v>0.1</v>
      </c>
      <c r="G50" s="6" t="s">
        <v>210</v>
      </c>
      <c r="H50" s="5">
        <f>VLOOKUP(G50,'Win Methods'!$C$4:$F$4992,4,FALSE)</f>
        <v>0.5</v>
      </c>
      <c r="I50" s="6"/>
      <c r="J50" s="5">
        <f>VLOOKUP(I50,'Win Methods'!$C$4:$F$4992,4,FALSE)</f>
        <v>0</v>
      </c>
      <c r="K50" s="6"/>
      <c r="L50" s="5">
        <f>VLOOKUP(K50,'Win Methods'!$C$4:$F$4992,4,FALSE)</f>
        <v>0</v>
      </c>
      <c r="M50" s="6"/>
      <c r="N50" s="5">
        <f>VLOOKUP(M50,'Win Methods'!$C$4:$F$4992,4,FALSE)</f>
        <v>0</v>
      </c>
      <c r="O50" s="6"/>
      <c r="P50" s="5">
        <f>VLOOKUP(O50,'Win Methods'!$C$4:$F$4992,4,FALSE)</f>
        <v>0</v>
      </c>
      <c r="Q50" s="6"/>
      <c r="R50" s="5">
        <f>VLOOKUP(Q50,'Win Methods'!$C$4:$F$4992,4,FALSE)</f>
        <v>0</v>
      </c>
      <c r="S50" s="6"/>
      <c r="T50" s="5">
        <f>VLOOKUP(S50,'Win Methods'!$C$4:$F$4992,4,FALSE)</f>
        <v>0</v>
      </c>
      <c r="U50" s="6"/>
      <c r="V50" s="5">
        <f>VLOOKUP(U50,'Win Methods'!$C$4:$F$4992,4,FALSE)</f>
        <v>0</v>
      </c>
      <c r="W50" s="6"/>
      <c r="X50" s="5">
        <f>VLOOKUP(W50,'Win Methods'!$C$4:$F$4992,4,FALSE)</f>
        <v>0</v>
      </c>
      <c r="Y50" s="5" t="str">
        <f t="shared" si="1"/>
        <v>main-0|main-2|||||||| x 1</v>
      </c>
    </row>
    <row r="51" spans="2:25">
      <c r="B51" s="5">
        <v>48</v>
      </c>
      <c r="C51" s="5">
        <f t="shared" si="2"/>
        <v>2</v>
      </c>
      <c r="D51" s="4">
        <v>1</v>
      </c>
      <c r="E51" s="6" t="s">
        <v>219</v>
      </c>
      <c r="F51" s="5">
        <f>VLOOKUP(E51,'Win Methods'!$C$4:$F$4992,4,FALSE)</f>
        <v>1.5</v>
      </c>
      <c r="G51" s="6" t="s">
        <v>210</v>
      </c>
      <c r="H51" s="5">
        <f>VLOOKUP(G51,'Win Methods'!$C$4:$F$4992,4,FALSE)</f>
        <v>0.5</v>
      </c>
      <c r="I51" s="6"/>
      <c r="J51" s="5">
        <f>VLOOKUP(I51,'Win Methods'!$C$4:$F$4992,4,FALSE)</f>
        <v>0</v>
      </c>
      <c r="K51" s="6"/>
      <c r="L51" s="5">
        <f>VLOOKUP(K51,'Win Methods'!$C$4:$F$4992,4,FALSE)</f>
        <v>0</v>
      </c>
      <c r="M51" s="6"/>
      <c r="N51" s="5">
        <f>VLOOKUP(M51,'Win Methods'!$C$4:$F$4992,4,FALSE)</f>
        <v>0</v>
      </c>
      <c r="O51" s="6"/>
      <c r="P51" s="5">
        <f>VLOOKUP(O51,'Win Methods'!$C$4:$F$4992,4,FALSE)</f>
        <v>0</v>
      </c>
      <c r="Q51" s="6"/>
      <c r="R51" s="5">
        <f>VLOOKUP(Q51,'Win Methods'!$C$4:$F$4992,4,FALSE)</f>
        <v>0</v>
      </c>
      <c r="S51" s="6"/>
      <c r="T51" s="5">
        <f>VLOOKUP(S51,'Win Methods'!$C$4:$F$4992,4,FALSE)</f>
        <v>0</v>
      </c>
      <c r="U51" s="6"/>
      <c r="V51" s="5">
        <f>VLOOKUP(U51,'Win Methods'!$C$4:$F$4992,4,FALSE)</f>
        <v>0</v>
      </c>
      <c r="W51" s="6"/>
      <c r="X51" s="5">
        <f>VLOOKUP(W51,'Win Methods'!$C$4:$F$4992,4,FALSE)</f>
        <v>0</v>
      </c>
      <c r="Y51" s="5" t="str">
        <f t="shared" si="1"/>
        <v>main-11|main-2|||||||| x 1</v>
      </c>
    </row>
    <row r="52" spans="2:25">
      <c r="B52" s="5">
        <v>49</v>
      </c>
      <c r="C52" s="5">
        <f t="shared" si="2"/>
        <v>1.5</v>
      </c>
      <c r="D52" s="4">
        <v>1</v>
      </c>
      <c r="E52" s="6" t="s">
        <v>211</v>
      </c>
      <c r="F52" s="5">
        <f>VLOOKUP(E52,'Win Methods'!$C$4:$F$4992,4,FALSE)</f>
        <v>1</v>
      </c>
      <c r="G52" s="6" t="s">
        <v>210</v>
      </c>
      <c r="H52" s="5">
        <f>VLOOKUP(G52,'Win Methods'!$C$4:$F$4992,4,FALSE)</f>
        <v>0.5</v>
      </c>
      <c r="I52" s="6"/>
      <c r="J52" s="5">
        <f>VLOOKUP(I52,'Win Methods'!$C$4:$F$4992,4,FALSE)</f>
        <v>0</v>
      </c>
      <c r="K52" s="6"/>
      <c r="L52" s="5">
        <f>VLOOKUP(K52,'Win Methods'!$C$4:$F$4992,4,FALSE)</f>
        <v>0</v>
      </c>
      <c r="M52" s="6"/>
      <c r="N52" s="5">
        <f>VLOOKUP(M52,'Win Methods'!$C$4:$F$4992,4,FALSE)</f>
        <v>0</v>
      </c>
      <c r="O52" s="6"/>
      <c r="P52" s="5">
        <f>VLOOKUP(O52,'Win Methods'!$C$4:$F$4992,4,FALSE)</f>
        <v>0</v>
      </c>
      <c r="Q52" s="6"/>
      <c r="R52" s="5">
        <f>VLOOKUP(Q52,'Win Methods'!$C$4:$F$4992,4,FALSE)</f>
        <v>0</v>
      </c>
      <c r="S52" s="6"/>
      <c r="T52" s="5">
        <f>VLOOKUP(S52,'Win Methods'!$C$4:$F$4992,4,FALSE)</f>
        <v>0</v>
      </c>
      <c r="U52" s="6"/>
      <c r="V52" s="5">
        <f>VLOOKUP(U52,'Win Methods'!$C$4:$F$4992,4,FALSE)</f>
        <v>0</v>
      </c>
      <c r="W52" s="6"/>
      <c r="X52" s="5">
        <f>VLOOKUP(W52,'Win Methods'!$C$4:$F$4992,4,FALSE)</f>
        <v>0</v>
      </c>
      <c r="Y52" s="5" t="str">
        <f t="shared" si="1"/>
        <v>main-3|main-2|||||||| x 1</v>
      </c>
    </row>
    <row r="53" spans="2:25">
      <c r="B53" s="5">
        <v>50</v>
      </c>
      <c r="C53" s="5">
        <f t="shared" si="2"/>
        <v>3</v>
      </c>
      <c r="D53" s="4">
        <v>1</v>
      </c>
      <c r="E53" s="6" t="s">
        <v>211</v>
      </c>
      <c r="F53" s="5">
        <f>VLOOKUP(E53,'Win Methods'!$C$4:$F$4992,4,FALSE)</f>
        <v>1</v>
      </c>
      <c r="G53" s="6" t="s">
        <v>229</v>
      </c>
      <c r="H53" s="5">
        <f>VLOOKUP(G53,'Win Methods'!$C$4:$F$4992,4,FALSE)</f>
        <v>2</v>
      </c>
      <c r="I53" s="6"/>
      <c r="J53" s="5">
        <f>VLOOKUP(I53,'Win Methods'!$C$4:$F$4992,4,FALSE)</f>
        <v>0</v>
      </c>
      <c r="K53" s="6"/>
      <c r="L53" s="5">
        <f>VLOOKUP(K53,'Win Methods'!$C$4:$F$4992,4,FALSE)</f>
        <v>0</v>
      </c>
      <c r="M53" s="6"/>
      <c r="N53" s="5">
        <f>VLOOKUP(M53,'Win Methods'!$C$4:$F$4992,4,FALSE)</f>
        <v>0</v>
      </c>
      <c r="O53" s="6"/>
      <c r="P53" s="5">
        <f>VLOOKUP(O53,'Win Methods'!$C$4:$F$4992,4,FALSE)</f>
        <v>0</v>
      </c>
      <c r="Q53" s="6"/>
      <c r="R53" s="5">
        <f>VLOOKUP(Q53,'Win Methods'!$C$4:$F$4992,4,FALSE)</f>
        <v>0</v>
      </c>
      <c r="S53" s="6"/>
      <c r="T53" s="5">
        <f>VLOOKUP(S53,'Win Methods'!$C$4:$F$4992,4,FALSE)</f>
        <v>0</v>
      </c>
      <c r="U53" s="6"/>
      <c r="V53" s="5">
        <f>VLOOKUP(U53,'Win Methods'!$C$4:$F$4992,4,FALSE)</f>
        <v>0</v>
      </c>
      <c r="W53" s="6"/>
      <c r="X53" s="5">
        <f>VLOOKUP(W53,'Win Methods'!$C$4:$F$4992,4,FALSE)</f>
        <v>0</v>
      </c>
      <c r="Y53" s="5" t="str">
        <f t="shared" si="1"/>
        <v>main-3|main-21|||||||| x 1</v>
      </c>
    </row>
    <row r="54" spans="2:25">
      <c r="B54" s="5">
        <v>51</v>
      </c>
      <c r="C54" s="5">
        <f t="shared" si="2"/>
        <v>2.5</v>
      </c>
      <c r="D54" s="4">
        <v>1</v>
      </c>
      <c r="E54" s="6" t="s">
        <v>210</v>
      </c>
      <c r="F54" s="5">
        <f>VLOOKUP(E54,'Win Methods'!$C$4:$F$4992,4,FALSE)</f>
        <v>0.5</v>
      </c>
      <c r="G54" s="6" t="s">
        <v>213</v>
      </c>
      <c r="H54" s="5">
        <f>VLOOKUP(G54,'Win Methods'!$C$4:$F$4992,4,FALSE)</f>
        <v>2</v>
      </c>
      <c r="I54" s="6"/>
      <c r="J54" s="5">
        <f>VLOOKUP(I54,'Win Methods'!$C$4:$F$4992,4,FALSE)</f>
        <v>0</v>
      </c>
      <c r="K54" s="6"/>
      <c r="L54" s="5">
        <f>VLOOKUP(K54,'Win Methods'!$C$4:$F$4992,4,FALSE)</f>
        <v>0</v>
      </c>
      <c r="M54" s="6"/>
      <c r="N54" s="5">
        <f>VLOOKUP(M54,'Win Methods'!$C$4:$F$4992,4,FALSE)</f>
        <v>0</v>
      </c>
      <c r="O54" s="6"/>
      <c r="P54" s="5">
        <f>VLOOKUP(O54,'Win Methods'!$C$4:$F$4992,4,FALSE)</f>
        <v>0</v>
      </c>
      <c r="Q54" s="6"/>
      <c r="R54" s="5">
        <f>VLOOKUP(Q54,'Win Methods'!$C$4:$F$4992,4,FALSE)</f>
        <v>0</v>
      </c>
      <c r="S54" s="6"/>
      <c r="T54" s="5">
        <f>VLOOKUP(S54,'Win Methods'!$C$4:$F$4992,4,FALSE)</f>
        <v>0</v>
      </c>
      <c r="U54" s="6"/>
      <c r="V54" s="5">
        <f>VLOOKUP(U54,'Win Methods'!$C$4:$F$4992,4,FALSE)</f>
        <v>0</v>
      </c>
      <c r="W54" s="6"/>
      <c r="X54" s="5">
        <f>VLOOKUP(W54,'Win Methods'!$C$4:$F$4992,4,FALSE)</f>
        <v>0</v>
      </c>
      <c r="Y54" s="5" t="str">
        <f t="shared" si="1"/>
        <v>main-2|main-5|||||||| x 1</v>
      </c>
    </row>
    <row r="55" spans="2:25">
      <c r="B55" s="5">
        <v>52</v>
      </c>
      <c r="C55" s="5">
        <f t="shared" si="2"/>
        <v>6.5</v>
      </c>
      <c r="D55" s="4">
        <v>1</v>
      </c>
      <c r="E55" s="6" t="s">
        <v>212</v>
      </c>
      <c r="F55" s="5">
        <f>VLOOKUP(E55,'Win Methods'!$C$4:$F$4992,4,FALSE)</f>
        <v>1.5</v>
      </c>
      <c r="G55" s="6" t="s">
        <v>230</v>
      </c>
      <c r="H55" s="5">
        <f>VLOOKUP(G55,'Win Methods'!$C$4:$F$4992,4,FALSE)</f>
        <v>5</v>
      </c>
      <c r="I55" s="6"/>
      <c r="J55" s="5">
        <f>VLOOKUP(I55,'Win Methods'!$C$4:$F$4992,4,FALSE)</f>
        <v>0</v>
      </c>
      <c r="K55" s="6"/>
      <c r="L55" s="5">
        <f>VLOOKUP(K55,'Win Methods'!$C$4:$F$4992,4,FALSE)</f>
        <v>0</v>
      </c>
      <c r="M55" s="6"/>
      <c r="N55" s="5">
        <f>VLOOKUP(M55,'Win Methods'!$C$4:$F$4992,4,FALSE)</f>
        <v>0</v>
      </c>
      <c r="O55" s="6"/>
      <c r="P55" s="5">
        <f>VLOOKUP(O55,'Win Methods'!$C$4:$F$4992,4,FALSE)</f>
        <v>0</v>
      </c>
      <c r="Q55" s="6"/>
      <c r="R55" s="5">
        <f>VLOOKUP(Q55,'Win Methods'!$C$4:$F$4992,4,FALSE)</f>
        <v>0</v>
      </c>
      <c r="S55" s="6"/>
      <c r="T55" s="5">
        <f>VLOOKUP(S55,'Win Methods'!$C$4:$F$4992,4,FALSE)</f>
        <v>0</v>
      </c>
      <c r="U55" s="6"/>
      <c r="V55" s="5">
        <f>VLOOKUP(U55,'Win Methods'!$C$4:$F$4992,4,FALSE)</f>
        <v>0</v>
      </c>
      <c r="W55" s="6"/>
      <c r="X55" s="5">
        <f>VLOOKUP(W55,'Win Methods'!$C$4:$F$4992,4,FALSE)</f>
        <v>0</v>
      </c>
      <c r="Y55" s="5" t="str">
        <f t="shared" si="1"/>
        <v>main-4|main-22|||||||| x 1</v>
      </c>
    </row>
    <row r="56" spans="2:25">
      <c r="B56" s="5">
        <v>53</v>
      </c>
      <c r="C56" s="5">
        <f t="shared" si="2"/>
        <v>3</v>
      </c>
      <c r="D56" s="4">
        <v>1</v>
      </c>
      <c r="E56" s="6" t="s">
        <v>212</v>
      </c>
      <c r="F56" s="5">
        <f>VLOOKUP(E56,'Win Methods'!$C$4:$F$4992,4,FALSE)</f>
        <v>1.5</v>
      </c>
      <c r="G56" s="6" t="s">
        <v>212</v>
      </c>
      <c r="H56" s="5">
        <f>VLOOKUP(G56,'Win Methods'!$C$4:$F$4992,4,FALSE)</f>
        <v>1.5</v>
      </c>
      <c r="I56" s="6"/>
      <c r="J56" s="5">
        <f>VLOOKUP(I56,'Win Methods'!$C$4:$F$4992,4,FALSE)</f>
        <v>0</v>
      </c>
      <c r="K56" s="6"/>
      <c r="L56" s="5">
        <f>VLOOKUP(K56,'Win Methods'!$C$4:$F$4992,4,FALSE)</f>
        <v>0</v>
      </c>
      <c r="M56" s="6"/>
      <c r="N56" s="5">
        <f>VLOOKUP(M56,'Win Methods'!$C$4:$F$4992,4,FALSE)</f>
        <v>0</v>
      </c>
      <c r="O56" s="6"/>
      <c r="P56" s="5">
        <f>VLOOKUP(O56,'Win Methods'!$C$4:$F$4992,4,FALSE)</f>
        <v>0</v>
      </c>
      <c r="Q56" s="6"/>
      <c r="R56" s="5">
        <f>VLOOKUP(Q56,'Win Methods'!$C$4:$F$4992,4,FALSE)</f>
        <v>0</v>
      </c>
      <c r="S56" s="6"/>
      <c r="T56" s="5">
        <f>VLOOKUP(S56,'Win Methods'!$C$4:$F$4992,4,FALSE)</f>
        <v>0</v>
      </c>
      <c r="U56" s="6"/>
      <c r="V56" s="5">
        <f>VLOOKUP(U56,'Win Methods'!$C$4:$F$4992,4,FALSE)</f>
        <v>0</v>
      </c>
      <c r="W56" s="6"/>
      <c r="X56" s="5">
        <f>VLOOKUP(W56,'Win Methods'!$C$4:$F$4992,4,FALSE)</f>
        <v>0</v>
      </c>
      <c r="Y56" s="5" t="str">
        <f t="shared" si="1"/>
        <v>main-4|main-4|||||||| x 1</v>
      </c>
    </row>
    <row r="57" spans="2:25">
      <c r="B57" s="5">
        <v>54</v>
      </c>
      <c r="C57" s="5">
        <f t="shared" si="2"/>
        <v>16</v>
      </c>
      <c r="D57" s="4">
        <v>1</v>
      </c>
      <c r="E57" s="6" t="s">
        <v>211</v>
      </c>
      <c r="F57" s="5">
        <f>VLOOKUP(E57,'Win Methods'!$C$4:$F$4992,4,FALSE)</f>
        <v>1</v>
      </c>
      <c r="G57" s="6" t="s">
        <v>223</v>
      </c>
      <c r="H57" s="5">
        <f>VLOOKUP(G57,'Win Methods'!$C$4:$F$4992,4,FALSE)</f>
        <v>15</v>
      </c>
      <c r="I57" s="6"/>
      <c r="J57" s="5">
        <f>VLOOKUP(I57,'Win Methods'!$C$4:$F$4992,4,FALSE)</f>
        <v>0</v>
      </c>
      <c r="K57" s="6"/>
      <c r="L57" s="5">
        <f>VLOOKUP(K57,'Win Methods'!$C$4:$F$4992,4,FALSE)</f>
        <v>0</v>
      </c>
      <c r="M57" s="6"/>
      <c r="N57" s="5">
        <f>VLOOKUP(M57,'Win Methods'!$C$4:$F$4992,4,FALSE)</f>
        <v>0</v>
      </c>
      <c r="O57" s="6"/>
      <c r="P57" s="5">
        <f>VLOOKUP(O57,'Win Methods'!$C$4:$F$4992,4,FALSE)</f>
        <v>0</v>
      </c>
      <c r="Q57" s="6"/>
      <c r="R57" s="5">
        <f>VLOOKUP(Q57,'Win Methods'!$C$4:$F$4992,4,FALSE)</f>
        <v>0</v>
      </c>
      <c r="S57" s="6"/>
      <c r="T57" s="5">
        <f>VLOOKUP(S57,'Win Methods'!$C$4:$F$4992,4,FALSE)</f>
        <v>0</v>
      </c>
      <c r="U57" s="6"/>
      <c r="V57" s="5">
        <f>VLOOKUP(U57,'Win Methods'!$C$4:$F$4992,4,FALSE)</f>
        <v>0</v>
      </c>
      <c r="W57" s="6"/>
      <c r="X57" s="5">
        <f>VLOOKUP(W57,'Win Methods'!$C$4:$F$4992,4,FALSE)</f>
        <v>0</v>
      </c>
      <c r="Y57" s="5" t="str">
        <f t="shared" si="1"/>
        <v>main-3|main-15|||||||| x 1</v>
      </c>
    </row>
    <row r="58" spans="2:25">
      <c r="B58" s="5">
        <v>55</v>
      </c>
      <c r="C58" s="5">
        <f t="shared" si="2"/>
        <v>17</v>
      </c>
      <c r="D58" s="4">
        <v>1</v>
      </c>
      <c r="E58" s="6" t="s">
        <v>213</v>
      </c>
      <c r="F58" s="5">
        <f>VLOOKUP(E58,'Win Methods'!$C$4:$F$4992,4,FALSE)</f>
        <v>2</v>
      </c>
      <c r="G58" s="6" t="s">
        <v>223</v>
      </c>
      <c r="H58" s="5">
        <f>VLOOKUP(G58,'Win Methods'!$C$4:$F$4992,4,FALSE)</f>
        <v>15</v>
      </c>
      <c r="I58" s="6"/>
      <c r="J58" s="5">
        <f>VLOOKUP(I58,'Win Methods'!$C$4:$F$4992,4,FALSE)</f>
        <v>0</v>
      </c>
      <c r="K58" s="6"/>
      <c r="L58" s="5">
        <f>VLOOKUP(K58,'Win Methods'!$C$4:$F$4992,4,FALSE)</f>
        <v>0</v>
      </c>
      <c r="M58" s="6"/>
      <c r="N58" s="5">
        <f>VLOOKUP(M58,'Win Methods'!$C$4:$F$4992,4,FALSE)</f>
        <v>0</v>
      </c>
      <c r="O58" s="6"/>
      <c r="P58" s="5">
        <f>VLOOKUP(O58,'Win Methods'!$C$4:$F$4992,4,FALSE)</f>
        <v>0</v>
      </c>
      <c r="Q58" s="6"/>
      <c r="R58" s="5">
        <f>VLOOKUP(Q58,'Win Methods'!$C$4:$F$4992,4,FALSE)</f>
        <v>0</v>
      </c>
      <c r="S58" s="6"/>
      <c r="T58" s="5">
        <f>VLOOKUP(S58,'Win Methods'!$C$4:$F$4992,4,FALSE)</f>
        <v>0</v>
      </c>
      <c r="U58" s="6"/>
      <c r="V58" s="5">
        <f>VLOOKUP(U58,'Win Methods'!$C$4:$F$4992,4,FALSE)</f>
        <v>0</v>
      </c>
      <c r="W58" s="6"/>
      <c r="X58" s="5">
        <f>VLOOKUP(W58,'Win Methods'!$C$4:$F$4992,4,FALSE)</f>
        <v>0</v>
      </c>
      <c r="Y58" s="5" t="str">
        <f t="shared" si="1"/>
        <v>main-5|main-15|||||||| x 1</v>
      </c>
    </row>
    <row r="59" spans="2:25">
      <c r="B59" s="5">
        <v>56</v>
      </c>
      <c r="C59" s="5">
        <f t="shared" si="2"/>
        <v>22</v>
      </c>
      <c r="D59" s="4">
        <v>1</v>
      </c>
      <c r="E59" s="6" t="s">
        <v>213</v>
      </c>
      <c r="F59" s="5">
        <f>VLOOKUP(E59,'Win Methods'!$C$4:$F$4992,4,FALSE)</f>
        <v>2</v>
      </c>
      <c r="G59" s="6" t="s">
        <v>233</v>
      </c>
      <c r="H59" s="5">
        <f>VLOOKUP(G59,'Win Methods'!$C$4:$F$4992,4,FALSE)</f>
        <v>20</v>
      </c>
      <c r="I59" s="6"/>
      <c r="J59" s="5">
        <f>VLOOKUP(I59,'Win Methods'!$C$4:$F$4992,4,FALSE)</f>
        <v>0</v>
      </c>
      <c r="K59" s="6"/>
      <c r="L59" s="5">
        <f>VLOOKUP(K59,'Win Methods'!$C$4:$F$4992,4,FALSE)</f>
        <v>0</v>
      </c>
      <c r="M59" s="6"/>
      <c r="N59" s="5">
        <f>VLOOKUP(M59,'Win Methods'!$C$4:$F$4992,4,FALSE)</f>
        <v>0</v>
      </c>
      <c r="O59" s="6"/>
      <c r="P59" s="5">
        <f>VLOOKUP(O59,'Win Methods'!$C$4:$F$4992,4,FALSE)</f>
        <v>0</v>
      </c>
      <c r="Q59" s="6"/>
      <c r="R59" s="5">
        <f>VLOOKUP(Q59,'Win Methods'!$C$4:$F$4992,4,FALSE)</f>
        <v>0</v>
      </c>
      <c r="S59" s="6"/>
      <c r="T59" s="5">
        <f>VLOOKUP(S59,'Win Methods'!$C$4:$F$4992,4,FALSE)</f>
        <v>0</v>
      </c>
      <c r="U59" s="6"/>
      <c r="V59" s="5">
        <f>VLOOKUP(U59,'Win Methods'!$C$4:$F$4992,4,FALSE)</f>
        <v>0</v>
      </c>
      <c r="W59" s="6"/>
      <c r="X59" s="5">
        <f>VLOOKUP(W59,'Win Methods'!$C$4:$F$4992,4,FALSE)</f>
        <v>0</v>
      </c>
      <c r="Y59" s="5" t="str">
        <f t="shared" si="1"/>
        <v>main-5|main-25|||||||| x 1</v>
      </c>
    </row>
    <row r="60" spans="2:25">
      <c r="B60" s="5">
        <v>57</v>
      </c>
      <c r="C60" s="5">
        <f t="shared" si="2"/>
        <v>52</v>
      </c>
      <c r="D60" s="4">
        <v>1</v>
      </c>
      <c r="E60" s="6" t="s">
        <v>213</v>
      </c>
      <c r="F60" s="5">
        <f>VLOOKUP(E60,'Win Methods'!$C$4:$F$4992,4,FALSE)</f>
        <v>2</v>
      </c>
      <c r="G60" s="6" t="s">
        <v>234</v>
      </c>
      <c r="H60" s="5">
        <f>VLOOKUP(G60,'Win Methods'!$C$4:$F$4992,4,FALSE)</f>
        <v>50</v>
      </c>
      <c r="I60" s="6"/>
      <c r="J60" s="5">
        <f>VLOOKUP(I60,'Win Methods'!$C$4:$F$4992,4,FALSE)</f>
        <v>0</v>
      </c>
      <c r="K60" s="6"/>
      <c r="L60" s="5">
        <f>VLOOKUP(K60,'Win Methods'!$C$4:$F$4992,4,FALSE)</f>
        <v>0</v>
      </c>
      <c r="M60" s="6"/>
      <c r="N60" s="5">
        <f>VLOOKUP(M60,'Win Methods'!$C$4:$F$4992,4,FALSE)</f>
        <v>0</v>
      </c>
      <c r="O60" s="6"/>
      <c r="P60" s="5">
        <f>VLOOKUP(O60,'Win Methods'!$C$4:$F$4992,4,FALSE)</f>
        <v>0</v>
      </c>
      <c r="Q60" s="6"/>
      <c r="R60" s="5">
        <f>VLOOKUP(Q60,'Win Methods'!$C$4:$F$4992,4,FALSE)</f>
        <v>0</v>
      </c>
      <c r="S60" s="6"/>
      <c r="T60" s="5">
        <f>VLOOKUP(S60,'Win Methods'!$C$4:$F$4992,4,FALSE)</f>
        <v>0</v>
      </c>
      <c r="U60" s="6"/>
      <c r="V60" s="5">
        <f>VLOOKUP(U60,'Win Methods'!$C$4:$F$4992,4,FALSE)</f>
        <v>0</v>
      </c>
      <c r="W60" s="6"/>
      <c r="X60" s="5">
        <f>VLOOKUP(W60,'Win Methods'!$C$4:$F$4992,4,FALSE)</f>
        <v>0</v>
      </c>
      <c r="Y60" s="5" t="str">
        <f t="shared" si="1"/>
        <v>main-5|main-26|||||||| x 1</v>
      </c>
    </row>
    <row r="61" spans="2:25">
      <c r="B61" s="5">
        <v>58</v>
      </c>
      <c r="C61" s="5">
        <f t="shared" si="2"/>
        <v>10.5</v>
      </c>
      <c r="D61" s="4">
        <v>1</v>
      </c>
      <c r="E61" s="6" t="s">
        <v>222</v>
      </c>
      <c r="F61" s="5">
        <f>VLOOKUP(E61,'Win Methods'!$C$4:$F$4992,4,FALSE)</f>
        <v>10</v>
      </c>
      <c r="G61" s="6" t="s">
        <v>210</v>
      </c>
      <c r="H61" s="5">
        <f>VLOOKUP(G61,'Win Methods'!$C$4:$F$4992,4,FALSE)</f>
        <v>0.5</v>
      </c>
      <c r="I61" s="6"/>
      <c r="J61" s="5">
        <f>VLOOKUP(I61,'Win Methods'!$C$4:$F$4992,4,FALSE)</f>
        <v>0</v>
      </c>
      <c r="K61" s="6"/>
      <c r="L61" s="5">
        <f>VLOOKUP(K61,'Win Methods'!$C$4:$F$4992,4,FALSE)</f>
        <v>0</v>
      </c>
      <c r="M61" s="6"/>
      <c r="N61" s="5">
        <f>VLOOKUP(M61,'Win Methods'!$C$4:$F$4992,4,FALSE)</f>
        <v>0</v>
      </c>
      <c r="O61" s="6"/>
      <c r="P61" s="5">
        <f>VLOOKUP(O61,'Win Methods'!$C$4:$F$4992,4,FALSE)</f>
        <v>0</v>
      </c>
      <c r="Q61" s="6"/>
      <c r="R61" s="5">
        <f>VLOOKUP(Q61,'Win Methods'!$C$4:$F$4992,4,FALSE)</f>
        <v>0</v>
      </c>
      <c r="S61" s="6"/>
      <c r="T61" s="5">
        <f>VLOOKUP(S61,'Win Methods'!$C$4:$F$4992,4,FALSE)</f>
        <v>0</v>
      </c>
      <c r="U61" s="6"/>
      <c r="V61" s="5">
        <f>VLOOKUP(U61,'Win Methods'!$C$4:$F$4992,4,FALSE)</f>
        <v>0</v>
      </c>
      <c r="W61" s="6"/>
      <c r="X61" s="5">
        <f>VLOOKUP(W61,'Win Methods'!$C$4:$F$4992,4,FALSE)</f>
        <v>0</v>
      </c>
      <c r="Y61" s="5" t="str">
        <f t="shared" si="1"/>
        <v>main-14|main-2|||||||| x 1</v>
      </c>
    </row>
    <row r="62" spans="2:25">
      <c r="B62" s="5">
        <v>59</v>
      </c>
      <c r="C62" s="5">
        <f t="shared" si="2"/>
        <v>4</v>
      </c>
      <c r="D62" s="4">
        <v>1</v>
      </c>
      <c r="E62" s="6" t="s">
        <v>211</v>
      </c>
      <c r="F62" s="5">
        <f>VLOOKUP(E62,'Win Methods'!$C$4:$F$4992,4,FALSE)</f>
        <v>1</v>
      </c>
      <c r="G62" s="6" t="s">
        <v>228</v>
      </c>
      <c r="H62" s="5">
        <f>VLOOKUP(G62,'Win Methods'!$C$4:$F$4992,4,FALSE)</f>
        <v>1.5</v>
      </c>
      <c r="I62" s="6" t="s">
        <v>212</v>
      </c>
      <c r="J62" s="5">
        <f>VLOOKUP(I62,'Win Methods'!$C$4:$F$4992,4,FALSE)</f>
        <v>1.5</v>
      </c>
      <c r="K62" s="6"/>
      <c r="L62" s="5">
        <f>VLOOKUP(K62,'Win Methods'!$C$4:$F$4992,4,FALSE)</f>
        <v>0</v>
      </c>
      <c r="M62" s="6"/>
      <c r="N62" s="5">
        <f>VLOOKUP(M62,'Win Methods'!$C$4:$F$4992,4,FALSE)</f>
        <v>0</v>
      </c>
      <c r="O62" s="6"/>
      <c r="P62" s="5">
        <f>VLOOKUP(O62,'Win Methods'!$C$4:$F$4992,4,FALSE)</f>
        <v>0</v>
      </c>
      <c r="Q62" s="6"/>
      <c r="R62" s="5">
        <f>VLOOKUP(Q62,'Win Methods'!$C$4:$F$4992,4,FALSE)</f>
        <v>0</v>
      </c>
      <c r="S62" s="6"/>
      <c r="T62" s="5">
        <f>VLOOKUP(S62,'Win Methods'!$C$4:$F$4992,4,FALSE)</f>
        <v>0</v>
      </c>
      <c r="U62" s="6"/>
      <c r="V62" s="5">
        <f>VLOOKUP(U62,'Win Methods'!$C$4:$F$4992,4,FALSE)</f>
        <v>0</v>
      </c>
      <c r="W62" s="6"/>
      <c r="X62" s="5">
        <f>VLOOKUP(W62,'Win Methods'!$C$4:$F$4992,4,FALSE)</f>
        <v>0</v>
      </c>
      <c r="Y62" s="5" t="str">
        <f t="shared" si="1"/>
        <v>main-3|main-20|main-4||||||| x 1</v>
      </c>
    </row>
    <row r="63" spans="2:25">
      <c r="B63" s="5">
        <v>60</v>
      </c>
      <c r="C63" s="5">
        <f t="shared" si="2"/>
        <v>8.5</v>
      </c>
      <c r="D63" s="4">
        <v>1</v>
      </c>
      <c r="E63" s="6" t="s">
        <v>212</v>
      </c>
      <c r="F63" s="5">
        <f>VLOOKUP(E63,'Win Methods'!$C$4:$F$4992,4,FALSE)</f>
        <v>1.5</v>
      </c>
      <c r="G63" s="6" t="s">
        <v>213</v>
      </c>
      <c r="H63" s="5">
        <f>VLOOKUP(G63,'Win Methods'!$C$4:$F$4992,4,FALSE)</f>
        <v>2</v>
      </c>
      <c r="I63" s="6" t="s">
        <v>221</v>
      </c>
      <c r="J63" s="5">
        <f>VLOOKUP(I63,'Win Methods'!$C$4:$F$4992,4,FALSE)</f>
        <v>5</v>
      </c>
      <c r="K63" s="6"/>
      <c r="L63" s="5">
        <f>VLOOKUP(K63,'Win Methods'!$C$4:$F$4992,4,FALSE)</f>
        <v>0</v>
      </c>
      <c r="M63" s="6"/>
      <c r="N63" s="5">
        <f>VLOOKUP(M63,'Win Methods'!$C$4:$F$4992,4,FALSE)</f>
        <v>0</v>
      </c>
      <c r="O63" s="6"/>
      <c r="P63" s="5">
        <f>VLOOKUP(O63,'Win Methods'!$C$4:$F$4992,4,FALSE)</f>
        <v>0</v>
      </c>
      <c r="Q63" s="6"/>
      <c r="R63" s="5">
        <f>VLOOKUP(Q63,'Win Methods'!$C$4:$F$4992,4,FALSE)</f>
        <v>0</v>
      </c>
      <c r="S63" s="6"/>
      <c r="T63" s="5">
        <f>VLOOKUP(S63,'Win Methods'!$C$4:$F$4992,4,FALSE)</f>
        <v>0</v>
      </c>
      <c r="U63" s="6"/>
      <c r="V63" s="5">
        <f>VLOOKUP(U63,'Win Methods'!$C$4:$F$4992,4,FALSE)</f>
        <v>0</v>
      </c>
      <c r="W63" s="6"/>
      <c r="X63" s="5">
        <f>VLOOKUP(W63,'Win Methods'!$C$4:$F$4992,4,FALSE)</f>
        <v>0</v>
      </c>
      <c r="Y63" s="5" t="str">
        <f t="shared" si="1"/>
        <v>main-4|main-5|main-13||||||| x 1</v>
      </c>
    </row>
    <row r="64" spans="2:25">
      <c r="B64" s="5">
        <v>61</v>
      </c>
      <c r="C64" s="5">
        <f t="shared" si="2"/>
        <v>17</v>
      </c>
      <c r="D64" s="4">
        <v>1</v>
      </c>
      <c r="E64" s="6" t="s">
        <v>212</v>
      </c>
      <c r="F64" s="5">
        <f>VLOOKUP(E64,'Win Methods'!$C$4:$F$4992,4,FALSE)</f>
        <v>1.5</v>
      </c>
      <c r="G64" s="6" t="s">
        <v>210</v>
      </c>
      <c r="H64" s="5">
        <f>VLOOKUP(G64,'Win Methods'!$C$4:$F$4992,4,FALSE)</f>
        <v>0.5</v>
      </c>
      <c r="I64" s="6" t="s">
        <v>232</v>
      </c>
      <c r="J64" s="5">
        <f>VLOOKUP(I64,'Win Methods'!$C$4:$F$4992,4,FALSE)</f>
        <v>15</v>
      </c>
      <c r="K64" s="6"/>
      <c r="L64" s="5">
        <f>VLOOKUP(K64,'Win Methods'!$C$4:$F$4992,4,FALSE)</f>
        <v>0</v>
      </c>
      <c r="M64" s="6"/>
      <c r="N64" s="5">
        <f>VLOOKUP(M64,'Win Methods'!$C$4:$F$4992,4,FALSE)</f>
        <v>0</v>
      </c>
      <c r="O64" s="6"/>
      <c r="P64" s="5">
        <f>VLOOKUP(O64,'Win Methods'!$C$4:$F$4992,4,FALSE)</f>
        <v>0</v>
      </c>
      <c r="Q64" s="6"/>
      <c r="R64" s="5">
        <f>VLOOKUP(Q64,'Win Methods'!$C$4:$F$4992,4,FALSE)</f>
        <v>0</v>
      </c>
      <c r="S64" s="6"/>
      <c r="T64" s="5">
        <f>VLOOKUP(S64,'Win Methods'!$C$4:$F$4992,4,FALSE)</f>
        <v>0</v>
      </c>
      <c r="U64" s="6"/>
      <c r="V64" s="5">
        <f>VLOOKUP(U64,'Win Methods'!$C$4:$F$4992,4,FALSE)</f>
        <v>0</v>
      </c>
      <c r="W64" s="6"/>
      <c r="X64" s="5">
        <f>VLOOKUP(W64,'Win Methods'!$C$4:$F$4992,4,FALSE)</f>
        <v>0</v>
      </c>
      <c r="Y64" s="5" t="str">
        <f t="shared" si="1"/>
        <v>main-4|main-2|main-24||||||| x 1</v>
      </c>
    </row>
    <row r="65" spans="2:25">
      <c r="B65" s="5">
        <v>62</v>
      </c>
      <c r="C65" s="5">
        <f t="shared" si="2"/>
        <v>25</v>
      </c>
      <c r="D65" s="4">
        <v>1</v>
      </c>
      <c r="E65" s="6" t="s">
        <v>223</v>
      </c>
      <c r="F65" s="5">
        <f>VLOOKUP(E65,'Win Methods'!$C$4:$F$4992,4,FALSE)</f>
        <v>15</v>
      </c>
      <c r="G65" s="6" t="s">
        <v>221</v>
      </c>
      <c r="H65" s="5">
        <f>VLOOKUP(G65,'Win Methods'!$C$4:$F$4992,4,FALSE)</f>
        <v>5</v>
      </c>
      <c r="I65" s="6" t="s">
        <v>221</v>
      </c>
      <c r="J65" s="5">
        <f>VLOOKUP(I65,'Win Methods'!$C$4:$F$4992,4,FALSE)</f>
        <v>5</v>
      </c>
      <c r="K65" s="6"/>
      <c r="L65" s="5">
        <f>VLOOKUP(K65,'Win Methods'!$C$4:$F$4992,4,FALSE)</f>
        <v>0</v>
      </c>
      <c r="M65" s="6"/>
      <c r="N65" s="5">
        <f>VLOOKUP(M65,'Win Methods'!$C$4:$F$4992,4,FALSE)</f>
        <v>0</v>
      </c>
      <c r="O65" s="6"/>
      <c r="P65" s="5">
        <f>VLOOKUP(O65,'Win Methods'!$C$4:$F$4992,4,FALSE)</f>
        <v>0</v>
      </c>
      <c r="Q65" s="6"/>
      <c r="R65" s="5">
        <f>VLOOKUP(Q65,'Win Methods'!$C$4:$F$4992,4,FALSE)</f>
        <v>0</v>
      </c>
      <c r="S65" s="6"/>
      <c r="T65" s="5">
        <f>VLOOKUP(S65,'Win Methods'!$C$4:$F$4992,4,FALSE)</f>
        <v>0</v>
      </c>
      <c r="U65" s="6"/>
      <c r="V65" s="5">
        <f>VLOOKUP(U65,'Win Methods'!$C$4:$F$4992,4,FALSE)</f>
        <v>0</v>
      </c>
      <c r="W65" s="6"/>
      <c r="X65" s="5">
        <f>VLOOKUP(W65,'Win Methods'!$C$4:$F$4992,4,FALSE)</f>
        <v>0</v>
      </c>
      <c r="Y65" s="5" t="str">
        <f t="shared" si="1"/>
        <v>main-15|main-13|main-13||||||| x 1</v>
      </c>
    </row>
    <row r="66" spans="2:25">
      <c r="B66" s="5">
        <v>63</v>
      </c>
      <c r="C66" s="5">
        <f t="shared" si="2"/>
        <v>27</v>
      </c>
      <c r="D66" s="4">
        <v>1</v>
      </c>
      <c r="E66" s="6" t="s">
        <v>238</v>
      </c>
      <c r="F66" s="5">
        <f>VLOOKUP(E66,'Win Methods'!$C$4:$F$4992,4,FALSE)</f>
        <v>2</v>
      </c>
      <c r="G66" s="6" t="s">
        <v>222</v>
      </c>
      <c r="H66" s="5">
        <f>VLOOKUP(G66,'Win Methods'!$C$4:$F$4992,4,FALSE)</f>
        <v>10</v>
      </c>
      <c r="I66" s="6" t="s">
        <v>223</v>
      </c>
      <c r="J66" s="5">
        <f>VLOOKUP(I66,'Win Methods'!$C$4:$F$4992,4,FALSE)</f>
        <v>15</v>
      </c>
      <c r="K66" s="6"/>
      <c r="L66" s="5">
        <f>VLOOKUP(K66,'Win Methods'!$C$4:$F$4992,4,FALSE)</f>
        <v>0</v>
      </c>
      <c r="M66" s="6"/>
      <c r="N66" s="5">
        <f>VLOOKUP(M66,'Win Methods'!$C$4:$F$4992,4,FALSE)</f>
        <v>0</v>
      </c>
      <c r="O66" s="6"/>
      <c r="P66" s="5">
        <f>VLOOKUP(O66,'Win Methods'!$C$4:$F$4992,4,FALSE)</f>
        <v>0</v>
      </c>
      <c r="Q66" s="6"/>
      <c r="R66" s="5">
        <f>VLOOKUP(Q66,'Win Methods'!$C$4:$F$4992,4,FALSE)</f>
        <v>0</v>
      </c>
      <c r="S66" s="6"/>
      <c r="T66" s="5">
        <f>VLOOKUP(S66,'Win Methods'!$C$4:$F$4992,4,FALSE)</f>
        <v>0</v>
      </c>
      <c r="U66" s="6"/>
      <c r="V66" s="5">
        <f>VLOOKUP(U66,'Win Methods'!$C$4:$F$4992,4,FALSE)</f>
        <v>0</v>
      </c>
      <c r="W66" s="6"/>
      <c r="X66" s="5">
        <f>VLOOKUP(W66,'Win Methods'!$C$4:$F$4992,4,FALSE)</f>
        <v>0</v>
      </c>
      <c r="Y66" s="5" t="str">
        <f t="shared" si="1"/>
        <v>main-30|main-14|main-15||||||| x 1</v>
      </c>
    </row>
    <row r="67" spans="2:25">
      <c r="B67" s="5">
        <v>64</v>
      </c>
      <c r="C67" s="5">
        <f t="shared" ref="C67:C98" si="3">(F67+H67+J67+L67+N67+P67+R67+T67+V67+X67)*D67</f>
        <v>5</v>
      </c>
      <c r="D67" s="4">
        <v>1</v>
      </c>
      <c r="E67" s="6" t="s">
        <v>210</v>
      </c>
      <c r="F67" s="5">
        <f>VLOOKUP(E67,'Win Methods'!$C$4:$F$4992,4,FALSE)</f>
        <v>0.5</v>
      </c>
      <c r="G67" s="6" t="s">
        <v>215</v>
      </c>
      <c r="H67" s="5">
        <f>VLOOKUP(G67,'Win Methods'!$C$4:$F$4992,4,FALSE)</f>
        <v>3</v>
      </c>
      <c r="I67" s="6" t="s">
        <v>212</v>
      </c>
      <c r="J67" s="5">
        <f>VLOOKUP(I67,'Win Methods'!$C$4:$F$4992,4,FALSE)</f>
        <v>1.5</v>
      </c>
      <c r="K67" s="6"/>
      <c r="L67" s="5">
        <f>VLOOKUP(K67,'Win Methods'!$C$4:$F$4992,4,FALSE)</f>
        <v>0</v>
      </c>
      <c r="M67" s="6"/>
      <c r="N67" s="5">
        <f>VLOOKUP(M67,'Win Methods'!$C$4:$F$4992,4,FALSE)</f>
        <v>0</v>
      </c>
      <c r="O67" s="6"/>
      <c r="P67" s="5">
        <f>VLOOKUP(O67,'Win Methods'!$C$4:$F$4992,4,FALSE)</f>
        <v>0</v>
      </c>
      <c r="Q67" s="6"/>
      <c r="R67" s="5">
        <f>VLOOKUP(Q67,'Win Methods'!$C$4:$F$4992,4,FALSE)</f>
        <v>0</v>
      </c>
      <c r="S67" s="6"/>
      <c r="T67" s="5">
        <f>VLOOKUP(S67,'Win Methods'!$C$4:$F$4992,4,FALSE)</f>
        <v>0</v>
      </c>
      <c r="U67" s="6"/>
      <c r="V67" s="5">
        <f>VLOOKUP(U67,'Win Methods'!$C$4:$F$4992,4,FALSE)</f>
        <v>0</v>
      </c>
      <c r="W67" s="6"/>
      <c r="X67" s="5">
        <f>VLOOKUP(W67,'Win Methods'!$C$4:$F$4992,4,FALSE)</f>
        <v>0</v>
      </c>
      <c r="Y67" s="5" t="str">
        <f t="shared" ref="Y67:Y130" si="4">E67&amp;"|"&amp;G67&amp;"|"&amp;I67&amp;"|"&amp;K67&amp;"|"&amp;M67&amp;"|"&amp;O67&amp;"|"&amp;Q67&amp;"|"&amp;S67&amp;"|"&amp;U67&amp;"|"&amp;W67 &amp;" x "&amp;D67</f>
        <v>main-2|main-7|main-4||||||| x 1</v>
      </c>
    </row>
    <row r="68" spans="2:25">
      <c r="B68" s="5">
        <v>65</v>
      </c>
      <c r="C68" s="5">
        <f t="shared" si="3"/>
        <v>26.5</v>
      </c>
      <c r="D68" s="4">
        <v>1</v>
      </c>
      <c r="E68" s="6" t="s">
        <v>219</v>
      </c>
      <c r="F68" s="5">
        <f>VLOOKUP(E68,'Win Methods'!$C$4:$F$4992,4,FALSE)</f>
        <v>1.5</v>
      </c>
      <c r="G68" s="6" t="s">
        <v>233</v>
      </c>
      <c r="H68" s="5">
        <f>VLOOKUP(G68,'Win Methods'!$C$4:$F$4992,4,FALSE)</f>
        <v>20</v>
      </c>
      <c r="I68" s="6" t="s">
        <v>239</v>
      </c>
      <c r="J68" s="5">
        <f>VLOOKUP(I68,'Win Methods'!$C$4:$F$4992,4,FALSE)</f>
        <v>5</v>
      </c>
      <c r="K68" s="6"/>
      <c r="L68" s="5">
        <f>VLOOKUP(K68,'Win Methods'!$C$4:$F$4992,4,FALSE)</f>
        <v>0</v>
      </c>
      <c r="M68" s="6"/>
      <c r="N68" s="5">
        <f>VLOOKUP(M68,'Win Methods'!$C$4:$F$4992,4,FALSE)</f>
        <v>0</v>
      </c>
      <c r="O68" s="6"/>
      <c r="P68" s="5">
        <f>VLOOKUP(O68,'Win Methods'!$C$4:$F$4992,4,FALSE)</f>
        <v>0</v>
      </c>
      <c r="Q68" s="6"/>
      <c r="R68" s="5">
        <f>VLOOKUP(Q68,'Win Methods'!$C$4:$F$4992,4,FALSE)</f>
        <v>0</v>
      </c>
      <c r="S68" s="6"/>
      <c r="T68" s="5">
        <f>VLOOKUP(S68,'Win Methods'!$C$4:$F$4992,4,FALSE)</f>
        <v>0</v>
      </c>
      <c r="U68" s="6"/>
      <c r="V68" s="5">
        <f>VLOOKUP(U68,'Win Methods'!$C$4:$F$4992,4,FALSE)</f>
        <v>0</v>
      </c>
      <c r="W68" s="6"/>
      <c r="X68" s="5">
        <f>VLOOKUP(W68,'Win Methods'!$C$4:$F$4992,4,FALSE)</f>
        <v>0</v>
      </c>
      <c r="Y68" s="5" t="str">
        <f t="shared" si="4"/>
        <v>main-11|main-25|main-31||||||| x 1</v>
      </c>
    </row>
    <row r="69" spans="2:25">
      <c r="B69" s="5">
        <v>66</v>
      </c>
      <c r="C69" s="5">
        <f t="shared" si="3"/>
        <v>24</v>
      </c>
      <c r="D69" s="4">
        <v>1</v>
      </c>
      <c r="E69" s="6" t="s">
        <v>213</v>
      </c>
      <c r="F69" s="5">
        <f>VLOOKUP(E69,'Win Methods'!$C$4:$F$4992,4,FALSE)</f>
        <v>2</v>
      </c>
      <c r="G69" s="6" t="s">
        <v>233</v>
      </c>
      <c r="H69" s="5">
        <f>VLOOKUP(G69,'Win Methods'!$C$4:$F$4992,4,FALSE)</f>
        <v>20</v>
      </c>
      <c r="I69" s="6" t="s">
        <v>220</v>
      </c>
      <c r="J69" s="5">
        <f>VLOOKUP(I69,'Win Methods'!$C$4:$F$4992,4,FALSE)</f>
        <v>2</v>
      </c>
      <c r="K69" s="6"/>
      <c r="L69" s="5">
        <f>VLOOKUP(K69,'Win Methods'!$C$4:$F$4992,4,FALSE)</f>
        <v>0</v>
      </c>
      <c r="M69" s="6"/>
      <c r="N69" s="5">
        <f>VLOOKUP(M69,'Win Methods'!$C$4:$F$4992,4,FALSE)</f>
        <v>0</v>
      </c>
      <c r="O69" s="6"/>
      <c r="P69" s="5">
        <f>VLOOKUP(O69,'Win Methods'!$C$4:$F$4992,4,FALSE)</f>
        <v>0</v>
      </c>
      <c r="Q69" s="6"/>
      <c r="R69" s="5">
        <f>VLOOKUP(Q69,'Win Methods'!$C$4:$F$4992,4,FALSE)</f>
        <v>0</v>
      </c>
      <c r="S69" s="6"/>
      <c r="T69" s="5">
        <f>VLOOKUP(S69,'Win Methods'!$C$4:$F$4992,4,FALSE)</f>
        <v>0</v>
      </c>
      <c r="U69" s="6"/>
      <c r="V69" s="5">
        <f>VLOOKUP(U69,'Win Methods'!$C$4:$F$4992,4,FALSE)</f>
        <v>0</v>
      </c>
      <c r="W69" s="6"/>
      <c r="X69" s="5">
        <f>VLOOKUP(W69,'Win Methods'!$C$4:$F$4992,4,FALSE)</f>
        <v>0</v>
      </c>
      <c r="Y69" s="5" t="str">
        <f t="shared" si="4"/>
        <v>main-5|main-25|main-12||||||| x 1</v>
      </c>
    </row>
    <row r="70" spans="2:25">
      <c r="B70" s="5">
        <v>67</v>
      </c>
      <c r="C70" s="5">
        <f t="shared" si="3"/>
        <v>36</v>
      </c>
      <c r="D70" s="4">
        <v>1</v>
      </c>
      <c r="E70" s="6" t="s">
        <v>211</v>
      </c>
      <c r="F70" s="5">
        <f>VLOOKUP(E70,'Win Methods'!$C$4:$F$4992,4,FALSE)</f>
        <v>1</v>
      </c>
      <c r="G70" s="6" t="s">
        <v>241</v>
      </c>
      <c r="H70" s="5">
        <f>VLOOKUP(G70,'Win Methods'!$C$4:$F$4992,4,FALSE)</f>
        <v>15</v>
      </c>
      <c r="I70" s="6" t="s">
        <v>224</v>
      </c>
      <c r="J70" s="5">
        <f>VLOOKUP(I70,'Win Methods'!$C$4:$F$4992,4,FALSE)</f>
        <v>20</v>
      </c>
      <c r="K70" s="6"/>
      <c r="L70" s="5">
        <f>VLOOKUP(K70,'Win Methods'!$C$4:$F$4992,4,FALSE)</f>
        <v>0</v>
      </c>
      <c r="M70" s="6"/>
      <c r="N70" s="5">
        <f>VLOOKUP(M70,'Win Methods'!$C$4:$F$4992,4,FALSE)</f>
        <v>0</v>
      </c>
      <c r="O70" s="6"/>
      <c r="P70" s="5">
        <f>VLOOKUP(O70,'Win Methods'!$C$4:$F$4992,4,FALSE)</f>
        <v>0</v>
      </c>
      <c r="Q70" s="6"/>
      <c r="R70" s="5">
        <f>VLOOKUP(Q70,'Win Methods'!$C$4:$F$4992,4,FALSE)</f>
        <v>0</v>
      </c>
      <c r="S70" s="6"/>
      <c r="T70" s="5">
        <f>VLOOKUP(S70,'Win Methods'!$C$4:$F$4992,4,FALSE)</f>
        <v>0</v>
      </c>
      <c r="U70" s="6"/>
      <c r="V70" s="5">
        <f>VLOOKUP(U70,'Win Methods'!$C$4:$F$4992,4,FALSE)</f>
        <v>0</v>
      </c>
      <c r="W70" s="6"/>
      <c r="X70" s="5">
        <f>VLOOKUP(W70,'Win Methods'!$C$4:$F$4992,4,FALSE)</f>
        <v>0</v>
      </c>
      <c r="Y70" s="5" t="str">
        <f t="shared" si="4"/>
        <v>main-3|main-33|main-16||||||| x 1</v>
      </c>
    </row>
    <row r="71" spans="2:25">
      <c r="B71" s="5">
        <v>68</v>
      </c>
      <c r="C71" s="5">
        <f t="shared" si="3"/>
        <v>7.5</v>
      </c>
      <c r="D71" s="4">
        <v>1</v>
      </c>
      <c r="E71" s="6" t="s">
        <v>238</v>
      </c>
      <c r="F71" s="5">
        <f>VLOOKUP(E71,'Win Methods'!$C$4:$F$4992,4,FALSE)</f>
        <v>2</v>
      </c>
      <c r="G71" s="6" t="s">
        <v>214</v>
      </c>
      <c r="H71" s="5">
        <f>VLOOKUP(G71,'Win Methods'!$C$4:$F$4992,4,FALSE)</f>
        <v>2.5</v>
      </c>
      <c r="I71" s="6" t="s">
        <v>215</v>
      </c>
      <c r="J71" s="5">
        <f>VLOOKUP(I71,'Win Methods'!$C$4:$F$4992,4,FALSE)</f>
        <v>3</v>
      </c>
      <c r="K71" s="6"/>
      <c r="L71" s="5">
        <f>VLOOKUP(K71,'Win Methods'!$C$4:$F$4992,4,FALSE)</f>
        <v>0</v>
      </c>
      <c r="M71" s="6"/>
      <c r="N71" s="5">
        <f>VLOOKUP(M71,'Win Methods'!$C$4:$F$4992,4,FALSE)</f>
        <v>0</v>
      </c>
      <c r="O71" s="6"/>
      <c r="P71" s="5">
        <f>VLOOKUP(O71,'Win Methods'!$C$4:$F$4992,4,FALSE)</f>
        <v>0</v>
      </c>
      <c r="Q71" s="6"/>
      <c r="R71" s="5">
        <f>VLOOKUP(Q71,'Win Methods'!$C$4:$F$4992,4,FALSE)</f>
        <v>0</v>
      </c>
      <c r="S71" s="6"/>
      <c r="T71" s="5">
        <f>VLOOKUP(S71,'Win Methods'!$C$4:$F$4992,4,FALSE)</f>
        <v>0</v>
      </c>
      <c r="U71" s="6"/>
      <c r="V71" s="5">
        <f>VLOOKUP(U71,'Win Methods'!$C$4:$F$4992,4,FALSE)</f>
        <v>0</v>
      </c>
      <c r="W71" s="6"/>
      <c r="X71" s="5">
        <f>VLOOKUP(W71,'Win Methods'!$C$4:$F$4992,4,FALSE)</f>
        <v>0</v>
      </c>
      <c r="Y71" s="5" t="str">
        <f t="shared" si="4"/>
        <v>main-30|main-6|main-7||||||| x 1</v>
      </c>
    </row>
    <row r="72" spans="2:25">
      <c r="B72" s="5">
        <v>69</v>
      </c>
      <c r="C72" s="5">
        <f t="shared" si="3"/>
        <v>25</v>
      </c>
      <c r="D72" s="4">
        <v>1</v>
      </c>
      <c r="E72" s="6" t="s">
        <v>229</v>
      </c>
      <c r="F72" s="5">
        <f>VLOOKUP(E72,'Win Methods'!$C$4:$F$4992,4,FALSE)</f>
        <v>2</v>
      </c>
      <c r="G72" s="6" t="s">
        <v>233</v>
      </c>
      <c r="H72" s="5">
        <f>VLOOKUP(G72,'Win Methods'!$C$4:$F$4992,4,FALSE)</f>
        <v>20</v>
      </c>
      <c r="I72" s="6" t="s">
        <v>215</v>
      </c>
      <c r="J72" s="5">
        <f>VLOOKUP(I72,'Win Methods'!$C$4:$F$4992,4,FALSE)</f>
        <v>3</v>
      </c>
      <c r="K72" s="6"/>
      <c r="L72" s="5">
        <f>VLOOKUP(K72,'Win Methods'!$C$4:$F$4992,4,FALSE)</f>
        <v>0</v>
      </c>
      <c r="M72" s="6"/>
      <c r="N72" s="5">
        <f>VLOOKUP(M72,'Win Methods'!$C$4:$F$4992,4,FALSE)</f>
        <v>0</v>
      </c>
      <c r="O72" s="6"/>
      <c r="P72" s="5">
        <f>VLOOKUP(O72,'Win Methods'!$C$4:$F$4992,4,FALSE)</f>
        <v>0</v>
      </c>
      <c r="Q72" s="6"/>
      <c r="R72" s="5">
        <f>VLOOKUP(Q72,'Win Methods'!$C$4:$F$4992,4,FALSE)</f>
        <v>0</v>
      </c>
      <c r="S72" s="6"/>
      <c r="T72" s="5">
        <f>VLOOKUP(S72,'Win Methods'!$C$4:$F$4992,4,FALSE)</f>
        <v>0</v>
      </c>
      <c r="U72" s="6"/>
      <c r="V72" s="5">
        <f>VLOOKUP(U72,'Win Methods'!$C$4:$F$4992,4,FALSE)</f>
        <v>0</v>
      </c>
      <c r="W72" s="6"/>
      <c r="X72" s="5">
        <f>VLOOKUP(W72,'Win Methods'!$C$4:$F$4992,4,FALSE)</f>
        <v>0</v>
      </c>
      <c r="Y72" s="5" t="str">
        <f t="shared" si="4"/>
        <v>main-21|main-25|main-7||||||| x 1</v>
      </c>
    </row>
    <row r="73" spans="2:25">
      <c r="B73" s="5">
        <v>70</v>
      </c>
      <c r="C73" s="5">
        <f t="shared" si="3"/>
        <v>42</v>
      </c>
      <c r="D73" s="4">
        <v>1</v>
      </c>
      <c r="E73" s="6" t="s">
        <v>213</v>
      </c>
      <c r="F73" s="5">
        <f>VLOOKUP(E73,'Win Methods'!$C$4:$F$4992,4,FALSE)</f>
        <v>2</v>
      </c>
      <c r="G73" s="6" t="s">
        <v>233</v>
      </c>
      <c r="H73" s="5">
        <f>VLOOKUP(G73,'Win Methods'!$C$4:$F$4992,4,FALSE)</f>
        <v>20</v>
      </c>
      <c r="I73" s="6" t="s">
        <v>233</v>
      </c>
      <c r="J73" s="5">
        <f>VLOOKUP(I73,'Win Methods'!$C$4:$F$4992,4,FALSE)</f>
        <v>20</v>
      </c>
      <c r="K73" s="6"/>
      <c r="L73" s="5">
        <f>VLOOKUP(K73,'Win Methods'!$C$4:$F$4992,4,FALSE)</f>
        <v>0</v>
      </c>
      <c r="M73" s="6"/>
      <c r="N73" s="5">
        <f>VLOOKUP(M73,'Win Methods'!$C$4:$F$4992,4,FALSE)</f>
        <v>0</v>
      </c>
      <c r="O73" s="6"/>
      <c r="P73" s="5">
        <f>VLOOKUP(O73,'Win Methods'!$C$4:$F$4992,4,FALSE)</f>
        <v>0</v>
      </c>
      <c r="Q73" s="6"/>
      <c r="R73" s="5">
        <f>VLOOKUP(Q73,'Win Methods'!$C$4:$F$4992,4,FALSE)</f>
        <v>0</v>
      </c>
      <c r="S73" s="6"/>
      <c r="T73" s="5">
        <f>VLOOKUP(S73,'Win Methods'!$C$4:$F$4992,4,FALSE)</f>
        <v>0</v>
      </c>
      <c r="U73" s="6"/>
      <c r="V73" s="5">
        <f>VLOOKUP(U73,'Win Methods'!$C$4:$F$4992,4,FALSE)</f>
        <v>0</v>
      </c>
      <c r="W73" s="6"/>
      <c r="X73" s="5">
        <f>VLOOKUP(W73,'Win Methods'!$C$4:$F$4992,4,FALSE)</f>
        <v>0</v>
      </c>
      <c r="Y73" s="5" t="str">
        <f t="shared" si="4"/>
        <v>main-5|main-25|main-25||||||| x 1</v>
      </c>
    </row>
    <row r="74" spans="2:25">
      <c r="B74" s="5">
        <v>71</v>
      </c>
      <c r="C74" s="5">
        <f t="shared" si="3"/>
        <v>17</v>
      </c>
      <c r="D74" s="4">
        <v>1</v>
      </c>
      <c r="E74" s="6" t="s">
        <v>213</v>
      </c>
      <c r="F74" s="5">
        <f>VLOOKUP(E74,'Win Methods'!$C$4:$F$4992,4,FALSE)</f>
        <v>2</v>
      </c>
      <c r="G74" s="6" t="s">
        <v>216</v>
      </c>
      <c r="H74" s="5">
        <f>VLOOKUP(G74,'Win Methods'!$C$4:$F$4992,4,FALSE)</f>
        <v>5</v>
      </c>
      <c r="I74" s="6" t="s">
        <v>222</v>
      </c>
      <c r="J74" s="5">
        <f>VLOOKUP(I74,'Win Methods'!$C$4:$F$4992,4,FALSE)</f>
        <v>10</v>
      </c>
      <c r="K74" s="6"/>
      <c r="L74" s="5">
        <f>VLOOKUP(K74,'Win Methods'!$C$4:$F$4992,4,FALSE)</f>
        <v>0</v>
      </c>
      <c r="M74" s="6"/>
      <c r="N74" s="5">
        <f>VLOOKUP(M74,'Win Methods'!$C$4:$F$4992,4,FALSE)</f>
        <v>0</v>
      </c>
      <c r="O74" s="6"/>
      <c r="P74" s="5">
        <f>VLOOKUP(O74,'Win Methods'!$C$4:$F$4992,4,FALSE)</f>
        <v>0</v>
      </c>
      <c r="Q74" s="6"/>
      <c r="R74" s="5">
        <f>VLOOKUP(Q74,'Win Methods'!$C$4:$F$4992,4,FALSE)</f>
        <v>0</v>
      </c>
      <c r="S74" s="6"/>
      <c r="T74" s="5">
        <f>VLOOKUP(S74,'Win Methods'!$C$4:$F$4992,4,FALSE)</f>
        <v>0</v>
      </c>
      <c r="U74" s="6"/>
      <c r="V74" s="5">
        <f>VLOOKUP(U74,'Win Methods'!$C$4:$F$4992,4,FALSE)</f>
        <v>0</v>
      </c>
      <c r="W74" s="6"/>
      <c r="X74" s="5">
        <f>VLOOKUP(W74,'Win Methods'!$C$4:$F$4992,4,FALSE)</f>
        <v>0</v>
      </c>
      <c r="Y74" s="5" t="str">
        <f t="shared" si="4"/>
        <v>main-5|main-8|main-14||||||| x 1</v>
      </c>
    </row>
    <row r="75" spans="2:25">
      <c r="B75" s="5">
        <v>72</v>
      </c>
      <c r="C75" s="5">
        <f t="shared" si="3"/>
        <v>26</v>
      </c>
      <c r="D75" s="4">
        <v>1</v>
      </c>
      <c r="E75" s="6" t="s">
        <v>223</v>
      </c>
      <c r="F75" s="5">
        <f>VLOOKUP(E75,'Win Methods'!$C$4:$F$4992,4,FALSE)</f>
        <v>15</v>
      </c>
      <c r="G75" s="6" t="s">
        <v>217</v>
      </c>
      <c r="H75" s="5">
        <f>VLOOKUP(G75,'Win Methods'!$C$4:$F$4992,4,FALSE)</f>
        <v>10</v>
      </c>
      <c r="I75" s="6" t="s">
        <v>211</v>
      </c>
      <c r="J75" s="5">
        <f>VLOOKUP(I75,'Win Methods'!$C$4:$F$4992,4,FALSE)</f>
        <v>1</v>
      </c>
      <c r="K75" s="6"/>
      <c r="L75" s="5">
        <f>VLOOKUP(K75,'Win Methods'!$C$4:$F$4992,4,FALSE)</f>
        <v>0</v>
      </c>
      <c r="M75" s="6"/>
      <c r="N75" s="5">
        <f>VLOOKUP(M75,'Win Methods'!$C$4:$F$4992,4,FALSE)</f>
        <v>0</v>
      </c>
      <c r="O75" s="6"/>
      <c r="P75" s="5">
        <f>VLOOKUP(O75,'Win Methods'!$C$4:$F$4992,4,FALSE)</f>
        <v>0</v>
      </c>
      <c r="Q75" s="6"/>
      <c r="R75" s="5">
        <f>VLOOKUP(Q75,'Win Methods'!$C$4:$F$4992,4,FALSE)</f>
        <v>0</v>
      </c>
      <c r="S75" s="6"/>
      <c r="T75" s="5">
        <f>VLOOKUP(S75,'Win Methods'!$C$4:$F$4992,4,FALSE)</f>
        <v>0</v>
      </c>
      <c r="U75" s="6"/>
      <c r="V75" s="5">
        <f>VLOOKUP(U75,'Win Methods'!$C$4:$F$4992,4,FALSE)</f>
        <v>0</v>
      </c>
      <c r="W75" s="6"/>
      <c r="X75" s="5">
        <f>VLOOKUP(W75,'Win Methods'!$C$4:$F$4992,4,FALSE)</f>
        <v>0</v>
      </c>
      <c r="Y75" s="5" t="str">
        <f t="shared" si="4"/>
        <v>main-15|main-9|main-3||||||| x 1</v>
      </c>
    </row>
    <row r="76" spans="2:25">
      <c r="B76" s="5">
        <v>73</v>
      </c>
      <c r="C76" s="5">
        <f t="shared" si="3"/>
        <v>8.5</v>
      </c>
      <c r="D76" s="4">
        <v>1</v>
      </c>
      <c r="E76" s="6" t="s">
        <v>239</v>
      </c>
      <c r="F76" s="5">
        <f>VLOOKUP(E76,'Win Methods'!$C$4:$F$4992,4,FALSE)</f>
        <v>5</v>
      </c>
      <c r="G76" s="6" t="s">
        <v>215</v>
      </c>
      <c r="H76" s="5">
        <f>VLOOKUP(G76,'Win Methods'!$C$4:$F$4992,4,FALSE)</f>
        <v>3</v>
      </c>
      <c r="I76" s="6" t="s">
        <v>210</v>
      </c>
      <c r="J76" s="5">
        <f>VLOOKUP(I76,'Win Methods'!$C$4:$F$4992,4,FALSE)</f>
        <v>0.5</v>
      </c>
      <c r="K76" s="6"/>
      <c r="L76" s="5">
        <f>VLOOKUP(K76,'Win Methods'!$C$4:$F$4992,4,FALSE)</f>
        <v>0</v>
      </c>
      <c r="M76" s="6"/>
      <c r="N76" s="5">
        <f>VLOOKUP(M76,'Win Methods'!$C$4:$F$4992,4,FALSE)</f>
        <v>0</v>
      </c>
      <c r="O76" s="6"/>
      <c r="P76" s="5">
        <f>VLOOKUP(O76,'Win Methods'!$C$4:$F$4992,4,FALSE)</f>
        <v>0</v>
      </c>
      <c r="Q76" s="6"/>
      <c r="R76" s="5">
        <f>VLOOKUP(Q76,'Win Methods'!$C$4:$F$4992,4,FALSE)</f>
        <v>0</v>
      </c>
      <c r="S76" s="6"/>
      <c r="T76" s="5">
        <f>VLOOKUP(S76,'Win Methods'!$C$4:$F$4992,4,FALSE)</f>
        <v>0</v>
      </c>
      <c r="U76" s="6"/>
      <c r="V76" s="5">
        <f>VLOOKUP(U76,'Win Methods'!$C$4:$F$4992,4,FALSE)</f>
        <v>0</v>
      </c>
      <c r="W76" s="6"/>
      <c r="X76" s="5">
        <f>VLOOKUP(W76,'Win Methods'!$C$4:$F$4992,4,FALSE)</f>
        <v>0</v>
      </c>
      <c r="Y76" s="5" t="str">
        <f t="shared" si="4"/>
        <v>main-31|main-7|main-2||||||| x 1</v>
      </c>
    </row>
    <row r="77" spans="2:25">
      <c r="B77" s="5">
        <v>74</v>
      </c>
      <c r="C77" s="5">
        <f t="shared" si="3"/>
        <v>9</v>
      </c>
      <c r="D77" s="4">
        <v>1</v>
      </c>
      <c r="E77" s="6" t="s">
        <v>216</v>
      </c>
      <c r="F77" s="5">
        <f>VLOOKUP(E77,'Win Methods'!$C$4:$F$4992,4,FALSE)</f>
        <v>5</v>
      </c>
      <c r="G77" s="6" t="s">
        <v>220</v>
      </c>
      <c r="H77" s="5">
        <f>VLOOKUP(G77,'Win Methods'!$C$4:$F$4992,4,FALSE)</f>
        <v>2</v>
      </c>
      <c r="I77" s="6" t="s">
        <v>213</v>
      </c>
      <c r="J77" s="5">
        <f>VLOOKUP(I77,'Win Methods'!$C$4:$F$4992,4,FALSE)</f>
        <v>2</v>
      </c>
      <c r="K77" s="6"/>
      <c r="L77" s="5">
        <f>VLOOKUP(K77,'Win Methods'!$C$4:$F$4992,4,FALSE)</f>
        <v>0</v>
      </c>
      <c r="M77" s="6"/>
      <c r="N77" s="5">
        <f>VLOOKUP(M77,'Win Methods'!$C$4:$F$4992,4,FALSE)</f>
        <v>0</v>
      </c>
      <c r="O77" s="6"/>
      <c r="P77" s="5">
        <f>VLOOKUP(O77,'Win Methods'!$C$4:$F$4992,4,FALSE)</f>
        <v>0</v>
      </c>
      <c r="Q77" s="6"/>
      <c r="R77" s="5">
        <f>VLOOKUP(Q77,'Win Methods'!$C$4:$F$4992,4,FALSE)</f>
        <v>0</v>
      </c>
      <c r="S77" s="6"/>
      <c r="T77" s="5">
        <f>VLOOKUP(S77,'Win Methods'!$C$4:$F$4992,4,FALSE)</f>
        <v>0</v>
      </c>
      <c r="U77" s="6"/>
      <c r="V77" s="5">
        <f>VLOOKUP(U77,'Win Methods'!$C$4:$F$4992,4,FALSE)</f>
        <v>0</v>
      </c>
      <c r="W77" s="6"/>
      <c r="X77" s="5">
        <f>VLOOKUP(W77,'Win Methods'!$C$4:$F$4992,4,FALSE)</f>
        <v>0</v>
      </c>
      <c r="Y77" s="5" t="str">
        <f t="shared" si="4"/>
        <v>main-8|main-12|main-5||||||| x 1</v>
      </c>
    </row>
    <row r="78" spans="2:25">
      <c r="B78" s="5">
        <v>75</v>
      </c>
      <c r="C78" s="5">
        <f t="shared" si="3"/>
        <v>22.2</v>
      </c>
      <c r="D78" s="4">
        <v>1</v>
      </c>
      <c r="E78" s="6" t="s">
        <v>238</v>
      </c>
      <c r="F78" s="5">
        <f>VLOOKUP(E78,'Win Methods'!$C$4:$F$4992,4,FALSE)</f>
        <v>2</v>
      </c>
      <c r="G78" s="6" t="s">
        <v>233</v>
      </c>
      <c r="H78" s="5">
        <f>VLOOKUP(G78,'Win Methods'!$C$4:$F$4992,4,FALSE)</f>
        <v>20</v>
      </c>
      <c r="I78" s="6" t="s">
        <v>209</v>
      </c>
      <c r="J78" s="5">
        <f>VLOOKUP(I78,'Win Methods'!$C$4:$F$4992,4,FALSE)</f>
        <v>0.2</v>
      </c>
      <c r="K78" s="6"/>
      <c r="L78" s="5">
        <f>VLOOKUP(K78,'Win Methods'!$C$4:$F$4992,4,FALSE)</f>
        <v>0</v>
      </c>
      <c r="M78" s="6"/>
      <c r="N78" s="5">
        <f>VLOOKUP(M78,'Win Methods'!$C$4:$F$4992,4,FALSE)</f>
        <v>0</v>
      </c>
      <c r="O78" s="6"/>
      <c r="P78" s="5">
        <f>VLOOKUP(O78,'Win Methods'!$C$4:$F$4992,4,FALSE)</f>
        <v>0</v>
      </c>
      <c r="Q78" s="6"/>
      <c r="R78" s="5">
        <f>VLOOKUP(Q78,'Win Methods'!$C$4:$F$4992,4,FALSE)</f>
        <v>0</v>
      </c>
      <c r="S78" s="6"/>
      <c r="T78" s="5">
        <f>VLOOKUP(S78,'Win Methods'!$C$4:$F$4992,4,FALSE)</f>
        <v>0</v>
      </c>
      <c r="U78" s="6"/>
      <c r="V78" s="5">
        <f>VLOOKUP(U78,'Win Methods'!$C$4:$F$4992,4,FALSE)</f>
        <v>0</v>
      </c>
      <c r="W78" s="6"/>
      <c r="X78" s="5">
        <f>VLOOKUP(W78,'Win Methods'!$C$4:$F$4992,4,FALSE)</f>
        <v>0</v>
      </c>
      <c r="Y78" s="5" t="str">
        <f t="shared" si="4"/>
        <v>main-30|main-25|main-1||||||| x 1</v>
      </c>
    </row>
    <row r="79" spans="2:25">
      <c r="B79" s="5">
        <v>76</v>
      </c>
      <c r="C79" s="5">
        <f t="shared" si="3"/>
        <v>2</v>
      </c>
      <c r="D79" s="4">
        <v>1</v>
      </c>
      <c r="E79" s="6" t="s">
        <v>212</v>
      </c>
      <c r="F79" s="5">
        <f>VLOOKUP(E79,'Win Methods'!$C$4:$F$4992,4,FALSE)</f>
        <v>1.5</v>
      </c>
      <c r="G79" s="6" t="s">
        <v>208</v>
      </c>
      <c r="H79" s="5">
        <f>VLOOKUP(G79,'Win Methods'!$C$4:$F$4992,4,FALSE)</f>
        <v>0.1</v>
      </c>
      <c r="I79" s="6" t="s">
        <v>209</v>
      </c>
      <c r="J79" s="5">
        <f>VLOOKUP(I79,'Win Methods'!$C$4:$F$4992,4,FALSE)</f>
        <v>0.2</v>
      </c>
      <c r="K79" s="6" t="s">
        <v>209</v>
      </c>
      <c r="L79" s="5">
        <f>VLOOKUP(K79,'Win Methods'!$C$4:$F$4992,4,FALSE)</f>
        <v>0.2</v>
      </c>
      <c r="M79" s="6"/>
      <c r="N79" s="5">
        <f>VLOOKUP(M79,'Win Methods'!$C$4:$F$4992,4,FALSE)</f>
        <v>0</v>
      </c>
      <c r="O79" s="6"/>
      <c r="P79" s="5">
        <f>VLOOKUP(O79,'Win Methods'!$C$4:$F$4992,4,FALSE)</f>
        <v>0</v>
      </c>
      <c r="Q79" s="6"/>
      <c r="R79" s="5">
        <f>VLOOKUP(Q79,'Win Methods'!$C$4:$F$4992,4,FALSE)</f>
        <v>0</v>
      </c>
      <c r="S79" s="6"/>
      <c r="T79" s="5">
        <f>VLOOKUP(S79,'Win Methods'!$C$4:$F$4992,4,FALSE)</f>
        <v>0</v>
      </c>
      <c r="U79" s="6"/>
      <c r="V79" s="5">
        <f>VLOOKUP(U79,'Win Methods'!$C$4:$F$4992,4,FALSE)</f>
        <v>0</v>
      </c>
      <c r="W79" s="6"/>
      <c r="X79" s="5">
        <f>VLOOKUP(W79,'Win Methods'!$C$4:$F$4992,4,FALSE)</f>
        <v>0</v>
      </c>
      <c r="Y79" s="5" t="str">
        <f t="shared" si="4"/>
        <v>main-4|main-0|main-1|main-1|||||| x 1</v>
      </c>
    </row>
    <row r="80" spans="2:25">
      <c r="B80" s="5">
        <v>77</v>
      </c>
      <c r="C80" s="5">
        <f t="shared" si="3"/>
        <v>5</v>
      </c>
      <c r="D80" s="4">
        <v>1</v>
      </c>
      <c r="E80" s="6" t="s">
        <v>211</v>
      </c>
      <c r="F80" s="5">
        <f>VLOOKUP(E80,'Win Methods'!$C$4:$F$4992,4,FALSE)</f>
        <v>1</v>
      </c>
      <c r="G80" s="6" t="s">
        <v>212</v>
      </c>
      <c r="H80" s="5">
        <f>VLOOKUP(G80,'Win Methods'!$C$4:$F$4992,4,FALSE)</f>
        <v>1.5</v>
      </c>
      <c r="I80" s="6" t="s">
        <v>210</v>
      </c>
      <c r="J80" s="5">
        <f>VLOOKUP(I80,'Win Methods'!$C$4:$F$4992,4,FALSE)</f>
        <v>0.5</v>
      </c>
      <c r="K80" s="6" t="s">
        <v>229</v>
      </c>
      <c r="L80" s="5">
        <f>VLOOKUP(K80,'Win Methods'!$C$4:$F$4992,4,FALSE)</f>
        <v>2</v>
      </c>
      <c r="M80" s="6"/>
      <c r="N80" s="5">
        <f>VLOOKUP(M80,'Win Methods'!$C$4:$F$4992,4,FALSE)</f>
        <v>0</v>
      </c>
      <c r="O80" s="6"/>
      <c r="P80" s="5">
        <f>VLOOKUP(O80,'Win Methods'!$C$4:$F$4992,4,FALSE)</f>
        <v>0</v>
      </c>
      <c r="Q80" s="6"/>
      <c r="R80" s="5">
        <f>VLOOKUP(Q80,'Win Methods'!$C$4:$F$4992,4,FALSE)</f>
        <v>0</v>
      </c>
      <c r="S80" s="6"/>
      <c r="T80" s="5">
        <f>VLOOKUP(S80,'Win Methods'!$C$4:$F$4992,4,FALSE)</f>
        <v>0</v>
      </c>
      <c r="U80" s="6"/>
      <c r="V80" s="5">
        <f>VLOOKUP(U80,'Win Methods'!$C$4:$F$4992,4,FALSE)</f>
        <v>0</v>
      </c>
      <c r="W80" s="6"/>
      <c r="X80" s="5">
        <f>VLOOKUP(W80,'Win Methods'!$C$4:$F$4992,4,FALSE)</f>
        <v>0</v>
      </c>
      <c r="Y80" s="5" t="str">
        <f t="shared" si="4"/>
        <v>main-3|main-4|main-2|main-21|||||| x 1</v>
      </c>
    </row>
    <row r="81" spans="2:25">
      <c r="B81" s="5">
        <v>78</v>
      </c>
      <c r="C81" s="5">
        <f t="shared" si="3"/>
        <v>20</v>
      </c>
      <c r="D81" s="4">
        <v>1</v>
      </c>
      <c r="E81" s="6" t="s">
        <v>213</v>
      </c>
      <c r="F81" s="5">
        <f>VLOOKUP(E81,'Win Methods'!$C$4:$F$4992,4,FALSE)</f>
        <v>2</v>
      </c>
      <c r="G81" s="6" t="s">
        <v>211</v>
      </c>
      <c r="H81" s="5">
        <f>VLOOKUP(G81,'Win Methods'!$C$4:$F$4992,4,FALSE)</f>
        <v>1</v>
      </c>
      <c r="I81" s="6" t="s">
        <v>213</v>
      </c>
      <c r="J81" s="5">
        <f>VLOOKUP(I81,'Win Methods'!$C$4:$F$4992,4,FALSE)</f>
        <v>2</v>
      </c>
      <c r="K81" s="6" t="s">
        <v>223</v>
      </c>
      <c r="L81" s="5">
        <f>VLOOKUP(K81,'Win Methods'!$C$4:$F$4992,4,FALSE)</f>
        <v>15</v>
      </c>
      <c r="M81" s="6"/>
      <c r="N81" s="5">
        <f>VLOOKUP(M81,'Win Methods'!$C$4:$F$4992,4,FALSE)</f>
        <v>0</v>
      </c>
      <c r="O81" s="6"/>
      <c r="P81" s="5">
        <f>VLOOKUP(O81,'Win Methods'!$C$4:$F$4992,4,FALSE)</f>
        <v>0</v>
      </c>
      <c r="Q81" s="6"/>
      <c r="R81" s="5">
        <f>VLOOKUP(Q81,'Win Methods'!$C$4:$F$4992,4,FALSE)</f>
        <v>0</v>
      </c>
      <c r="S81" s="6"/>
      <c r="T81" s="5">
        <f>VLOOKUP(S81,'Win Methods'!$C$4:$F$4992,4,FALSE)</f>
        <v>0</v>
      </c>
      <c r="U81" s="6"/>
      <c r="V81" s="5">
        <f>VLOOKUP(U81,'Win Methods'!$C$4:$F$4992,4,FALSE)</f>
        <v>0</v>
      </c>
      <c r="W81" s="6"/>
      <c r="X81" s="5">
        <f>VLOOKUP(W81,'Win Methods'!$C$4:$F$4992,4,FALSE)</f>
        <v>0</v>
      </c>
      <c r="Y81" s="5" t="str">
        <f t="shared" si="4"/>
        <v>main-5|main-3|main-5|main-15|||||| x 1</v>
      </c>
    </row>
    <row r="82" spans="2:25">
      <c r="B82" s="5">
        <v>79</v>
      </c>
      <c r="C82" s="5">
        <f t="shared" si="3"/>
        <v>32</v>
      </c>
      <c r="D82" s="4">
        <v>1</v>
      </c>
      <c r="E82" s="6" t="s">
        <v>213</v>
      </c>
      <c r="F82" s="5">
        <f>VLOOKUP(E82,'Win Methods'!$C$4:$F$4992,4,FALSE)</f>
        <v>2</v>
      </c>
      <c r="G82" s="6" t="s">
        <v>221</v>
      </c>
      <c r="H82" s="5">
        <f>VLOOKUP(G82,'Win Methods'!$C$4:$F$4992,4,FALSE)</f>
        <v>5</v>
      </c>
      <c r="I82" s="6" t="s">
        <v>233</v>
      </c>
      <c r="J82" s="5">
        <f>VLOOKUP(I82,'Win Methods'!$C$4:$F$4992,4,FALSE)</f>
        <v>20</v>
      </c>
      <c r="K82" s="6" t="s">
        <v>230</v>
      </c>
      <c r="L82" s="5">
        <f>VLOOKUP(K82,'Win Methods'!$C$4:$F$4992,4,FALSE)</f>
        <v>5</v>
      </c>
      <c r="M82" s="6"/>
      <c r="N82" s="5">
        <f>VLOOKUP(M82,'Win Methods'!$C$4:$F$4992,4,FALSE)</f>
        <v>0</v>
      </c>
      <c r="O82" s="6"/>
      <c r="P82" s="5">
        <f>VLOOKUP(O82,'Win Methods'!$C$4:$F$4992,4,FALSE)</f>
        <v>0</v>
      </c>
      <c r="Q82" s="6"/>
      <c r="R82" s="5">
        <f>VLOOKUP(Q82,'Win Methods'!$C$4:$F$4992,4,FALSE)</f>
        <v>0</v>
      </c>
      <c r="S82" s="6"/>
      <c r="T82" s="5">
        <f>VLOOKUP(S82,'Win Methods'!$C$4:$F$4992,4,FALSE)</f>
        <v>0</v>
      </c>
      <c r="U82" s="6"/>
      <c r="V82" s="5">
        <f>VLOOKUP(U82,'Win Methods'!$C$4:$F$4992,4,FALSE)</f>
        <v>0</v>
      </c>
      <c r="W82" s="6"/>
      <c r="X82" s="5">
        <f>VLOOKUP(W82,'Win Methods'!$C$4:$F$4992,4,FALSE)</f>
        <v>0</v>
      </c>
      <c r="Y82" s="5" t="str">
        <f t="shared" si="4"/>
        <v>main-5|main-13|main-25|main-22|||||| x 1</v>
      </c>
    </row>
    <row r="83" spans="2:25">
      <c r="B83" s="5">
        <v>80</v>
      </c>
      <c r="C83" s="5">
        <f t="shared" si="3"/>
        <v>50</v>
      </c>
      <c r="D83" s="4">
        <v>1</v>
      </c>
      <c r="E83" s="6" t="s">
        <v>230</v>
      </c>
      <c r="F83" s="5">
        <f>VLOOKUP(E83,'Win Methods'!$C$4:$F$4992,4,FALSE)</f>
        <v>5</v>
      </c>
      <c r="G83" s="6" t="s">
        <v>221</v>
      </c>
      <c r="H83" s="5">
        <f>VLOOKUP(G83,'Win Methods'!$C$4:$F$4992,4,FALSE)</f>
        <v>5</v>
      </c>
      <c r="I83" s="6" t="s">
        <v>242</v>
      </c>
      <c r="J83" s="5">
        <f>VLOOKUP(I83,'Win Methods'!$C$4:$F$4992,4,FALSE)</f>
        <v>20</v>
      </c>
      <c r="K83" s="6" t="s">
        <v>233</v>
      </c>
      <c r="L83" s="5">
        <f>VLOOKUP(K83,'Win Methods'!$C$4:$F$4992,4,FALSE)</f>
        <v>20</v>
      </c>
      <c r="M83" s="6"/>
      <c r="N83" s="5">
        <f>VLOOKUP(M83,'Win Methods'!$C$4:$F$4992,4,FALSE)</f>
        <v>0</v>
      </c>
      <c r="O83" s="6"/>
      <c r="P83" s="5">
        <f>VLOOKUP(O83,'Win Methods'!$C$4:$F$4992,4,FALSE)</f>
        <v>0</v>
      </c>
      <c r="Q83" s="6"/>
      <c r="R83" s="5">
        <f>VLOOKUP(Q83,'Win Methods'!$C$4:$F$4992,4,FALSE)</f>
        <v>0</v>
      </c>
      <c r="S83" s="6"/>
      <c r="T83" s="5">
        <f>VLOOKUP(S83,'Win Methods'!$C$4:$F$4992,4,FALSE)</f>
        <v>0</v>
      </c>
      <c r="U83" s="6"/>
      <c r="V83" s="5">
        <f>VLOOKUP(U83,'Win Methods'!$C$4:$F$4992,4,FALSE)</f>
        <v>0</v>
      </c>
      <c r="W83" s="6"/>
      <c r="X83" s="5">
        <f>VLOOKUP(W83,'Win Methods'!$C$4:$F$4992,4,FALSE)</f>
        <v>0</v>
      </c>
      <c r="Y83" s="5" t="str">
        <f t="shared" si="4"/>
        <v>main-22|main-13|main-34|main-25|||||| x 1</v>
      </c>
    </row>
    <row r="84" spans="2:25">
      <c r="B84" s="5">
        <v>81</v>
      </c>
      <c r="C84" s="5">
        <f t="shared" si="3"/>
        <v>4.5</v>
      </c>
      <c r="D84" s="4">
        <v>1</v>
      </c>
      <c r="E84" s="6" t="s">
        <v>211</v>
      </c>
      <c r="F84" s="5">
        <f>VLOOKUP(E84,'Win Methods'!$C$4:$F$4992,4,FALSE)</f>
        <v>1</v>
      </c>
      <c r="G84" s="6" t="s">
        <v>220</v>
      </c>
      <c r="H84" s="5">
        <f>VLOOKUP(G84,'Win Methods'!$C$4:$F$4992,4,FALSE)</f>
        <v>2</v>
      </c>
      <c r="I84" s="6" t="s">
        <v>211</v>
      </c>
      <c r="J84" s="5">
        <f>VLOOKUP(I84,'Win Methods'!$C$4:$F$4992,4,FALSE)</f>
        <v>1</v>
      </c>
      <c r="K84" s="6" t="s">
        <v>210</v>
      </c>
      <c r="L84" s="5">
        <f>VLOOKUP(K84,'Win Methods'!$C$4:$F$4992,4,FALSE)</f>
        <v>0.5</v>
      </c>
      <c r="M84" s="6"/>
      <c r="N84" s="5">
        <f>VLOOKUP(M84,'Win Methods'!$C$4:$F$4992,4,FALSE)</f>
        <v>0</v>
      </c>
      <c r="O84" s="6"/>
      <c r="P84" s="5">
        <f>VLOOKUP(O84,'Win Methods'!$C$4:$F$4992,4,FALSE)</f>
        <v>0</v>
      </c>
      <c r="Q84" s="6"/>
      <c r="R84" s="5">
        <f>VLOOKUP(Q84,'Win Methods'!$C$4:$F$4992,4,FALSE)</f>
        <v>0</v>
      </c>
      <c r="S84" s="6"/>
      <c r="T84" s="5">
        <f>VLOOKUP(S84,'Win Methods'!$C$4:$F$4992,4,FALSE)</f>
        <v>0</v>
      </c>
      <c r="U84" s="6"/>
      <c r="V84" s="5">
        <f>VLOOKUP(U84,'Win Methods'!$C$4:$F$4992,4,FALSE)</f>
        <v>0</v>
      </c>
      <c r="W84" s="6"/>
      <c r="X84" s="5">
        <f>VLOOKUP(W84,'Win Methods'!$C$4:$F$4992,4,FALSE)</f>
        <v>0</v>
      </c>
      <c r="Y84" s="5" t="str">
        <f t="shared" si="4"/>
        <v>main-3|main-12|main-3|main-2|||||| x 1</v>
      </c>
    </row>
    <row r="85" spans="2:25">
      <c r="B85" s="5">
        <v>82</v>
      </c>
      <c r="C85" s="5">
        <f t="shared" si="3"/>
        <v>10</v>
      </c>
      <c r="D85" s="4">
        <v>1</v>
      </c>
      <c r="E85" s="6" t="s">
        <v>216</v>
      </c>
      <c r="F85" s="5">
        <f>VLOOKUP(E85,'Win Methods'!$C$4:$F$4992,4,FALSE)</f>
        <v>5</v>
      </c>
      <c r="G85" s="6" t="s">
        <v>213</v>
      </c>
      <c r="H85" s="5">
        <f>VLOOKUP(G85,'Win Methods'!$C$4:$F$4992,4,FALSE)</f>
        <v>2</v>
      </c>
      <c r="I85" s="6" t="s">
        <v>220</v>
      </c>
      <c r="J85" s="5">
        <f>VLOOKUP(I85,'Win Methods'!$C$4:$F$4992,4,FALSE)</f>
        <v>2</v>
      </c>
      <c r="K85" s="6" t="s">
        <v>211</v>
      </c>
      <c r="L85" s="5">
        <f>VLOOKUP(K85,'Win Methods'!$C$4:$F$4992,4,FALSE)</f>
        <v>1</v>
      </c>
      <c r="M85" s="6"/>
      <c r="N85" s="5">
        <f>VLOOKUP(M85,'Win Methods'!$C$4:$F$4992,4,FALSE)</f>
        <v>0</v>
      </c>
      <c r="O85" s="6"/>
      <c r="P85" s="5">
        <f>VLOOKUP(O85,'Win Methods'!$C$4:$F$4992,4,FALSE)</f>
        <v>0</v>
      </c>
      <c r="Q85" s="6"/>
      <c r="R85" s="5">
        <f>VLOOKUP(Q85,'Win Methods'!$C$4:$F$4992,4,FALSE)</f>
        <v>0</v>
      </c>
      <c r="S85" s="6"/>
      <c r="T85" s="5">
        <f>VLOOKUP(S85,'Win Methods'!$C$4:$F$4992,4,FALSE)</f>
        <v>0</v>
      </c>
      <c r="U85" s="6"/>
      <c r="V85" s="5">
        <f>VLOOKUP(U85,'Win Methods'!$C$4:$F$4992,4,FALSE)</f>
        <v>0</v>
      </c>
      <c r="W85" s="6"/>
      <c r="X85" s="5">
        <f>VLOOKUP(W85,'Win Methods'!$C$4:$F$4992,4,FALSE)</f>
        <v>0</v>
      </c>
      <c r="Y85" s="5" t="str">
        <f t="shared" si="4"/>
        <v>main-8|main-5|main-12|main-3|||||| x 1</v>
      </c>
    </row>
    <row r="86" spans="2:25">
      <c r="B86" s="5">
        <v>83</v>
      </c>
      <c r="C86" s="5">
        <f t="shared" si="3"/>
        <v>28</v>
      </c>
      <c r="D86" s="4">
        <v>1</v>
      </c>
      <c r="E86" s="6" t="s">
        <v>217</v>
      </c>
      <c r="F86" s="5">
        <f>VLOOKUP(E86,'Win Methods'!$C$4:$F$4992,4,FALSE)</f>
        <v>10</v>
      </c>
      <c r="G86" s="6" t="s">
        <v>212</v>
      </c>
      <c r="H86" s="5">
        <f>VLOOKUP(G86,'Win Methods'!$C$4:$F$4992,4,FALSE)</f>
        <v>1.5</v>
      </c>
      <c r="I86" s="6" t="s">
        <v>219</v>
      </c>
      <c r="J86" s="5">
        <f>VLOOKUP(I86,'Win Methods'!$C$4:$F$4992,4,FALSE)</f>
        <v>1.5</v>
      </c>
      <c r="K86" s="6" t="s">
        <v>223</v>
      </c>
      <c r="L86" s="5">
        <f>VLOOKUP(K86,'Win Methods'!$C$4:$F$4992,4,FALSE)</f>
        <v>15</v>
      </c>
      <c r="M86" s="6"/>
      <c r="N86" s="5">
        <f>VLOOKUP(M86,'Win Methods'!$C$4:$F$4992,4,FALSE)</f>
        <v>0</v>
      </c>
      <c r="O86" s="6"/>
      <c r="P86" s="5">
        <f>VLOOKUP(O86,'Win Methods'!$C$4:$F$4992,4,FALSE)</f>
        <v>0</v>
      </c>
      <c r="Q86" s="6"/>
      <c r="R86" s="5">
        <f>VLOOKUP(Q86,'Win Methods'!$C$4:$F$4992,4,FALSE)</f>
        <v>0</v>
      </c>
      <c r="S86" s="6"/>
      <c r="T86" s="5">
        <f>VLOOKUP(S86,'Win Methods'!$C$4:$F$4992,4,FALSE)</f>
        <v>0</v>
      </c>
      <c r="U86" s="6"/>
      <c r="V86" s="5">
        <f>VLOOKUP(U86,'Win Methods'!$C$4:$F$4992,4,FALSE)</f>
        <v>0</v>
      </c>
      <c r="W86" s="6"/>
      <c r="X86" s="5">
        <f>VLOOKUP(W86,'Win Methods'!$C$4:$F$4992,4,FALSE)</f>
        <v>0</v>
      </c>
      <c r="Y86" s="5" t="str">
        <f t="shared" si="4"/>
        <v>main-9|main-4|main-11|main-15|||||| x 1</v>
      </c>
    </row>
    <row r="87" spans="2:25">
      <c r="B87" s="5">
        <v>84</v>
      </c>
      <c r="C87" s="5">
        <f t="shared" si="3"/>
        <v>27</v>
      </c>
      <c r="D87" s="4">
        <v>1</v>
      </c>
      <c r="E87" s="6" t="s">
        <v>212</v>
      </c>
      <c r="F87" s="5">
        <f>VLOOKUP(E87,'Win Methods'!$C$4:$F$4992,4,FALSE)</f>
        <v>1.5</v>
      </c>
      <c r="G87" s="6" t="s">
        <v>233</v>
      </c>
      <c r="H87" s="5">
        <f>VLOOKUP(G87,'Win Methods'!$C$4:$F$4992,4,FALSE)</f>
        <v>20</v>
      </c>
      <c r="I87" s="6" t="s">
        <v>216</v>
      </c>
      <c r="J87" s="5">
        <f>VLOOKUP(I87,'Win Methods'!$C$4:$F$4992,4,FALSE)</f>
        <v>5</v>
      </c>
      <c r="K87" s="6" t="s">
        <v>210</v>
      </c>
      <c r="L87" s="5">
        <f>VLOOKUP(K87,'Win Methods'!$C$4:$F$4992,4,FALSE)</f>
        <v>0.5</v>
      </c>
      <c r="M87" s="6"/>
      <c r="N87" s="5">
        <f>VLOOKUP(M87,'Win Methods'!$C$4:$F$4992,4,FALSE)</f>
        <v>0</v>
      </c>
      <c r="O87" s="6"/>
      <c r="P87" s="5">
        <f>VLOOKUP(O87,'Win Methods'!$C$4:$F$4992,4,FALSE)</f>
        <v>0</v>
      </c>
      <c r="Q87" s="6"/>
      <c r="R87" s="5">
        <f>VLOOKUP(Q87,'Win Methods'!$C$4:$F$4992,4,FALSE)</f>
        <v>0</v>
      </c>
      <c r="S87" s="6"/>
      <c r="T87" s="5">
        <f>VLOOKUP(S87,'Win Methods'!$C$4:$F$4992,4,FALSE)</f>
        <v>0</v>
      </c>
      <c r="U87" s="6"/>
      <c r="V87" s="5">
        <f>VLOOKUP(U87,'Win Methods'!$C$4:$F$4992,4,FALSE)</f>
        <v>0</v>
      </c>
      <c r="W87" s="6"/>
      <c r="X87" s="5">
        <f>VLOOKUP(W87,'Win Methods'!$C$4:$F$4992,4,FALSE)</f>
        <v>0</v>
      </c>
      <c r="Y87" s="5" t="str">
        <f t="shared" si="4"/>
        <v>main-4|main-25|main-8|main-2|||||| x 1</v>
      </c>
    </row>
    <row r="88" spans="2:25">
      <c r="B88" s="5">
        <v>85</v>
      </c>
      <c r="C88" s="5">
        <f t="shared" si="3"/>
        <v>6</v>
      </c>
      <c r="D88" s="4">
        <v>1</v>
      </c>
      <c r="E88" s="6" t="s">
        <v>212</v>
      </c>
      <c r="F88" s="5">
        <f>VLOOKUP(E88,'Win Methods'!$C$4:$F$4992,4,FALSE)</f>
        <v>1.5</v>
      </c>
      <c r="G88" s="6" t="s">
        <v>210</v>
      </c>
      <c r="H88" s="5">
        <f>VLOOKUP(G88,'Win Methods'!$C$4:$F$4992,4,FALSE)</f>
        <v>0.5</v>
      </c>
      <c r="I88" s="6" t="s">
        <v>213</v>
      </c>
      <c r="J88" s="5">
        <f>VLOOKUP(I88,'Win Methods'!$C$4:$F$4992,4,FALSE)</f>
        <v>2</v>
      </c>
      <c r="K88" s="6" t="s">
        <v>211</v>
      </c>
      <c r="L88" s="5">
        <f>VLOOKUP(K88,'Win Methods'!$C$4:$F$4992,4,FALSE)</f>
        <v>1</v>
      </c>
      <c r="M88" s="6" t="s">
        <v>211</v>
      </c>
      <c r="N88" s="5">
        <f>VLOOKUP(M88,'Win Methods'!$C$4:$F$4992,4,FALSE)</f>
        <v>1</v>
      </c>
      <c r="O88" s="6"/>
      <c r="P88" s="5">
        <f>VLOOKUP(O88,'Win Methods'!$C$4:$F$4992,4,FALSE)</f>
        <v>0</v>
      </c>
      <c r="Q88" s="6"/>
      <c r="R88" s="5">
        <f>VLOOKUP(Q88,'Win Methods'!$C$4:$F$4992,4,FALSE)</f>
        <v>0</v>
      </c>
      <c r="S88" s="6"/>
      <c r="T88" s="5">
        <f>VLOOKUP(S88,'Win Methods'!$C$4:$F$4992,4,FALSE)</f>
        <v>0</v>
      </c>
      <c r="U88" s="6"/>
      <c r="V88" s="5">
        <f>VLOOKUP(U88,'Win Methods'!$C$4:$F$4992,4,FALSE)</f>
        <v>0</v>
      </c>
      <c r="W88" s="6"/>
      <c r="X88" s="5">
        <f>VLOOKUP(W88,'Win Methods'!$C$4:$F$4992,4,FALSE)</f>
        <v>0</v>
      </c>
      <c r="Y88" s="5" t="str">
        <f t="shared" si="4"/>
        <v>main-4|main-2|main-5|main-3|main-3||||| x 1</v>
      </c>
    </row>
    <row r="89" spans="2:25">
      <c r="B89" s="5">
        <v>86</v>
      </c>
      <c r="C89" s="5">
        <f t="shared" si="3"/>
        <v>21</v>
      </c>
      <c r="D89" s="4">
        <v>1</v>
      </c>
      <c r="E89" s="6" t="s">
        <v>223</v>
      </c>
      <c r="F89" s="5">
        <f>VLOOKUP(E89,'Win Methods'!$C$4:$F$4992,4,FALSE)</f>
        <v>15</v>
      </c>
      <c r="G89" s="6" t="s">
        <v>213</v>
      </c>
      <c r="H89" s="5">
        <f>VLOOKUP(G89,'Win Methods'!$C$4:$F$4992,4,FALSE)</f>
        <v>2</v>
      </c>
      <c r="I89" s="6" t="s">
        <v>210</v>
      </c>
      <c r="J89" s="5">
        <f>VLOOKUP(I89,'Win Methods'!$C$4:$F$4992,4,FALSE)</f>
        <v>0.5</v>
      </c>
      <c r="K89" s="6" t="s">
        <v>220</v>
      </c>
      <c r="L89" s="5">
        <f>VLOOKUP(K89,'Win Methods'!$C$4:$F$4992,4,FALSE)</f>
        <v>2</v>
      </c>
      <c r="M89" s="6" t="s">
        <v>212</v>
      </c>
      <c r="N89" s="5">
        <f>VLOOKUP(M89,'Win Methods'!$C$4:$F$4992,4,FALSE)</f>
        <v>1.5</v>
      </c>
      <c r="O89" s="6"/>
      <c r="P89" s="5">
        <f>VLOOKUP(O89,'Win Methods'!$C$4:$F$4992,4,FALSE)</f>
        <v>0</v>
      </c>
      <c r="Q89" s="6"/>
      <c r="R89" s="5">
        <f>VLOOKUP(Q89,'Win Methods'!$C$4:$F$4992,4,FALSE)</f>
        <v>0</v>
      </c>
      <c r="S89" s="6"/>
      <c r="T89" s="5">
        <f>VLOOKUP(S89,'Win Methods'!$C$4:$F$4992,4,FALSE)</f>
        <v>0</v>
      </c>
      <c r="U89" s="6"/>
      <c r="V89" s="5">
        <f>VLOOKUP(U89,'Win Methods'!$C$4:$F$4992,4,FALSE)</f>
        <v>0</v>
      </c>
      <c r="W89" s="6"/>
      <c r="X89" s="5">
        <f>VLOOKUP(W89,'Win Methods'!$C$4:$F$4992,4,FALSE)</f>
        <v>0</v>
      </c>
      <c r="Y89" s="5" t="str">
        <f t="shared" si="4"/>
        <v>main-15|main-5|main-2|main-12|main-4||||| x 1</v>
      </c>
    </row>
    <row r="90" spans="2:25">
      <c r="B90" s="5">
        <v>87</v>
      </c>
      <c r="C90" s="5">
        <f t="shared" si="3"/>
        <v>28.5</v>
      </c>
      <c r="D90" s="4">
        <v>1</v>
      </c>
      <c r="E90" s="6" t="s">
        <v>211</v>
      </c>
      <c r="F90" s="5">
        <f>VLOOKUP(E90,'Win Methods'!$C$4:$F$4992,4,FALSE)</f>
        <v>1</v>
      </c>
      <c r="G90" s="6" t="s">
        <v>239</v>
      </c>
      <c r="H90" s="5">
        <f>VLOOKUP(G90,'Win Methods'!$C$4:$F$4992,4,FALSE)</f>
        <v>5</v>
      </c>
      <c r="I90" s="6" t="s">
        <v>212</v>
      </c>
      <c r="J90" s="5">
        <f>VLOOKUP(I90,'Win Methods'!$C$4:$F$4992,4,FALSE)</f>
        <v>1.5</v>
      </c>
      <c r="K90" s="6" t="s">
        <v>224</v>
      </c>
      <c r="L90" s="5">
        <f>VLOOKUP(K90,'Win Methods'!$C$4:$F$4992,4,FALSE)</f>
        <v>20</v>
      </c>
      <c r="M90" s="6" t="s">
        <v>211</v>
      </c>
      <c r="N90" s="5">
        <f>VLOOKUP(M90,'Win Methods'!$C$4:$F$4992,4,FALSE)</f>
        <v>1</v>
      </c>
      <c r="O90" s="6"/>
      <c r="P90" s="5">
        <f>VLOOKUP(O90,'Win Methods'!$C$4:$F$4992,4,FALSE)</f>
        <v>0</v>
      </c>
      <c r="Q90" s="6"/>
      <c r="R90" s="5">
        <f>VLOOKUP(Q90,'Win Methods'!$C$4:$F$4992,4,FALSE)</f>
        <v>0</v>
      </c>
      <c r="S90" s="6"/>
      <c r="T90" s="5">
        <f>VLOOKUP(S90,'Win Methods'!$C$4:$F$4992,4,FALSE)</f>
        <v>0</v>
      </c>
      <c r="U90" s="6"/>
      <c r="V90" s="5">
        <f>VLOOKUP(U90,'Win Methods'!$C$4:$F$4992,4,FALSE)</f>
        <v>0</v>
      </c>
      <c r="W90" s="6"/>
      <c r="X90" s="5">
        <f>VLOOKUP(W90,'Win Methods'!$C$4:$F$4992,4,FALSE)</f>
        <v>0</v>
      </c>
      <c r="Y90" s="5" t="str">
        <f t="shared" si="4"/>
        <v>main-3|main-31|main-4|main-16|main-3||||| x 1</v>
      </c>
    </row>
    <row r="91" spans="2:25">
      <c r="B91" s="5">
        <v>88</v>
      </c>
      <c r="C91" s="5">
        <f t="shared" si="3"/>
        <v>10</v>
      </c>
      <c r="D91" s="4">
        <v>1</v>
      </c>
      <c r="E91" s="6" t="s">
        <v>211</v>
      </c>
      <c r="F91" s="5">
        <f>VLOOKUP(E91,'Win Methods'!$C$4:$F$4992,4,FALSE)</f>
        <v>1</v>
      </c>
      <c r="G91" s="6" t="s">
        <v>212</v>
      </c>
      <c r="H91" s="5">
        <f>VLOOKUP(G91,'Win Methods'!$C$4:$F$4992,4,FALSE)</f>
        <v>1.5</v>
      </c>
      <c r="I91" s="6" t="s">
        <v>210</v>
      </c>
      <c r="J91" s="5">
        <f>VLOOKUP(I91,'Win Methods'!$C$4:$F$4992,4,FALSE)</f>
        <v>0.5</v>
      </c>
      <c r="K91" s="6" t="s">
        <v>216</v>
      </c>
      <c r="L91" s="5">
        <f>VLOOKUP(K91,'Win Methods'!$C$4:$F$4992,4,FALSE)</f>
        <v>5</v>
      </c>
      <c r="M91" s="6" t="s">
        <v>213</v>
      </c>
      <c r="N91" s="5">
        <f>VLOOKUP(M91,'Win Methods'!$C$4:$F$4992,4,FALSE)</f>
        <v>2</v>
      </c>
      <c r="O91" s="6"/>
      <c r="P91" s="5">
        <f>VLOOKUP(O91,'Win Methods'!$C$4:$F$4992,4,FALSE)</f>
        <v>0</v>
      </c>
      <c r="Q91" s="6"/>
      <c r="R91" s="5">
        <f>VLOOKUP(Q91,'Win Methods'!$C$4:$F$4992,4,FALSE)</f>
        <v>0</v>
      </c>
      <c r="S91" s="6"/>
      <c r="T91" s="5">
        <f>VLOOKUP(S91,'Win Methods'!$C$4:$F$4992,4,FALSE)</f>
        <v>0</v>
      </c>
      <c r="U91" s="6"/>
      <c r="V91" s="5">
        <f>VLOOKUP(U91,'Win Methods'!$C$4:$F$4992,4,FALSE)</f>
        <v>0</v>
      </c>
      <c r="W91" s="6"/>
      <c r="X91" s="5">
        <f>VLOOKUP(W91,'Win Methods'!$C$4:$F$4992,4,FALSE)</f>
        <v>0</v>
      </c>
      <c r="Y91" s="5" t="str">
        <f t="shared" si="4"/>
        <v>main-3|main-4|main-2|main-8|main-5||||| x 1</v>
      </c>
    </row>
    <row r="92" spans="2:25">
      <c r="B92" s="5">
        <v>89</v>
      </c>
      <c r="C92" s="5">
        <f t="shared" si="3"/>
        <v>24</v>
      </c>
      <c r="D92" s="4">
        <v>1</v>
      </c>
      <c r="E92" s="6" t="s">
        <v>214</v>
      </c>
      <c r="F92" s="5">
        <f>VLOOKUP(E92,'Win Methods'!$C$4:$F$4992,4,FALSE)</f>
        <v>2.5</v>
      </c>
      <c r="G92" s="6" t="s">
        <v>240</v>
      </c>
      <c r="H92" s="5">
        <f>VLOOKUP(G92,'Win Methods'!$C$4:$F$4992,4,FALSE)</f>
        <v>10</v>
      </c>
      <c r="I92" s="6" t="s">
        <v>239</v>
      </c>
      <c r="J92" s="5">
        <f>VLOOKUP(I92,'Win Methods'!$C$4:$F$4992,4,FALSE)</f>
        <v>5</v>
      </c>
      <c r="K92" s="6" t="s">
        <v>216</v>
      </c>
      <c r="L92" s="5">
        <f>VLOOKUP(K92,'Win Methods'!$C$4:$F$4992,4,FALSE)</f>
        <v>5</v>
      </c>
      <c r="M92" s="6" t="s">
        <v>212</v>
      </c>
      <c r="N92" s="5">
        <f>VLOOKUP(M92,'Win Methods'!$C$4:$F$4992,4,FALSE)</f>
        <v>1.5</v>
      </c>
      <c r="O92" s="6"/>
      <c r="P92" s="5">
        <f>VLOOKUP(O92,'Win Methods'!$C$4:$F$4992,4,FALSE)</f>
        <v>0</v>
      </c>
      <c r="Q92" s="6"/>
      <c r="R92" s="5">
        <f>VLOOKUP(Q92,'Win Methods'!$C$4:$F$4992,4,FALSE)</f>
        <v>0</v>
      </c>
      <c r="S92" s="6"/>
      <c r="T92" s="5">
        <f>VLOOKUP(S92,'Win Methods'!$C$4:$F$4992,4,FALSE)</f>
        <v>0</v>
      </c>
      <c r="U92" s="6"/>
      <c r="V92" s="5">
        <f>VLOOKUP(U92,'Win Methods'!$C$4:$F$4992,4,FALSE)</f>
        <v>0</v>
      </c>
      <c r="W92" s="6"/>
      <c r="X92" s="5">
        <f>VLOOKUP(W92,'Win Methods'!$C$4:$F$4992,4,FALSE)</f>
        <v>0</v>
      </c>
      <c r="Y92" s="5" t="str">
        <f t="shared" si="4"/>
        <v>main-6|main-32|main-31|main-8|main-4||||| x 1</v>
      </c>
    </row>
    <row r="93" spans="2:25">
      <c r="B93" s="5">
        <v>90</v>
      </c>
      <c r="C93" s="5">
        <f t="shared" si="3"/>
        <v>25.5</v>
      </c>
      <c r="D93" s="4">
        <v>1</v>
      </c>
      <c r="E93" s="6" t="s">
        <v>212</v>
      </c>
      <c r="F93" s="5">
        <f>VLOOKUP(E93,'Win Methods'!$C$4:$F$4992,4,FALSE)</f>
        <v>1.5</v>
      </c>
      <c r="G93" s="6" t="s">
        <v>212</v>
      </c>
      <c r="H93" s="5">
        <f>VLOOKUP(G93,'Win Methods'!$C$4:$F$4992,4,FALSE)</f>
        <v>1.5</v>
      </c>
      <c r="I93" s="6" t="s">
        <v>212</v>
      </c>
      <c r="J93" s="5">
        <f>VLOOKUP(I93,'Win Methods'!$C$4:$F$4992,4,FALSE)</f>
        <v>1.5</v>
      </c>
      <c r="K93" s="6" t="s">
        <v>211</v>
      </c>
      <c r="L93" s="5">
        <f>VLOOKUP(K93,'Win Methods'!$C$4:$F$4992,4,FALSE)</f>
        <v>1</v>
      </c>
      <c r="M93" s="6" t="s">
        <v>242</v>
      </c>
      <c r="N93" s="5">
        <f>VLOOKUP(M93,'Win Methods'!$C$4:$F$4992,4,FALSE)</f>
        <v>20</v>
      </c>
      <c r="O93" s="6"/>
      <c r="P93" s="5">
        <f>VLOOKUP(O93,'Win Methods'!$C$4:$F$4992,4,FALSE)</f>
        <v>0</v>
      </c>
      <c r="Q93" s="6"/>
      <c r="R93" s="5">
        <f>VLOOKUP(Q93,'Win Methods'!$C$4:$F$4992,4,FALSE)</f>
        <v>0</v>
      </c>
      <c r="S93" s="6"/>
      <c r="T93" s="5">
        <f>VLOOKUP(S93,'Win Methods'!$C$4:$F$4992,4,FALSE)</f>
        <v>0</v>
      </c>
      <c r="U93" s="6"/>
      <c r="V93" s="5">
        <f>VLOOKUP(U93,'Win Methods'!$C$4:$F$4992,4,FALSE)</f>
        <v>0</v>
      </c>
      <c r="W93" s="6"/>
      <c r="X93" s="5">
        <f>VLOOKUP(W93,'Win Methods'!$C$4:$F$4992,4,FALSE)</f>
        <v>0</v>
      </c>
      <c r="Y93" s="5" t="str">
        <f t="shared" si="4"/>
        <v>main-4|main-4|main-4|main-3|main-34||||| x 1</v>
      </c>
    </row>
    <row r="94" spans="2:25">
      <c r="B94" s="5">
        <v>91</v>
      </c>
      <c r="C94" s="5">
        <f t="shared" si="3"/>
        <v>7.2</v>
      </c>
      <c r="D94" s="4">
        <v>1</v>
      </c>
      <c r="E94" s="6" t="s">
        <v>213</v>
      </c>
      <c r="F94" s="5">
        <f>VLOOKUP(E94,'Win Methods'!$C$4:$F$4992,4,FALSE)</f>
        <v>2</v>
      </c>
      <c r="G94" s="6" t="s">
        <v>229</v>
      </c>
      <c r="H94" s="5">
        <f>VLOOKUP(G94,'Win Methods'!$C$4:$F$4992,4,FALSE)</f>
        <v>2</v>
      </c>
      <c r="I94" s="6" t="s">
        <v>212</v>
      </c>
      <c r="J94" s="5">
        <f>VLOOKUP(I94,'Win Methods'!$C$4:$F$4992,4,FALSE)</f>
        <v>1.5</v>
      </c>
      <c r="K94" s="6" t="s">
        <v>212</v>
      </c>
      <c r="L94" s="5">
        <f>VLOOKUP(K94,'Win Methods'!$C$4:$F$4992,4,FALSE)</f>
        <v>1.5</v>
      </c>
      <c r="M94" s="6" t="s">
        <v>209</v>
      </c>
      <c r="N94" s="5">
        <f>VLOOKUP(M94,'Win Methods'!$C$4:$F$4992,4,FALSE)</f>
        <v>0.2</v>
      </c>
      <c r="O94" s="6"/>
      <c r="P94" s="5">
        <f>VLOOKUP(O94,'Win Methods'!$C$4:$F$4992,4,FALSE)</f>
        <v>0</v>
      </c>
      <c r="Q94" s="6"/>
      <c r="R94" s="5">
        <f>VLOOKUP(Q94,'Win Methods'!$C$4:$F$4992,4,FALSE)</f>
        <v>0</v>
      </c>
      <c r="S94" s="6"/>
      <c r="T94" s="5">
        <f>VLOOKUP(S94,'Win Methods'!$C$4:$F$4992,4,FALSE)</f>
        <v>0</v>
      </c>
      <c r="U94" s="6"/>
      <c r="V94" s="5">
        <f>VLOOKUP(U94,'Win Methods'!$C$4:$F$4992,4,FALSE)</f>
        <v>0</v>
      </c>
      <c r="W94" s="6"/>
      <c r="X94" s="5">
        <f>VLOOKUP(W94,'Win Methods'!$C$4:$F$4992,4,FALSE)</f>
        <v>0</v>
      </c>
      <c r="Y94" s="5" t="str">
        <f t="shared" si="4"/>
        <v>main-5|main-21|main-4|main-4|main-1||||| x 1</v>
      </c>
    </row>
    <row r="95" spans="2:25">
      <c r="B95" s="5">
        <v>92</v>
      </c>
      <c r="C95" s="5">
        <f t="shared" si="3"/>
        <v>18</v>
      </c>
      <c r="D95" s="4">
        <v>1</v>
      </c>
      <c r="E95" s="6" t="s">
        <v>215</v>
      </c>
      <c r="F95" s="5">
        <f>VLOOKUP(E95,'Win Methods'!$C$4:$F$4992,4,FALSE)</f>
        <v>3</v>
      </c>
      <c r="G95" s="6" t="s">
        <v>213</v>
      </c>
      <c r="H95" s="5">
        <f>VLOOKUP(G95,'Win Methods'!$C$4:$F$4992,4,FALSE)</f>
        <v>2</v>
      </c>
      <c r="I95" s="6" t="s">
        <v>213</v>
      </c>
      <c r="J95" s="5">
        <f>VLOOKUP(I95,'Win Methods'!$C$4:$F$4992,4,FALSE)</f>
        <v>2</v>
      </c>
      <c r="K95" s="6" t="s">
        <v>222</v>
      </c>
      <c r="L95" s="5">
        <f>VLOOKUP(K95,'Win Methods'!$C$4:$F$4992,4,FALSE)</f>
        <v>10</v>
      </c>
      <c r="M95" s="6" t="s">
        <v>211</v>
      </c>
      <c r="N95" s="5">
        <f>VLOOKUP(M95,'Win Methods'!$C$4:$F$4992,4,FALSE)</f>
        <v>1</v>
      </c>
      <c r="O95" s="6"/>
      <c r="P95" s="5">
        <f>VLOOKUP(O95,'Win Methods'!$C$4:$F$4992,4,FALSE)</f>
        <v>0</v>
      </c>
      <c r="Q95" s="6"/>
      <c r="R95" s="5">
        <f>VLOOKUP(Q95,'Win Methods'!$C$4:$F$4992,4,FALSE)</f>
        <v>0</v>
      </c>
      <c r="S95" s="6"/>
      <c r="T95" s="5">
        <f>VLOOKUP(S95,'Win Methods'!$C$4:$F$4992,4,FALSE)</f>
        <v>0</v>
      </c>
      <c r="U95" s="6"/>
      <c r="V95" s="5">
        <f>VLOOKUP(U95,'Win Methods'!$C$4:$F$4992,4,FALSE)</f>
        <v>0</v>
      </c>
      <c r="W95" s="6"/>
      <c r="X95" s="5">
        <f>VLOOKUP(W95,'Win Methods'!$C$4:$F$4992,4,FALSE)</f>
        <v>0</v>
      </c>
      <c r="Y95" s="5" t="str">
        <f t="shared" si="4"/>
        <v>main-7|main-5|main-5|main-14|main-3||||| x 1</v>
      </c>
    </row>
    <row r="96" spans="2:25">
      <c r="B96" s="5">
        <v>93</v>
      </c>
      <c r="C96" s="5">
        <f t="shared" si="3"/>
        <v>26</v>
      </c>
      <c r="D96" s="4">
        <v>1</v>
      </c>
      <c r="E96" s="6" t="s">
        <v>213</v>
      </c>
      <c r="F96" s="5">
        <f>VLOOKUP(E96,'Win Methods'!$C$4:$F$4992,4,FALSE)</f>
        <v>2</v>
      </c>
      <c r="G96" s="6" t="s">
        <v>211</v>
      </c>
      <c r="H96" s="5">
        <f>VLOOKUP(G96,'Win Methods'!$C$4:$F$4992,4,FALSE)</f>
        <v>1</v>
      </c>
      <c r="I96" s="6" t="s">
        <v>217</v>
      </c>
      <c r="J96" s="5">
        <f>VLOOKUP(I96,'Win Methods'!$C$4:$F$4992,4,FALSE)</f>
        <v>10</v>
      </c>
      <c r="K96" s="6" t="s">
        <v>240</v>
      </c>
      <c r="L96" s="5">
        <f>VLOOKUP(K96,'Win Methods'!$C$4:$F$4992,4,FALSE)</f>
        <v>10</v>
      </c>
      <c r="M96" s="6" t="s">
        <v>215</v>
      </c>
      <c r="N96" s="5">
        <f>VLOOKUP(M96,'Win Methods'!$C$4:$F$4992,4,FALSE)</f>
        <v>3</v>
      </c>
      <c r="O96" s="6"/>
      <c r="P96" s="5">
        <f>VLOOKUP(O96,'Win Methods'!$C$4:$F$4992,4,FALSE)</f>
        <v>0</v>
      </c>
      <c r="Q96" s="6"/>
      <c r="R96" s="5">
        <f>VLOOKUP(Q96,'Win Methods'!$C$4:$F$4992,4,FALSE)</f>
        <v>0</v>
      </c>
      <c r="S96" s="6"/>
      <c r="T96" s="5">
        <f>VLOOKUP(S96,'Win Methods'!$C$4:$F$4992,4,FALSE)</f>
        <v>0</v>
      </c>
      <c r="U96" s="6"/>
      <c r="V96" s="5">
        <f>VLOOKUP(U96,'Win Methods'!$C$4:$F$4992,4,FALSE)</f>
        <v>0</v>
      </c>
      <c r="W96" s="6"/>
      <c r="X96" s="5">
        <f>VLOOKUP(W96,'Win Methods'!$C$4:$F$4992,4,FALSE)</f>
        <v>0</v>
      </c>
      <c r="Y96" s="5" t="str">
        <f t="shared" si="4"/>
        <v>main-5|main-3|main-9|main-32|main-7||||| x 1</v>
      </c>
    </row>
    <row r="97" spans="2:25">
      <c r="B97" s="5">
        <v>94</v>
      </c>
      <c r="C97" s="5">
        <f t="shared" si="3"/>
        <v>24.5</v>
      </c>
      <c r="D97" s="4">
        <v>1</v>
      </c>
      <c r="E97" s="6" t="s">
        <v>210</v>
      </c>
      <c r="F97" s="5">
        <f>VLOOKUP(E97,'Win Methods'!$C$4:$F$4992,4,FALSE)</f>
        <v>0.5</v>
      </c>
      <c r="G97" s="6" t="s">
        <v>231</v>
      </c>
      <c r="H97" s="5">
        <f>VLOOKUP(G97,'Win Methods'!$C$4:$F$4992,4,FALSE)</f>
        <v>10</v>
      </c>
      <c r="I97" s="6" t="s">
        <v>211</v>
      </c>
      <c r="J97" s="5">
        <f>VLOOKUP(I97,'Win Methods'!$C$4:$F$4992,4,FALSE)</f>
        <v>1</v>
      </c>
      <c r="K97" s="6" t="s">
        <v>215</v>
      </c>
      <c r="L97" s="5">
        <f>VLOOKUP(K97,'Win Methods'!$C$4:$F$4992,4,FALSE)</f>
        <v>3</v>
      </c>
      <c r="M97" s="6" t="s">
        <v>222</v>
      </c>
      <c r="N97" s="5">
        <f>VLOOKUP(M97,'Win Methods'!$C$4:$F$4992,4,FALSE)</f>
        <v>10</v>
      </c>
      <c r="O97" s="6"/>
      <c r="P97" s="5">
        <f>VLOOKUP(O97,'Win Methods'!$C$4:$F$4992,4,FALSE)</f>
        <v>0</v>
      </c>
      <c r="Q97" s="6"/>
      <c r="R97" s="5">
        <f>VLOOKUP(Q97,'Win Methods'!$C$4:$F$4992,4,FALSE)</f>
        <v>0</v>
      </c>
      <c r="S97" s="6"/>
      <c r="T97" s="5">
        <f>VLOOKUP(S97,'Win Methods'!$C$4:$F$4992,4,FALSE)</f>
        <v>0</v>
      </c>
      <c r="U97" s="6"/>
      <c r="V97" s="5">
        <f>VLOOKUP(U97,'Win Methods'!$C$4:$F$4992,4,FALSE)</f>
        <v>0</v>
      </c>
      <c r="W97" s="6"/>
      <c r="X97" s="5">
        <f>VLOOKUP(W97,'Win Methods'!$C$4:$F$4992,4,FALSE)</f>
        <v>0</v>
      </c>
      <c r="Y97" s="5" t="str">
        <f t="shared" si="4"/>
        <v>main-2|main-23|main-3|main-7|main-14||||| x 1</v>
      </c>
    </row>
    <row r="98" spans="2:25">
      <c r="B98" s="5">
        <v>95</v>
      </c>
      <c r="C98" s="5">
        <f t="shared" si="3"/>
        <v>2</v>
      </c>
      <c r="D98" s="12">
        <v>20</v>
      </c>
      <c r="E98" s="6" t="s">
        <v>208</v>
      </c>
      <c r="F98" s="5">
        <f>VLOOKUP(E98,'Win Methods'!$C$4:$F$4992,4,FALSE)</f>
        <v>0.1</v>
      </c>
      <c r="G98" s="6"/>
      <c r="H98" s="5">
        <f>VLOOKUP(G98,'Win Methods'!$C$4:$F$4992,4,FALSE)</f>
        <v>0</v>
      </c>
      <c r="I98" s="6"/>
      <c r="J98" s="5">
        <f>VLOOKUP(I98,'Win Methods'!$C$4:$F$4992,4,FALSE)</f>
        <v>0</v>
      </c>
      <c r="K98" s="6"/>
      <c r="L98" s="5">
        <f>VLOOKUP(K98,'Win Methods'!$C$4:$F$4992,4,FALSE)</f>
        <v>0</v>
      </c>
      <c r="M98" s="6"/>
      <c r="N98" s="5">
        <f>VLOOKUP(M98,'Win Methods'!$C$4:$F$4992,4,FALSE)</f>
        <v>0</v>
      </c>
      <c r="O98" s="6"/>
      <c r="P98" s="5">
        <f>VLOOKUP(O98,'Win Methods'!$C$4:$F$4992,4,FALSE)</f>
        <v>0</v>
      </c>
      <c r="Q98" s="6"/>
      <c r="R98" s="5">
        <f>VLOOKUP(Q98,'Win Methods'!$C$4:$F$4992,4,FALSE)</f>
        <v>0</v>
      </c>
      <c r="S98" s="6"/>
      <c r="T98" s="5">
        <f>VLOOKUP(S98,'Win Methods'!$C$4:$F$4992,4,FALSE)</f>
        <v>0</v>
      </c>
      <c r="U98" s="6"/>
      <c r="V98" s="5">
        <f>VLOOKUP(U98,'Win Methods'!$C$4:$F$4992,4,FALSE)</f>
        <v>0</v>
      </c>
      <c r="W98" s="6"/>
      <c r="X98" s="5">
        <f>VLOOKUP(W98,'Win Methods'!$C$4:$F$4992,4,FALSE)</f>
        <v>0</v>
      </c>
      <c r="Y98" s="5" t="str">
        <f t="shared" si="4"/>
        <v>main-0||||||||| x 20</v>
      </c>
    </row>
    <row r="99" spans="2:25">
      <c r="B99" s="5">
        <v>96</v>
      </c>
      <c r="C99" s="5">
        <f t="shared" ref="C99:C130" si="5">(F99+H99+J99+L99+N99+P99+R99+T99+V99+X99)*D99</f>
        <v>4</v>
      </c>
      <c r="D99" s="12">
        <v>20</v>
      </c>
      <c r="E99" s="6" t="s">
        <v>209</v>
      </c>
      <c r="F99" s="5">
        <f>VLOOKUP(E99,'Win Methods'!$C$4:$F$4992,4,FALSE)</f>
        <v>0.2</v>
      </c>
      <c r="G99" s="6"/>
      <c r="H99" s="5">
        <f>VLOOKUP(G99,'Win Methods'!$C$4:$F$4992,4,FALSE)</f>
        <v>0</v>
      </c>
      <c r="I99" s="6"/>
      <c r="J99" s="5">
        <f>VLOOKUP(I99,'Win Methods'!$C$4:$F$4992,4,FALSE)</f>
        <v>0</v>
      </c>
      <c r="K99" s="6"/>
      <c r="L99" s="5">
        <f>VLOOKUP(K99,'Win Methods'!$C$4:$F$4992,4,FALSE)</f>
        <v>0</v>
      </c>
      <c r="M99" s="6"/>
      <c r="N99" s="5">
        <f>VLOOKUP(M99,'Win Methods'!$C$4:$F$4992,4,FALSE)</f>
        <v>0</v>
      </c>
      <c r="O99" s="6"/>
      <c r="P99" s="5">
        <f>VLOOKUP(O99,'Win Methods'!$C$4:$F$4992,4,FALSE)</f>
        <v>0</v>
      </c>
      <c r="Q99" s="6"/>
      <c r="R99" s="5">
        <f>VLOOKUP(Q99,'Win Methods'!$C$4:$F$4992,4,FALSE)</f>
        <v>0</v>
      </c>
      <c r="S99" s="6"/>
      <c r="T99" s="5">
        <f>VLOOKUP(S99,'Win Methods'!$C$4:$F$4992,4,FALSE)</f>
        <v>0</v>
      </c>
      <c r="U99" s="6"/>
      <c r="V99" s="5">
        <f>VLOOKUP(U99,'Win Methods'!$C$4:$F$4992,4,FALSE)</f>
        <v>0</v>
      </c>
      <c r="W99" s="6"/>
      <c r="X99" s="5">
        <f>VLOOKUP(W99,'Win Methods'!$C$4:$F$4992,4,FALSE)</f>
        <v>0</v>
      </c>
      <c r="Y99" s="5" t="str">
        <f t="shared" si="4"/>
        <v>main-1||||||||| x 20</v>
      </c>
    </row>
    <row r="100" spans="2:25">
      <c r="B100" s="5">
        <v>97</v>
      </c>
      <c r="C100" s="5">
        <f t="shared" si="5"/>
        <v>10</v>
      </c>
      <c r="D100" s="12">
        <v>20</v>
      </c>
      <c r="E100" s="6" t="s">
        <v>210</v>
      </c>
      <c r="F100" s="5">
        <f>VLOOKUP(E100,'Win Methods'!$C$4:$F$4992,4,FALSE)</f>
        <v>0.5</v>
      </c>
      <c r="G100" s="6"/>
      <c r="H100" s="5">
        <f>VLOOKUP(G100,'Win Methods'!$C$4:$F$4992,4,FALSE)</f>
        <v>0</v>
      </c>
      <c r="I100" s="6"/>
      <c r="J100" s="5">
        <f>VLOOKUP(I100,'Win Methods'!$C$4:$F$4992,4,FALSE)</f>
        <v>0</v>
      </c>
      <c r="K100" s="6"/>
      <c r="L100" s="5">
        <f>VLOOKUP(K100,'Win Methods'!$C$4:$F$4992,4,FALSE)</f>
        <v>0</v>
      </c>
      <c r="M100" s="6"/>
      <c r="N100" s="5">
        <f>VLOOKUP(M100,'Win Methods'!$C$4:$F$4992,4,FALSE)</f>
        <v>0</v>
      </c>
      <c r="O100" s="6"/>
      <c r="P100" s="5">
        <f>VLOOKUP(O100,'Win Methods'!$C$4:$F$4992,4,FALSE)</f>
        <v>0</v>
      </c>
      <c r="Q100" s="6"/>
      <c r="R100" s="5">
        <f>VLOOKUP(Q100,'Win Methods'!$C$4:$F$4992,4,FALSE)</f>
        <v>0</v>
      </c>
      <c r="S100" s="6"/>
      <c r="T100" s="5">
        <f>VLOOKUP(S100,'Win Methods'!$C$4:$F$4992,4,FALSE)</f>
        <v>0</v>
      </c>
      <c r="U100" s="6"/>
      <c r="V100" s="5">
        <f>VLOOKUP(U100,'Win Methods'!$C$4:$F$4992,4,FALSE)</f>
        <v>0</v>
      </c>
      <c r="W100" s="6"/>
      <c r="X100" s="5">
        <f>VLOOKUP(W100,'Win Methods'!$C$4:$F$4992,4,FALSE)</f>
        <v>0</v>
      </c>
      <c r="Y100" s="5" t="str">
        <f t="shared" si="4"/>
        <v>main-2||||||||| x 20</v>
      </c>
    </row>
    <row r="101" spans="2:25">
      <c r="B101" s="5">
        <v>98</v>
      </c>
      <c r="C101" s="5">
        <f t="shared" si="5"/>
        <v>20</v>
      </c>
      <c r="D101" s="12">
        <v>20</v>
      </c>
      <c r="E101" s="6" t="s">
        <v>211</v>
      </c>
      <c r="F101" s="5">
        <f>VLOOKUP(E101,'Win Methods'!$C$4:$F$4992,4,FALSE)</f>
        <v>1</v>
      </c>
      <c r="G101" s="6"/>
      <c r="H101" s="5">
        <f>VLOOKUP(G101,'Win Methods'!$C$4:$F$4992,4,FALSE)</f>
        <v>0</v>
      </c>
      <c r="I101" s="6"/>
      <c r="J101" s="5">
        <f>VLOOKUP(I101,'Win Methods'!$C$4:$F$4992,4,FALSE)</f>
        <v>0</v>
      </c>
      <c r="K101" s="6"/>
      <c r="L101" s="5">
        <f>VLOOKUP(K101,'Win Methods'!$C$4:$F$4992,4,FALSE)</f>
        <v>0</v>
      </c>
      <c r="M101" s="6"/>
      <c r="N101" s="5">
        <f>VLOOKUP(M101,'Win Methods'!$C$4:$F$4992,4,FALSE)</f>
        <v>0</v>
      </c>
      <c r="O101" s="6"/>
      <c r="P101" s="5">
        <f>VLOOKUP(O101,'Win Methods'!$C$4:$F$4992,4,FALSE)</f>
        <v>0</v>
      </c>
      <c r="Q101" s="6"/>
      <c r="R101" s="5">
        <f>VLOOKUP(Q101,'Win Methods'!$C$4:$F$4992,4,FALSE)</f>
        <v>0</v>
      </c>
      <c r="S101" s="6"/>
      <c r="T101" s="5">
        <f>VLOOKUP(S101,'Win Methods'!$C$4:$F$4992,4,FALSE)</f>
        <v>0</v>
      </c>
      <c r="U101" s="6"/>
      <c r="V101" s="5">
        <f>VLOOKUP(U101,'Win Methods'!$C$4:$F$4992,4,FALSE)</f>
        <v>0</v>
      </c>
      <c r="W101" s="6"/>
      <c r="X101" s="5">
        <f>VLOOKUP(W101,'Win Methods'!$C$4:$F$4992,4,FALSE)</f>
        <v>0</v>
      </c>
      <c r="Y101" s="5" t="str">
        <f t="shared" si="4"/>
        <v>main-3||||||||| x 20</v>
      </c>
    </row>
    <row r="102" spans="2:25">
      <c r="B102" s="5">
        <v>99</v>
      </c>
      <c r="C102" s="5">
        <f t="shared" si="5"/>
        <v>30</v>
      </c>
      <c r="D102" s="12">
        <v>20</v>
      </c>
      <c r="E102" s="6" t="s">
        <v>212</v>
      </c>
      <c r="F102" s="5">
        <f>VLOOKUP(E102,'Win Methods'!$C$4:$F$4992,4,FALSE)</f>
        <v>1.5</v>
      </c>
      <c r="G102" s="6"/>
      <c r="H102" s="5">
        <f>VLOOKUP(G102,'Win Methods'!$C$4:$F$4992,4,FALSE)</f>
        <v>0</v>
      </c>
      <c r="I102" s="6"/>
      <c r="J102" s="5">
        <f>VLOOKUP(I102,'Win Methods'!$C$4:$F$4992,4,FALSE)</f>
        <v>0</v>
      </c>
      <c r="K102" s="6"/>
      <c r="L102" s="5">
        <f>VLOOKUP(K102,'Win Methods'!$C$4:$F$4992,4,FALSE)</f>
        <v>0</v>
      </c>
      <c r="M102" s="6"/>
      <c r="N102" s="5">
        <f>VLOOKUP(M102,'Win Methods'!$C$4:$F$4992,4,FALSE)</f>
        <v>0</v>
      </c>
      <c r="O102" s="6"/>
      <c r="P102" s="5">
        <f>VLOOKUP(O102,'Win Methods'!$C$4:$F$4992,4,FALSE)</f>
        <v>0</v>
      </c>
      <c r="Q102" s="6"/>
      <c r="R102" s="5">
        <f>VLOOKUP(Q102,'Win Methods'!$C$4:$F$4992,4,FALSE)</f>
        <v>0</v>
      </c>
      <c r="S102" s="6"/>
      <c r="T102" s="5">
        <f>VLOOKUP(S102,'Win Methods'!$C$4:$F$4992,4,FALSE)</f>
        <v>0</v>
      </c>
      <c r="U102" s="6"/>
      <c r="V102" s="5">
        <f>VLOOKUP(U102,'Win Methods'!$C$4:$F$4992,4,FALSE)</f>
        <v>0</v>
      </c>
      <c r="W102" s="6"/>
      <c r="X102" s="5">
        <f>VLOOKUP(W102,'Win Methods'!$C$4:$F$4992,4,FALSE)</f>
        <v>0</v>
      </c>
      <c r="Y102" s="5" t="str">
        <f t="shared" si="4"/>
        <v>main-4||||||||| x 20</v>
      </c>
    </row>
    <row r="103" spans="2:25">
      <c r="B103" s="5">
        <v>100</v>
      </c>
      <c r="C103" s="5">
        <f t="shared" si="5"/>
        <v>40</v>
      </c>
      <c r="D103" s="12">
        <v>20</v>
      </c>
      <c r="E103" s="6" t="s">
        <v>213</v>
      </c>
      <c r="F103" s="5">
        <f>VLOOKUP(E103,'Win Methods'!$C$4:$F$4992,4,FALSE)</f>
        <v>2</v>
      </c>
      <c r="G103" s="6"/>
      <c r="H103" s="5">
        <f>VLOOKUP(G103,'Win Methods'!$C$4:$F$4992,4,FALSE)</f>
        <v>0</v>
      </c>
      <c r="I103" s="6"/>
      <c r="J103" s="5">
        <f>VLOOKUP(I103,'Win Methods'!$C$4:$F$4992,4,FALSE)</f>
        <v>0</v>
      </c>
      <c r="K103" s="6"/>
      <c r="L103" s="5">
        <f>VLOOKUP(K103,'Win Methods'!$C$4:$F$4992,4,FALSE)</f>
        <v>0</v>
      </c>
      <c r="M103" s="6"/>
      <c r="N103" s="5">
        <f>VLOOKUP(M103,'Win Methods'!$C$4:$F$4992,4,FALSE)</f>
        <v>0</v>
      </c>
      <c r="O103" s="6"/>
      <c r="P103" s="5">
        <f>VLOOKUP(O103,'Win Methods'!$C$4:$F$4992,4,FALSE)</f>
        <v>0</v>
      </c>
      <c r="Q103" s="6"/>
      <c r="R103" s="5">
        <f>VLOOKUP(Q103,'Win Methods'!$C$4:$F$4992,4,FALSE)</f>
        <v>0</v>
      </c>
      <c r="S103" s="6"/>
      <c r="T103" s="5">
        <f>VLOOKUP(S103,'Win Methods'!$C$4:$F$4992,4,FALSE)</f>
        <v>0</v>
      </c>
      <c r="U103" s="6"/>
      <c r="V103" s="5">
        <f>VLOOKUP(U103,'Win Methods'!$C$4:$F$4992,4,FALSE)</f>
        <v>0</v>
      </c>
      <c r="W103" s="6"/>
      <c r="X103" s="5">
        <f>VLOOKUP(W103,'Win Methods'!$C$4:$F$4992,4,FALSE)</f>
        <v>0</v>
      </c>
      <c r="Y103" s="5" t="str">
        <f t="shared" si="4"/>
        <v>main-5||||||||| x 20</v>
      </c>
    </row>
    <row r="104" spans="2:25">
      <c r="B104" s="5">
        <v>101</v>
      </c>
      <c r="C104" s="5">
        <f t="shared" si="5"/>
        <v>20</v>
      </c>
      <c r="D104" s="12">
        <v>20</v>
      </c>
      <c r="E104" s="6" t="s">
        <v>218</v>
      </c>
      <c r="F104" s="5">
        <f>VLOOKUP(E104,'Win Methods'!$C$4:$F$4992,4,FALSE)</f>
        <v>1</v>
      </c>
      <c r="G104" s="6"/>
      <c r="H104" s="5">
        <f>VLOOKUP(G104,'Win Methods'!$C$4:$F$4992,4,FALSE)</f>
        <v>0</v>
      </c>
      <c r="I104" s="6"/>
      <c r="J104" s="5">
        <f>VLOOKUP(I104,'Win Methods'!$C$4:$F$4992,4,FALSE)</f>
        <v>0</v>
      </c>
      <c r="K104" s="6"/>
      <c r="L104" s="5">
        <f>VLOOKUP(K104,'Win Methods'!$C$4:$F$4992,4,FALSE)</f>
        <v>0</v>
      </c>
      <c r="M104" s="6"/>
      <c r="N104" s="5">
        <f>VLOOKUP(M104,'Win Methods'!$C$4:$F$4992,4,FALSE)</f>
        <v>0</v>
      </c>
      <c r="O104" s="6"/>
      <c r="P104" s="5">
        <f>VLOOKUP(O104,'Win Methods'!$C$4:$F$4992,4,FALSE)</f>
        <v>0</v>
      </c>
      <c r="Q104" s="6"/>
      <c r="R104" s="5">
        <f>VLOOKUP(Q104,'Win Methods'!$C$4:$F$4992,4,FALSE)</f>
        <v>0</v>
      </c>
      <c r="S104" s="6"/>
      <c r="T104" s="5">
        <f>VLOOKUP(S104,'Win Methods'!$C$4:$F$4992,4,FALSE)</f>
        <v>0</v>
      </c>
      <c r="U104" s="6"/>
      <c r="V104" s="5">
        <f>VLOOKUP(U104,'Win Methods'!$C$4:$F$4992,4,FALSE)</f>
        <v>0</v>
      </c>
      <c r="W104" s="6"/>
      <c r="X104" s="5">
        <f>VLOOKUP(W104,'Win Methods'!$C$4:$F$4992,4,FALSE)</f>
        <v>0</v>
      </c>
      <c r="Y104" s="5" t="str">
        <f t="shared" si="4"/>
        <v>main-10||||||||| x 20</v>
      </c>
    </row>
    <row r="105" spans="2:25">
      <c r="B105" s="5">
        <v>102</v>
      </c>
      <c r="C105" s="5">
        <f t="shared" si="5"/>
        <v>30</v>
      </c>
      <c r="D105" s="12">
        <v>20</v>
      </c>
      <c r="E105" s="6" t="s">
        <v>219</v>
      </c>
      <c r="F105" s="5">
        <f>VLOOKUP(E105,'Win Methods'!$C$4:$F$4992,4,FALSE)</f>
        <v>1.5</v>
      </c>
      <c r="G105" s="6"/>
      <c r="H105" s="5">
        <f>VLOOKUP(G105,'Win Methods'!$C$4:$F$4992,4,FALSE)</f>
        <v>0</v>
      </c>
      <c r="I105" s="6"/>
      <c r="J105" s="5">
        <f>VLOOKUP(I105,'Win Methods'!$C$4:$F$4992,4,FALSE)</f>
        <v>0</v>
      </c>
      <c r="K105" s="6"/>
      <c r="L105" s="5">
        <f>VLOOKUP(K105,'Win Methods'!$C$4:$F$4992,4,FALSE)</f>
        <v>0</v>
      </c>
      <c r="M105" s="6"/>
      <c r="N105" s="5">
        <f>VLOOKUP(M105,'Win Methods'!$C$4:$F$4992,4,FALSE)</f>
        <v>0</v>
      </c>
      <c r="O105" s="6"/>
      <c r="P105" s="5">
        <f>VLOOKUP(O105,'Win Methods'!$C$4:$F$4992,4,FALSE)</f>
        <v>0</v>
      </c>
      <c r="Q105" s="6"/>
      <c r="R105" s="5">
        <f>VLOOKUP(Q105,'Win Methods'!$C$4:$F$4992,4,FALSE)</f>
        <v>0</v>
      </c>
      <c r="S105" s="6"/>
      <c r="T105" s="5">
        <f>VLOOKUP(S105,'Win Methods'!$C$4:$F$4992,4,FALSE)</f>
        <v>0</v>
      </c>
      <c r="U105" s="6"/>
      <c r="V105" s="5">
        <f>VLOOKUP(U105,'Win Methods'!$C$4:$F$4992,4,FALSE)</f>
        <v>0</v>
      </c>
      <c r="W105" s="6"/>
      <c r="X105" s="5">
        <f>VLOOKUP(W105,'Win Methods'!$C$4:$F$4992,4,FALSE)</f>
        <v>0</v>
      </c>
      <c r="Y105" s="5" t="str">
        <f t="shared" si="4"/>
        <v>main-11||||||||| x 20</v>
      </c>
    </row>
    <row r="106" spans="2:25">
      <c r="B106" s="5">
        <v>103</v>
      </c>
      <c r="C106" s="5">
        <f t="shared" si="5"/>
        <v>40</v>
      </c>
      <c r="D106" s="12">
        <v>20</v>
      </c>
      <c r="E106" s="6" t="s">
        <v>220</v>
      </c>
      <c r="F106" s="5">
        <f>VLOOKUP(E106,'Win Methods'!$C$4:$F$4992,4,FALSE)</f>
        <v>2</v>
      </c>
      <c r="G106" s="6"/>
      <c r="H106" s="5">
        <f>VLOOKUP(G106,'Win Methods'!$C$4:$F$4992,4,FALSE)</f>
        <v>0</v>
      </c>
      <c r="I106" s="6"/>
      <c r="J106" s="5">
        <f>VLOOKUP(I106,'Win Methods'!$C$4:$F$4992,4,FALSE)</f>
        <v>0</v>
      </c>
      <c r="K106" s="6"/>
      <c r="L106" s="5">
        <f>VLOOKUP(K106,'Win Methods'!$C$4:$F$4992,4,FALSE)</f>
        <v>0</v>
      </c>
      <c r="M106" s="6"/>
      <c r="N106" s="5">
        <f>VLOOKUP(M106,'Win Methods'!$C$4:$F$4992,4,FALSE)</f>
        <v>0</v>
      </c>
      <c r="O106" s="6"/>
      <c r="P106" s="5">
        <f>VLOOKUP(O106,'Win Methods'!$C$4:$F$4992,4,FALSE)</f>
        <v>0</v>
      </c>
      <c r="Q106" s="6"/>
      <c r="R106" s="5">
        <f>VLOOKUP(Q106,'Win Methods'!$C$4:$F$4992,4,FALSE)</f>
        <v>0</v>
      </c>
      <c r="S106" s="6"/>
      <c r="T106" s="5">
        <f>VLOOKUP(S106,'Win Methods'!$C$4:$F$4992,4,FALSE)</f>
        <v>0</v>
      </c>
      <c r="U106" s="6"/>
      <c r="V106" s="5">
        <f>VLOOKUP(U106,'Win Methods'!$C$4:$F$4992,4,FALSE)</f>
        <v>0</v>
      </c>
      <c r="W106" s="6"/>
      <c r="X106" s="5">
        <f>VLOOKUP(W106,'Win Methods'!$C$4:$F$4992,4,FALSE)</f>
        <v>0</v>
      </c>
      <c r="Y106" s="5" t="str">
        <f t="shared" si="4"/>
        <v>main-12||||||||| x 20</v>
      </c>
    </row>
    <row r="107" spans="2:25">
      <c r="B107" s="5">
        <v>104</v>
      </c>
      <c r="C107" s="5">
        <f t="shared" si="5"/>
        <v>100</v>
      </c>
      <c r="D107" s="12">
        <v>20</v>
      </c>
      <c r="E107" s="6" t="s">
        <v>221</v>
      </c>
      <c r="F107" s="5">
        <f>VLOOKUP(E107,'Win Methods'!$C$4:$F$4992,4,FALSE)</f>
        <v>5</v>
      </c>
      <c r="G107" s="6"/>
      <c r="H107" s="5">
        <f>VLOOKUP(G107,'Win Methods'!$C$4:$F$4992,4,FALSE)</f>
        <v>0</v>
      </c>
      <c r="I107" s="6"/>
      <c r="J107" s="5">
        <f>VLOOKUP(I107,'Win Methods'!$C$4:$F$4992,4,FALSE)</f>
        <v>0</v>
      </c>
      <c r="K107" s="6"/>
      <c r="L107" s="5">
        <f>VLOOKUP(K107,'Win Methods'!$C$4:$F$4992,4,FALSE)</f>
        <v>0</v>
      </c>
      <c r="M107" s="6"/>
      <c r="N107" s="5">
        <f>VLOOKUP(M107,'Win Methods'!$C$4:$F$4992,4,FALSE)</f>
        <v>0</v>
      </c>
      <c r="O107" s="6"/>
      <c r="P107" s="5">
        <f>VLOOKUP(O107,'Win Methods'!$C$4:$F$4992,4,FALSE)</f>
        <v>0</v>
      </c>
      <c r="Q107" s="6"/>
      <c r="R107" s="5">
        <f>VLOOKUP(Q107,'Win Methods'!$C$4:$F$4992,4,FALSE)</f>
        <v>0</v>
      </c>
      <c r="S107" s="6"/>
      <c r="T107" s="5">
        <f>VLOOKUP(S107,'Win Methods'!$C$4:$F$4992,4,FALSE)</f>
        <v>0</v>
      </c>
      <c r="U107" s="6"/>
      <c r="V107" s="5">
        <f>VLOOKUP(U107,'Win Methods'!$C$4:$F$4992,4,FALSE)</f>
        <v>0</v>
      </c>
      <c r="W107" s="6"/>
      <c r="X107" s="5">
        <f>VLOOKUP(W107,'Win Methods'!$C$4:$F$4992,4,FALSE)</f>
        <v>0</v>
      </c>
      <c r="Y107" s="5" t="str">
        <f t="shared" si="4"/>
        <v>main-13||||||||| x 20</v>
      </c>
    </row>
    <row r="108" spans="2:25">
      <c r="B108" s="5">
        <v>105</v>
      </c>
      <c r="C108" s="5">
        <f t="shared" si="5"/>
        <v>30</v>
      </c>
      <c r="D108" s="12">
        <v>20</v>
      </c>
      <c r="E108" s="6" t="s">
        <v>228</v>
      </c>
      <c r="F108" s="5">
        <f>VLOOKUP(E108,'Win Methods'!$C$4:$F$4992,4,FALSE)</f>
        <v>1.5</v>
      </c>
      <c r="G108" s="6"/>
      <c r="H108" s="5">
        <f>VLOOKUP(G108,'Win Methods'!$C$4:$F$4992,4,FALSE)</f>
        <v>0</v>
      </c>
      <c r="I108" s="6"/>
      <c r="J108" s="5">
        <f>VLOOKUP(I108,'Win Methods'!$C$4:$F$4992,4,FALSE)</f>
        <v>0</v>
      </c>
      <c r="K108" s="6"/>
      <c r="L108" s="5">
        <f>VLOOKUP(K108,'Win Methods'!$C$4:$F$4992,4,FALSE)</f>
        <v>0</v>
      </c>
      <c r="M108" s="6"/>
      <c r="N108" s="5">
        <f>VLOOKUP(M108,'Win Methods'!$C$4:$F$4992,4,FALSE)</f>
        <v>0</v>
      </c>
      <c r="O108" s="6"/>
      <c r="P108" s="5">
        <f>VLOOKUP(O108,'Win Methods'!$C$4:$F$4992,4,FALSE)</f>
        <v>0</v>
      </c>
      <c r="Q108" s="6"/>
      <c r="R108" s="5">
        <f>VLOOKUP(Q108,'Win Methods'!$C$4:$F$4992,4,FALSE)</f>
        <v>0</v>
      </c>
      <c r="S108" s="6"/>
      <c r="T108" s="5">
        <f>VLOOKUP(S108,'Win Methods'!$C$4:$F$4992,4,FALSE)</f>
        <v>0</v>
      </c>
      <c r="U108" s="6"/>
      <c r="V108" s="5">
        <f>VLOOKUP(U108,'Win Methods'!$C$4:$F$4992,4,FALSE)</f>
        <v>0</v>
      </c>
      <c r="W108" s="6"/>
      <c r="X108" s="5">
        <f>VLOOKUP(W108,'Win Methods'!$C$4:$F$4992,4,FALSE)</f>
        <v>0</v>
      </c>
      <c r="Y108" s="5" t="str">
        <f t="shared" si="4"/>
        <v>main-20||||||||| x 20</v>
      </c>
    </row>
    <row r="109" spans="2:25">
      <c r="B109" s="5">
        <v>106</v>
      </c>
      <c r="C109" s="5">
        <f t="shared" si="5"/>
        <v>40</v>
      </c>
      <c r="D109" s="12">
        <v>20</v>
      </c>
      <c r="E109" s="6" t="s">
        <v>229</v>
      </c>
      <c r="F109" s="5">
        <f>VLOOKUP(E109,'Win Methods'!$C$4:$F$4992,4,FALSE)</f>
        <v>2</v>
      </c>
      <c r="G109" s="6"/>
      <c r="H109" s="5">
        <f>VLOOKUP(G109,'Win Methods'!$C$4:$F$4992,4,FALSE)</f>
        <v>0</v>
      </c>
      <c r="I109" s="6"/>
      <c r="J109" s="5">
        <f>VLOOKUP(I109,'Win Methods'!$C$4:$F$4992,4,FALSE)</f>
        <v>0</v>
      </c>
      <c r="K109" s="6"/>
      <c r="L109" s="5">
        <f>VLOOKUP(K109,'Win Methods'!$C$4:$F$4992,4,FALSE)</f>
        <v>0</v>
      </c>
      <c r="M109" s="6"/>
      <c r="N109" s="5">
        <f>VLOOKUP(M109,'Win Methods'!$C$4:$F$4992,4,FALSE)</f>
        <v>0</v>
      </c>
      <c r="O109" s="6"/>
      <c r="P109" s="5">
        <f>VLOOKUP(O109,'Win Methods'!$C$4:$F$4992,4,FALSE)</f>
        <v>0</v>
      </c>
      <c r="Q109" s="6"/>
      <c r="R109" s="5">
        <f>VLOOKUP(Q109,'Win Methods'!$C$4:$F$4992,4,FALSE)</f>
        <v>0</v>
      </c>
      <c r="S109" s="6"/>
      <c r="T109" s="5">
        <f>VLOOKUP(S109,'Win Methods'!$C$4:$F$4992,4,FALSE)</f>
        <v>0</v>
      </c>
      <c r="U109" s="6"/>
      <c r="V109" s="5">
        <f>VLOOKUP(U109,'Win Methods'!$C$4:$F$4992,4,FALSE)</f>
        <v>0</v>
      </c>
      <c r="W109" s="6"/>
      <c r="X109" s="5">
        <f>VLOOKUP(W109,'Win Methods'!$C$4:$F$4992,4,FALSE)</f>
        <v>0</v>
      </c>
      <c r="Y109" s="5" t="str">
        <f t="shared" si="4"/>
        <v>main-21||||||||| x 20</v>
      </c>
    </row>
    <row r="110" spans="2:25">
      <c r="B110" s="5">
        <v>107</v>
      </c>
      <c r="C110" s="5">
        <f t="shared" si="5"/>
        <v>40</v>
      </c>
      <c r="D110" s="12">
        <v>20</v>
      </c>
      <c r="E110" s="6" t="s">
        <v>238</v>
      </c>
      <c r="F110" s="5">
        <f>VLOOKUP(E110,'Win Methods'!$C$4:$F$4992,4,FALSE)</f>
        <v>2</v>
      </c>
      <c r="G110" s="6"/>
      <c r="H110" s="5">
        <f>VLOOKUP(G110,'Win Methods'!$C$4:$F$4992,4,FALSE)</f>
        <v>0</v>
      </c>
      <c r="I110" s="6"/>
      <c r="J110" s="5">
        <f>VLOOKUP(I110,'Win Methods'!$C$4:$F$4992,4,FALSE)</f>
        <v>0</v>
      </c>
      <c r="K110" s="6"/>
      <c r="L110" s="5">
        <f>VLOOKUP(K110,'Win Methods'!$C$4:$F$4992,4,FALSE)</f>
        <v>0</v>
      </c>
      <c r="M110" s="6"/>
      <c r="N110" s="5">
        <f>VLOOKUP(M110,'Win Methods'!$C$4:$F$4992,4,FALSE)</f>
        <v>0</v>
      </c>
      <c r="O110" s="6"/>
      <c r="P110" s="5">
        <f>VLOOKUP(O110,'Win Methods'!$C$4:$F$4992,4,FALSE)</f>
        <v>0</v>
      </c>
      <c r="Q110" s="6"/>
      <c r="R110" s="5">
        <f>VLOOKUP(Q110,'Win Methods'!$C$4:$F$4992,4,FALSE)</f>
        <v>0</v>
      </c>
      <c r="S110" s="6"/>
      <c r="T110" s="5">
        <f>VLOOKUP(S110,'Win Methods'!$C$4:$F$4992,4,FALSE)</f>
        <v>0</v>
      </c>
      <c r="U110" s="6"/>
      <c r="V110" s="5">
        <f>VLOOKUP(U110,'Win Methods'!$C$4:$F$4992,4,FALSE)</f>
        <v>0</v>
      </c>
      <c r="W110" s="6"/>
      <c r="X110" s="5">
        <f>VLOOKUP(W110,'Win Methods'!$C$4:$F$4992,4,FALSE)</f>
        <v>0</v>
      </c>
      <c r="Y110" s="5" t="str">
        <f t="shared" si="4"/>
        <v>main-30||||||||| x 20</v>
      </c>
    </row>
    <row r="111" spans="2:25">
      <c r="B111" s="5">
        <v>108</v>
      </c>
      <c r="C111" s="5">
        <f t="shared" si="5"/>
        <v>4</v>
      </c>
      <c r="D111" s="12">
        <v>20</v>
      </c>
      <c r="E111" s="6" t="s">
        <v>208</v>
      </c>
      <c r="F111" s="5">
        <f>VLOOKUP(E111,'Win Methods'!$C$4:$F$4992,4,FALSE)</f>
        <v>0.1</v>
      </c>
      <c r="G111" s="6" t="s">
        <v>208</v>
      </c>
      <c r="H111" s="5">
        <f>VLOOKUP(G111,'Win Methods'!$C$4:$F$4992,4,FALSE)</f>
        <v>0.1</v>
      </c>
      <c r="I111" s="6"/>
      <c r="J111" s="5">
        <f>VLOOKUP(I111,'Win Methods'!$C$4:$F$4992,4,FALSE)</f>
        <v>0</v>
      </c>
      <c r="K111" s="6"/>
      <c r="L111" s="5">
        <f>VLOOKUP(K111,'Win Methods'!$C$4:$F$4992,4,FALSE)</f>
        <v>0</v>
      </c>
      <c r="M111" s="6"/>
      <c r="N111" s="5">
        <f>VLOOKUP(M111,'Win Methods'!$C$4:$F$4992,4,FALSE)</f>
        <v>0</v>
      </c>
      <c r="O111" s="6"/>
      <c r="P111" s="5">
        <f>VLOOKUP(O111,'Win Methods'!$C$4:$F$4992,4,FALSE)</f>
        <v>0</v>
      </c>
      <c r="Q111" s="6"/>
      <c r="R111" s="5">
        <f>VLOOKUP(Q111,'Win Methods'!$C$4:$F$4992,4,FALSE)</f>
        <v>0</v>
      </c>
      <c r="S111" s="6"/>
      <c r="T111" s="5">
        <f>VLOOKUP(S111,'Win Methods'!$C$4:$F$4992,4,FALSE)</f>
        <v>0</v>
      </c>
      <c r="U111" s="6"/>
      <c r="V111" s="5">
        <f>VLOOKUP(U111,'Win Methods'!$C$4:$F$4992,4,FALSE)</f>
        <v>0</v>
      </c>
      <c r="W111" s="6"/>
      <c r="X111" s="5">
        <f>VLOOKUP(W111,'Win Methods'!$C$4:$F$4992,4,FALSE)</f>
        <v>0</v>
      </c>
      <c r="Y111" s="5" t="str">
        <f t="shared" si="4"/>
        <v>main-0|main-0|||||||| x 20</v>
      </c>
    </row>
    <row r="112" spans="2:25">
      <c r="B112" s="5">
        <v>109</v>
      </c>
      <c r="C112" s="5">
        <f t="shared" si="5"/>
        <v>6.0000000000000009</v>
      </c>
      <c r="D112" s="12">
        <v>20</v>
      </c>
      <c r="E112" s="6" t="s">
        <v>208</v>
      </c>
      <c r="F112" s="5">
        <f>VLOOKUP(E112,'Win Methods'!$C$4:$F$4992,4,FALSE)</f>
        <v>0.1</v>
      </c>
      <c r="G112" s="6" t="s">
        <v>209</v>
      </c>
      <c r="H112" s="5">
        <f>VLOOKUP(G112,'Win Methods'!$C$4:$F$4992,4,FALSE)</f>
        <v>0.2</v>
      </c>
      <c r="I112" s="6"/>
      <c r="J112" s="5">
        <f>VLOOKUP(I112,'Win Methods'!$C$4:$F$4992,4,FALSE)</f>
        <v>0</v>
      </c>
      <c r="K112" s="6"/>
      <c r="L112" s="5">
        <f>VLOOKUP(K112,'Win Methods'!$C$4:$F$4992,4,FALSE)</f>
        <v>0</v>
      </c>
      <c r="M112" s="6"/>
      <c r="N112" s="5">
        <f>VLOOKUP(M112,'Win Methods'!$C$4:$F$4992,4,FALSE)</f>
        <v>0</v>
      </c>
      <c r="O112" s="6"/>
      <c r="P112" s="5">
        <f>VLOOKUP(O112,'Win Methods'!$C$4:$F$4992,4,FALSE)</f>
        <v>0</v>
      </c>
      <c r="Q112" s="6"/>
      <c r="R112" s="5">
        <f>VLOOKUP(Q112,'Win Methods'!$C$4:$F$4992,4,FALSE)</f>
        <v>0</v>
      </c>
      <c r="S112" s="6"/>
      <c r="T112" s="5">
        <f>VLOOKUP(S112,'Win Methods'!$C$4:$F$4992,4,FALSE)</f>
        <v>0</v>
      </c>
      <c r="U112" s="6"/>
      <c r="V112" s="5">
        <f>VLOOKUP(U112,'Win Methods'!$C$4:$F$4992,4,FALSE)</f>
        <v>0</v>
      </c>
      <c r="W112" s="6"/>
      <c r="X112" s="5">
        <f>VLOOKUP(W112,'Win Methods'!$C$4:$F$4992,4,FALSE)</f>
        <v>0</v>
      </c>
      <c r="Y112" s="5" t="str">
        <f t="shared" si="4"/>
        <v>main-0|main-1|||||||| x 20</v>
      </c>
    </row>
    <row r="113" spans="2:25">
      <c r="B113" s="5">
        <v>110</v>
      </c>
      <c r="C113" s="5">
        <f t="shared" si="5"/>
        <v>8</v>
      </c>
      <c r="D113" s="12">
        <v>20</v>
      </c>
      <c r="E113" s="6" t="s">
        <v>209</v>
      </c>
      <c r="F113" s="5">
        <f>VLOOKUP(E113,'Win Methods'!$C$4:$F$4992,4,FALSE)</f>
        <v>0.2</v>
      </c>
      <c r="G113" s="6" t="s">
        <v>209</v>
      </c>
      <c r="H113" s="5">
        <f>VLOOKUP(G113,'Win Methods'!$C$4:$F$4992,4,FALSE)</f>
        <v>0.2</v>
      </c>
      <c r="I113" s="6"/>
      <c r="J113" s="5">
        <f>VLOOKUP(I113,'Win Methods'!$C$4:$F$4992,4,FALSE)</f>
        <v>0</v>
      </c>
      <c r="K113" s="6"/>
      <c r="L113" s="5">
        <f>VLOOKUP(K113,'Win Methods'!$C$4:$F$4992,4,FALSE)</f>
        <v>0</v>
      </c>
      <c r="M113" s="6"/>
      <c r="N113" s="5">
        <f>VLOOKUP(M113,'Win Methods'!$C$4:$F$4992,4,FALSE)</f>
        <v>0</v>
      </c>
      <c r="O113" s="6"/>
      <c r="P113" s="5">
        <f>VLOOKUP(O113,'Win Methods'!$C$4:$F$4992,4,FALSE)</f>
        <v>0</v>
      </c>
      <c r="Q113" s="6"/>
      <c r="R113" s="5">
        <f>VLOOKUP(Q113,'Win Methods'!$C$4:$F$4992,4,FALSE)</f>
        <v>0</v>
      </c>
      <c r="S113" s="6"/>
      <c r="T113" s="5">
        <f>VLOOKUP(S113,'Win Methods'!$C$4:$F$4992,4,FALSE)</f>
        <v>0</v>
      </c>
      <c r="U113" s="6"/>
      <c r="V113" s="5">
        <f>VLOOKUP(U113,'Win Methods'!$C$4:$F$4992,4,FALSE)</f>
        <v>0</v>
      </c>
      <c r="W113" s="6"/>
      <c r="X113" s="5">
        <f>VLOOKUP(W113,'Win Methods'!$C$4:$F$4992,4,FALSE)</f>
        <v>0</v>
      </c>
      <c r="Y113" s="5" t="str">
        <f t="shared" si="4"/>
        <v>main-1|main-1|||||||| x 20</v>
      </c>
    </row>
    <row r="114" spans="2:25">
      <c r="B114" s="5">
        <v>111</v>
      </c>
      <c r="C114" s="5">
        <f t="shared" si="5"/>
        <v>12</v>
      </c>
      <c r="D114" s="12">
        <v>20</v>
      </c>
      <c r="E114" s="6" t="s">
        <v>208</v>
      </c>
      <c r="F114" s="5">
        <f>VLOOKUP(E114,'Win Methods'!$C$4:$F$4992,4,FALSE)</f>
        <v>0.1</v>
      </c>
      <c r="G114" s="6" t="s">
        <v>210</v>
      </c>
      <c r="H114" s="5">
        <f>VLOOKUP(G114,'Win Methods'!$C$4:$F$4992,4,FALSE)</f>
        <v>0.5</v>
      </c>
      <c r="I114" s="6"/>
      <c r="J114" s="5">
        <f>VLOOKUP(I114,'Win Methods'!$C$4:$F$4992,4,FALSE)</f>
        <v>0</v>
      </c>
      <c r="K114" s="6"/>
      <c r="L114" s="5">
        <f>VLOOKUP(K114,'Win Methods'!$C$4:$F$4992,4,FALSE)</f>
        <v>0</v>
      </c>
      <c r="M114" s="6"/>
      <c r="N114" s="5">
        <f>VLOOKUP(M114,'Win Methods'!$C$4:$F$4992,4,FALSE)</f>
        <v>0</v>
      </c>
      <c r="O114" s="6"/>
      <c r="P114" s="5">
        <f>VLOOKUP(O114,'Win Methods'!$C$4:$F$4992,4,FALSE)</f>
        <v>0</v>
      </c>
      <c r="Q114" s="6"/>
      <c r="R114" s="5">
        <f>VLOOKUP(Q114,'Win Methods'!$C$4:$F$4992,4,FALSE)</f>
        <v>0</v>
      </c>
      <c r="S114" s="6"/>
      <c r="T114" s="5">
        <f>VLOOKUP(S114,'Win Methods'!$C$4:$F$4992,4,FALSE)</f>
        <v>0</v>
      </c>
      <c r="U114" s="6"/>
      <c r="V114" s="5">
        <f>VLOOKUP(U114,'Win Methods'!$C$4:$F$4992,4,FALSE)</f>
        <v>0</v>
      </c>
      <c r="W114" s="6"/>
      <c r="X114" s="5">
        <f>VLOOKUP(W114,'Win Methods'!$C$4:$F$4992,4,FALSE)</f>
        <v>0</v>
      </c>
      <c r="Y114" s="5" t="str">
        <f t="shared" si="4"/>
        <v>main-0|main-2|||||||| x 20</v>
      </c>
    </row>
    <row r="115" spans="2:25">
      <c r="B115" s="5">
        <v>112</v>
      </c>
      <c r="C115" s="5">
        <f t="shared" si="5"/>
        <v>22</v>
      </c>
      <c r="D115" s="12">
        <v>20</v>
      </c>
      <c r="E115" s="6" t="s">
        <v>208</v>
      </c>
      <c r="F115" s="5">
        <f>VLOOKUP(E115,'Win Methods'!$C$4:$F$4992,4,FALSE)</f>
        <v>0.1</v>
      </c>
      <c r="G115" s="6" t="s">
        <v>211</v>
      </c>
      <c r="H115" s="5">
        <f>VLOOKUP(G115,'Win Methods'!$C$4:$F$4992,4,FALSE)</f>
        <v>1</v>
      </c>
      <c r="I115" s="6"/>
      <c r="J115" s="5">
        <f>VLOOKUP(I115,'Win Methods'!$C$4:$F$4992,4,FALSE)</f>
        <v>0</v>
      </c>
      <c r="K115" s="6"/>
      <c r="L115" s="5">
        <f>VLOOKUP(K115,'Win Methods'!$C$4:$F$4992,4,FALSE)</f>
        <v>0</v>
      </c>
      <c r="M115" s="6"/>
      <c r="N115" s="5">
        <f>VLOOKUP(M115,'Win Methods'!$C$4:$F$4992,4,FALSE)</f>
        <v>0</v>
      </c>
      <c r="O115" s="6"/>
      <c r="P115" s="5">
        <f>VLOOKUP(O115,'Win Methods'!$C$4:$F$4992,4,FALSE)</f>
        <v>0</v>
      </c>
      <c r="Q115" s="6"/>
      <c r="R115" s="5">
        <f>VLOOKUP(Q115,'Win Methods'!$C$4:$F$4992,4,FALSE)</f>
        <v>0</v>
      </c>
      <c r="S115" s="6"/>
      <c r="T115" s="5">
        <f>VLOOKUP(S115,'Win Methods'!$C$4:$F$4992,4,FALSE)</f>
        <v>0</v>
      </c>
      <c r="U115" s="6"/>
      <c r="V115" s="5">
        <f>VLOOKUP(U115,'Win Methods'!$C$4:$F$4992,4,FALSE)</f>
        <v>0</v>
      </c>
      <c r="W115" s="6"/>
      <c r="X115" s="5">
        <f>VLOOKUP(W115,'Win Methods'!$C$4:$F$4992,4,FALSE)</f>
        <v>0</v>
      </c>
      <c r="Y115" s="5" t="str">
        <f t="shared" si="4"/>
        <v>main-0|main-3|||||||| x 20</v>
      </c>
    </row>
    <row r="116" spans="2:25">
      <c r="B116" s="5">
        <v>113</v>
      </c>
      <c r="C116" s="5">
        <f t="shared" si="5"/>
        <v>32</v>
      </c>
      <c r="D116" s="12">
        <v>20</v>
      </c>
      <c r="E116" s="6" t="s">
        <v>208</v>
      </c>
      <c r="F116" s="5">
        <f>VLOOKUP(E116,'Win Methods'!$C$4:$F$4992,4,FALSE)</f>
        <v>0.1</v>
      </c>
      <c r="G116" s="6" t="s">
        <v>212</v>
      </c>
      <c r="H116" s="5">
        <f>VLOOKUP(G116,'Win Methods'!$C$4:$F$4992,4,FALSE)</f>
        <v>1.5</v>
      </c>
      <c r="I116" s="6"/>
      <c r="J116" s="5">
        <f>VLOOKUP(I116,'Win Methods'!$C$4:$F$4992,4,FALSE)</f>
        <v>0</v>
      </c>
      <c r="K116" s="6"/>
      <c r="L116" s="5">
        <f>VLOOKUP(K116,'Win Methods'!$C$4:$F$4992,4,FALSE)</f>
        <v>0</v>
      </c>
      <c r="M116" s="6"/>
      <c r="N116" s="5">
        <f>VLOOKUP(M116,'Win Methods'!$C$4:$F$4992,4,FALSE)</f>
        <v>0</v>
      </c>
      <c r="O116" s="6"/>
      <c r="P116" s="5">
        <f>VLOOKUP(O116,'Win Methods'!$C$4:$F$4992,4,FALSE)</f>
        <v>0</v>
      </c>
      <c r="Q116" s="6"/>
      <c r="R116" s="5">
        <f>VLOOKUP(Q116,'Win Methods'!$C$4:$F$4992,4,FALSE)</f>
        <v>0</v>
      </c>
      <c r="S116" s="6"/>
      <c r="T116" s="5">
        <f>VLOOKUP(S116,'Win Methods'!$C$4:$F$4992,4,FALSE)</f>
        <v>0</v>
      </c>
      <c r="U116" s="6"/>
      <c r="V116" s="5">
        <f>VLOOKUP(U116,'Win Methods'!$C$4:$F$4992,4,FALSE)</f>
        <v>0</v>
      </c>
      <c r="W116" s="6"/>
      <c r="X116" s="5">
        <f>VLOOKUP(W116,'Win Methods'!$C$4:$F$4992,4,FALSE)</f>
        <v>0</v>
      </c>
      <c r="Y116" s="5" t="str">
        <f t="shared" si="4"/>
        <v>main-0|main-4|||||||| x 20</v>
      </c>
    </row>
    <row r="117" spans="2:25">
      <c r="B117" s="5">
        <v>114</v>
      </c>
      <c r="C117" s="5">
        <f t="shared" si="5"/>
        <v>40</v>
      </c>
      <c r="D117" s="12">
        <v>20</v>
      </c>
      <c r="E117" s="6" t="s">
        <v>210</v>
      </c>
      <c r="F117" s="5">
        <f>VLOOKUP(E117,'Win Methods'!$C$4:$F$4992,4,FALSE)</f>
        <v>0.5</v>
      </c>
      <c r="G117" s="6" t="s">
        <v>228</v>
      </c>
      <c r="H117" s="5">
        <f>VLOOKUP(G117,'Win Methods'!$C$4:$F$4992,4,FALSE)</f>
        <v>1.5</v>
      </c>
      <c r="I117" s="6"/>
      <c r="J117" s="5">
        <f>VLOOKUP(I117,'Win Methods'!$C$4:$F$4992,4,FALSE)</f>
        <v>0</v>
      </c>
      <c r="K117" s="6"/>
      <c r="L117" s="5">
        <f>VLOOKUP(K117,'Win Methods'!$C$4:$F$4992,4,FALSE)</f>
        <v>0</v>
      </c>
      <c r="M117" s="6"/>
      <c r="N117" s="5">
        <f>VLOOKUP(M117,'Win Methods'!$C$4:$F$4992,4,FALSE)</f>
        <v>0</v>
      </c>
      <c r="O117" s="6"/>
      <c r="P117" s="5">
        <f>VLOOKUP(O117,'Win Methods'!$C$4:$F$4992,4,FALSE)</f>
        <v>0</v>
      </c>
      <c r="Q117" s="6"/>
      <c r="R117" s="5">
        <f>VLOOKUP(Q117,'Win Methods'!$C$4:$F$4992,4,FALSE)</f>
        <v>0</v>
      </c>
      <c r="S117" s="6"/>
      <c r="T117" s="5">
        <f>VLOOKUP(S117,'Win Methods'!$C$4:$F$4992,4,FALSE)</f>
        <v>0</v>
      </c>
      <c r="U117" s="6"/>
      <c r="V117" s="5">
        <f>VLOOKUP(U117,'Win Methods'!$C$4:$F$4992,4,FALSE)</f>
        <v>0</v>
      </c>
      <c r="W117" s="6"/>
      <c r="X117" s="5">
        <f>VLOOKUP(W117,'Win Methods'!$C$4:$F$4992,4,FALSE)</f>
        <v>0</v>
      </c>
      <c r="Y117" s="5" t="str">
        <f t="shared" si="4"/>
        <v>main-2|main-20|||||||| x 20</v>
      </c>
    </row>
    <row r="118" spans="2:25">
      <c r="B118" s="5">
        <v>115</v>
      </c>
      <c r="C118" s="5">
        <f t="shared" si="5"/>
        <v>60</v>
      </c>
      <c r="D118" s="12">
        <v>20</v>
      </c>
      <c r="E118" s="6" t="s">
        <v>212</v>
      </c>
      <c r="F118" s="5">
        <f>VLOOKUP(E118,'Win Methods'!$C$4:$F$4992,4,FALSE)</f>
        <v>1.5</v>
      </c>
      <c r="G118" s="6" t="s">
        <v>212</v>
      </c>
      <c r="H118" s="5">
        <f>VLOOKUP(G118,'Win Methods'!$C$4:$F$4992,4,FALSE)</f>
        <v>1.5</v>
      </c>
      <c r="I118" s="6"/>
      <c r="J118" s="5">
        <f>VLOOKUP(I118,'Win Methods'!$C$4:$F$4992,4,FALSE)</f>
        <v>0</v>
      </c>
      <c r="K118" s="6"/>
      <c r="L118" s="5">
        <f>VLOOKUP(K118,'Win Methods'!$C$4:$F$4992,4,FALSE)</f>
        <v>0</v>
      </c>
      <c r="M118" s="6"/>
      <c r="N118" s="5">
        <f>VLOOKUP(M118,'Win Methods'!$C$4:$F$4992,4,FALSE)</f>
        <v>0</v>
      </c>
      <c r="O118" s="6"/>
      <c r="P118" s="5">
        <f>VLOOKUP(O118,'Win Methods'!$C$4:$F$4992,4,FALSE)</f>
        <v>0</v>
      </c>
      <c r="Q118" s="6"/>
      <c r="R118" s="5">
        <f>VLOOKUP(Q118,'Win Methods'!$C$4:$F$4992,4,FALSE)</f>
        <v>0</v>
      </c>
      <c r="S118" s="6"/>
      <c r="T118" s="5">
        <f>VLOOKUP(S118,'Win Methods'!$C$4:$F$4992,4,FALSE)</f>
        <v>0</v>
      </c>
      <c r="U118" s="6"/>
      <c r="V118" s="5">
        <f>VLOOKUP(U118,'Win Methods'!$C$4:$F$4992,4,FALSE)</f>
        <v>0</v>
      </c>
      <c r="W118" s="6"/>
      <c r="X118" s="5">
        <f>VLOOKUP(W118,'Win Methods'!$C$4:$F$4992,4,FALSE)</f>
        <v>0</v>
      </c>
      <c r="Y118" s="5" t="str">
        <f t="shared" si="4"/>
        <v>main-4|main-4|||||||| x 20</v>
      </c>
    </row>
    <row r="119" spans="2:25">
      <c r="B119" s="5">
        <v>116</v>
      </c>
      <c r="C119" s="5">
        <f t="shared" si="5"/>
        <v>60</v>
      </c>
      <c r="D119" s="12">
        <v>20</v>
      </c>
      <c r="E119" s="6" t="s">
        <v>212</v>
      </c>
      <c r="F119" s="5">
        <f>VLOOKUP(E119,'Win Methods'!$C$4:$F$4992,4,FALSE)</f>
        <v>1.5</v>
      </c>
      <c r="G119" s="6" t="s">
        <v>219</v>
      </c>
      <c r="H119" s="5">
        <f>VLOOKUP(G119,'Win Methods'!$C$4:$F$4992,4,FALSE)</f>
        <v>1.5</v>
      </c>
      <c r="I119" s="6"/>
      <c r="J119" s="5">
        <f>VLOOKUP(I119,'Win Methods'!$C$4:$F$4992,4,FALSE)</f>
        <v>0</v>
      </c>
      <c r="K119" s="6"/>
      <c r="L119" s="5">
        <f>VLOOKUP(K119,'Win Methods'!$C$4:$F$4992,4,FALSE)</f>
        <v>0</v>
      </c>
      <c r="M119" s="6"/>
      <c r="N119" s="5">
        <f>VLOOKUP(M119,'Win Methods'!$C$4:$F$4992,4,FALSE)</f>
        <v>0</v>
      </c>
      <c r="O119" s="6"/>
      <c r="P119" s="5">
        <f>VLOOKUP(O119,'Win Methods'!$C$4:$F$4992,4,FALSE)</f>
        <v>0</v>
      </c>
      <c r="Q119" s="6"/>
      <c r="R119" s="5">
        <f>VLOOKUP(Q119,'Win Methods'!$C$4:$F$4992,4,FALSE)</f>
        <v>0</v>
      </c>
      <c r="S119" s="6"/>
      <c r="T119" s="5">
        <f>VLOOKUP(S119,'Win Methods'!$C$4:$F$4992,4,FALSE)</f>
        <v>0</v>
      </c>
      <c r="U119" s="6"/>
      <c r="V119" s="5">
        <f>VLOOKUP(U119,'Win Methods'!$C$4:$F$4992,4,FALSE)</f>
        <v>0</v>
      </c>
      <c r="W119" s="6"/>
      <c r="X119" s="5">
        <f>VLOOKUP(W119,'Win Methods'!$C$4:$F$4992,4,FALSE)</f>
        <v>0</v>
      </c>
      <c r="Y119" s="5" t="str">
        <f t="shared" si="4"/>
        <v>main-4|main-11|||||||| x 20</v>
      </c>
    </row>
    <row r="120" spans="2:25">
      <c r="B120" s="5">
        <v>117</v>
      </c>
      <c r="C120" s="5">
        <f t="shared" si="5"/>
        <v>60</v>
      </c>
      <c r="D120" s="12">
        <v>20</v>
      </c>
      <c r="E120" s="6" t="s">
        <v>218</v>
      </c>
      <c r="F120" s="5">
        <f>VLOOKUP(E120,'Win Methods'!$C$4:$F$4992,4,FALSE)</f>
        <v>1</v>
      </c>
      <c r="G120" s="6" t="s">
        <v>238</v>
      </c>
      <c r="H120" s="5">
        <f>VLOOKUP(G120,'Win Methods'!$C$4:$F$4992,4,FALSE)</f>
        <v>2</v>
      </c>
      <c r="I120" s="6"/>
      <c r="J120" s="5">
        <f>VLOOKUP(I120,'Win Methods'!$C$4:$F$4992,4,FALSE)</f>
        <v>0</v>
      </c>
      <c r="K120" s="6"/>
      <c r="L120" s="5">
        <f>VLOOKUP(K120,'Win Methods'!$C$4:$F$4992,4,FALSE)</f>
        <v>0</v>
      </c>
      <c r="M120" s="6"/>
      <c r="N120" s="5">
        <f>VLOOKUP(M120,'Win Methods'!$C$4:$F$4992,4,FALSE)</f>
        <v>0</v>
      </c>
      <c r="O120" s="6"/>
      <c r="P120" s="5">
        <f>VLOOKUP(O120,'Win Methods'!$C$4:$F$4992,4,FALSE)</f>
        <v>0</v>
      </c>
      <c r="Q120" s="6"/>
      <c r="R120" s="5">
        <f>VLOOKUP(Q120,'Win Methods'!$C$4:$F$4992,4,FALSE)</f>
        <v>0</v>
      </c>
      <c r="S120" s="6"/>
      <c r="T120" s="5">
        <f>VLOOKUP(S120,'Win Methods'!$C$4:$F$4992,4,FALSE)</f>
        <v>0</v>
      </c>
      <c r="U120" s="6"/>
      <c r="V120" s="5">
        <f>VLOOKUP(U120,'Win Methods'!$C$4:$F$4992,4,FALSE)</f>
        <v>0</v>
      </c>
      <c r="W120" s="6"/>
      <c r="X120" s="5">
        <f>VLOOKUP(W120,'Win Methods'!$C$4:$F$4992,4,FALSE)</f>
        <v>0</v>
      </c>
      <c r="Y120" s="5" t="str">
        <f t="shared" si="4"/>
        <v>main-10|main-30|||||||| x 20</v>
      </c>
    </row>
    <row r="121" spans="2:25">
      <c r="B121" s="5">
        <v>118</v>
      </c>
      <c r="C121" s="5">
        <f t="shared" si="5"/>
        <v>14</v>
      </c>
      <c r="D121" s="12">
        <v>20</v>
      </c>
      <c r="E121" s="6" t="s">
        <v>208</v>
      </c>
      <c r="F121" s="5">
        <f>VLOOKUP(E121,'Win Methods'!$C$4:$F$4992,4,FALSE)</f>
        <v>0.1</v>
      </c>
      <c r="G121" s="6" t="s">
        <v>208</v>
      </c>
      <c r="H121" s="5">
        <f>VLOOKUP(G121,'Win Methods'!$C$4:$F$4992,4,FALSE)</f>
        <v>0.1</v>
      </c>
      <c r="I121" s="6" t="s">
        <v>210</v>
      </c>
      <c r="J121" s="5">
        <f>VLOOKUP(I121,'Win Methods'!$C$4:$F$4992,4,FALSE)</f>
        <v>0.5</v>
      </c>
      <c r="K121" s="6"/>
      <c r="L121" s="5">
        <f>VLOOKUP(K121,'Win Methods'!$C$4:$F$4992,4,FALSE)</f>
        <v>0</v>
      </c>
      <c r="M121" s="6"/>
      <c r="N121" s="5">
        <f>VLOOKUP(M121,'Win Methods'!$C$4:$F$4992,4,FALSE)</f>
        <v>0</v>
      </c>
      <c r="O121" s="6"/>
      <c r="P121" s="5">
        <f>VLOOKUP(O121,'Win Methods'!$C$4:$F$4992,4,FALSE)</f>
        <v>0</v>
      </c>
      <c r="Q121" s="6"/>
      <c r="R121" s="5">
        <f>VLOOKUP(Q121,'Win Methods'!$C$4:$F$4992,4,FALSE)</f>
        <v>0</v>
      </c>
      <c r="S121" s="6"/>
      <c r="T121" s="5">
        <f>VLOOKUP(S121,'Win Methods'!$C$4:$F$4992,4,FALSE)</f>
        <v>0</v>
      </c>
      <c r="U121" s="6"/>
      <c r="V121" s="5">
        <f>VLOOKUP(U121,'Win Methods'!$C$4:$F$4992,4,FALSE)</f>
        <v>0</v>
      </c>
      <c r="W121" s="6"/>
      <c r="X121" s="5">
        <f>VLOOKUP(W121,'Win Methods'!$C$4:$F$4992,4,FALSE)</f>
        <v>0</v>
      </c>
      <c r="Y121" s="5" t="str">
        <f t="shared" si="4"/>
        <v>main-0|main-0|main-2||||||| x 20</v>
      </c>
    </row>
    <row r="122" spans="2:25">
      <c r="B122" s="5">
        <v>119</v>
      </c>
      <c r="C122" s="5">
        <f t="shared" si="5"/>
        <v>18</v>
      </c>
      <c r="D122" s="12">
        <v>20</v>
      </c>
      <c r="E122" s="6" t="s">
        <v>209</v>
      </c>
      <c r="F122" s="5">
        <f>VLOOKUP(E122,'Win Methods'!$C$4:$F$4992,4,FALSE)</f>
        <v>0.2</v>
      </c>
      <c r="G122" s="6" t="s">
        <v>209</v>
      </c>
      <c r="H122" s="5">
        <f>VLOOKUP(G122,'Win Methods'!$C$4:$F$4992,4,FALSE)</f>
        <v>0.2</v>
      </c>
      <c r="I122" s="6" t="s">
        <v>210</v>
      </c>
      <c r="J122" s="5">
        <f>VLOOKUP(I122,'Win Methods'!$C$4:$F$4992,4,FALSE)</f>
        <v>0.5</v>
      </c>
      <c r="K122" s="6"/>
      <c r="L122" s="5">
        <f>VLOOKUP(K122,'Win Methods'!$C$4:$F$4992,4,FALSE)</f>
        <v>0</v>
      </c>
      <c r="M122" s="6"/>
      <c r="N122" s="5">
        <f>VLOOKUP(M122,'Win Methods'!$C$4:$F$4992,4,FALSE)</f>
        <v>0</v>
      </c>
      <c r="O122" s="6"/>
      <c r="P122" s="5">
        <f>VLOOKUP(O122,'Win Methods'!$C$4:$F$4992,4,FALSE)</f>
        <v>0</v>
      </c>
      <c r="Q122" s="6"/>
      <c r="R122" s="5">
        <f>VLOOKUP(Q122,'Win Methods'!$C$4:$F$4992,4,FALSE)</f>
        <v>0</v>
      </c>
      <c r="S122" s="6"/>
      <c r="T122" s="5">
        <f>VLOOKUP(S122,'Win Methods'!$C$4:$F$4992,4,FALSE)</f>
        <v>0</v>
      </c>
      <c r="U122" s="6"/>
      <c r="V122" s="5">
        <f>VLOOKUP(U122,'Win Methods'!$C$4:$F$4992,4,FALSE)</f>
        <v>0</v>
      </c>
      <c r="W122" s="6"/>
      <c r="X122" s="5">
        <f>VLOOKUP(W122,'Win Methods'!$C$4:$F$4992,4,FALSE)</f>
        <v>0</v>
      </c>
      <c r="Y122" s="5" t="str">
        <f t="shared" si="4"/>
        <v>main-1|main-1|main-2||||||| x 20</v>
      </c>
    </row>
    <row r="123" spans="2:25">
      <c r="B123" s="5">
        <v>120</v>
      </c>
      <c r="C123" s="5">
        <f t="shared" si="5"/>
        <v>50</v>
      </c>
      <c r="D123" s="12">
        <v>20</v>
      </c>
      <c r="E123" s="6" t="s">
        <v>210</v>
      </c>
      <c r="F123" s="5">
        <f>VLOOKUP(E123,'Win Methods'!$C$4:$F$4992,4,FALSE)</f>
        <v>0.5</v>
      </c>
      <c r="G123" s="6" t="s">
        <v>211</v>
      </c>
      <c r="H123" s="5">
        <f>VLOOKUP(G123,'Win Methods'!$C$4:$F$4992,4,FALSE)</f>
        <v>1</v>
      </c>
      <c r="I123" s="6" t="s">
        <v>218</v>
      </c>
      <c r="J123" s="5">
        <f>VLOOKUP(I123,'Win Methods'!$C$4:$F$4992,4,FALSE)</f>
        <v>1</v>
      </c>
      <c r="K123" s="6"/>
      <c r="L123" s="5">
        <f>VLOOKUP(K123,'Win Methods'!$C$4:$F$4992,4,FALSE)</f>
        <v>0</v>
      </c>
      <c r="M123" s="6"/>
      <c r="N123" s="5">
        <f>VLOOKUP(M123,'Win Methods'!$C$4:$F$4992,4,FALSE)</f>
        <v>0</v>
      </c>
      <c r="O123" s="6"/>
      <c r="P123" s="5">
        <f>VLOOKUP(O123,'Win Methods'!$C$4:$F$4992,4,FALSE)</f>
        <v>0</v>
      </c>
      <c r="Q123" s="6"/>
      <c r="R123" s="5">
        <f>VLOOKUP(Q123,'Win Methods'!$C$4:$F$4992,4,FALSE)</f>
        <v>0</v>
      </c>
      <c r="S123" s="6"/>
      <c r="T123" s="5">
        <f>VLOOKUP(S123,'Win Methods'!$C$4:$F$4992,4,FALSE)</f>
        <v>0</v>
      </c>
      <c r="U123" s="6"/>
      <c r="V123" s="5">
        <f>VLOOKUP(U123,'Win Methods'!$C$4:$F$4992,4,FALSE)</f>
        <v>0</v>
      </c>
      <c r="W123" s="6"/>
      <c r="X123" s="5">
        <f>VLOOKUP(W123,'Win Methods'!$C$4:$F$4992,4,FALSE)</f>
        <v>0</v>
      </c>
      <c r="Y123" s="5" t="str">
        <f t="shared" si="4"/>
        <v>main-2|main-3|main-10||||||| x 20</v>
      </c>
    </row>
    <row r="124" spans="2:25">
      <c r="B124" s="5">
        <v>121</v>
      </c>
      <c r="C124" s="5">
        <f t="shared" si="5"/>
        <v>44</v>
      </c>
      <c r="D124" s="12">
        <v>20</v>
      </c>
      <c r="E124" s="6" t="s">
        <v>208</v>
      </c>
      <c r="F124" s="5">
        <f>VLOOKUP(E124,'Win Methods'!$C$4:$F$4992,4,FALSE)</f>
        <v>0.1</v>
      </c>
      <c r="G124" s="6" t="s">
        <v>208</v>
      </c>
      <c r="H124" s="5">
        <f>VLOOKUP(G124,'Win Methods'!$C$4:$F$4992,4,FALSE)</f>
        <v>0.1</v>
      </c>
      <c r="I124" s="6" t="s">
        <v>220</v>
      </c>
      <c r="J124" s="5">
        <f>VLOOKUP(I124,'Win Methods'!$C$4:$F$4992,4,FALSE)</f>
        <v>2</v>
      </c>
      <c r="K124" s="6"/>
      <c r="L124" s="5">
        <f>VLOOKUP(K124,'Win Methods'!$C$4:$F$4992,4,FALSE)</f>
        <v>0</v>
      </c>
      <c r="M124" s="6"/>
      <c r="N124" s="5">
        <f>VLOOKUP(M124,'Win Methods'!$C$4:$F$4992,4,FALSE)</f>
        <v>0</v>
      </c>
      <c r="O124" s="6"/>
      <c r="P124" s="5">
        <f>VLOOKUP(O124,'Win Methods'!$C$4:$F$4992,4,FALSE)</f>
        <v>0</v>
      </c>
      <c r="Q124" s="6"/>
      <c r="R124" s="5">
        <f>VLOOKUP(Q124,'Win Methods'!$C$4:$F$4992,4,FALSE)</f>
        <v>0</v>
      </c>
      <c r="S124" s="6"/>
      <c r="T124" s="5">
        <f>VLOOKUP(S124,'Win Methods'!$C$4:$F$4992,4,FALSE)</f>
        <v>0</v>
      </c>
      <c r="U124" s="6"/>
      <c r="V124" s="5">
        <f>VLOOKUP(U124,'Win Methods'!$C$4:$F$4992,4,FALSE)</f>
        <v>0</v>
      </c>
      <c r="W124" s="6"/>
      <c r="X124" s="5">
        <f>VLOOKUP(W124,'Win Methods'!$C$4:$F$4992,4,FALSE)</f>
        <v>0</v>
      </c>
      <c r="Y124" s="5" t="str">
        <f t="shared" si="4"/>
        <v>main-0|main-0|main-12||||||| x 20</v>
      </c>
    </row>
    <row r="125" spans="2:25">
      <c r="B125" s="5">
        <v>122</v>
      </c>
      <c r="C125" s="5">
        <f t="shared" si="5"/>
        <v>8</v>
      </c>
      <c r="D125" s="12">
        <v>20</v>
      </c>
      <c r="E125" s="6" t="s">
        <v>208</v>
      </c>
      <c r="F125" s="5">
        <f>VLOOKUP(E125,'Win Methods'!$C$4:$F$4992,4,FALSE)</f>
        <v>0.1</v>
      </c>
      <c r="G125" s="6" t="s">
        <v>208</v>
      </c>
      <c r="H125" s="5">
        <f>VLOOKUP(G125,'Win Methods'!$C$4:$F$4992,4,FALSE)</f>
        <v>0.1</v>
      </c>
      <c r="I125" s="6" t="s">
        <v>209</v>
      </c>
      <c r="J125" s="5">
        <f>VLOOKUP(I125,'Win Methods'!$C$4:$F$4992,4,FALSE)</f>
        <v>0.2</v>
      </c>
      <c r="K125" s="6"/>
      <c r="L125" s="5">
        <f>VLOOKUP(K125,'Win Methods'!$C$4:$F$4992,4,FALSE)</f>
        <v>0</v>
      </c>
      <c r="M125" s="6"/>
      <c r="N125" s="5">
        <f>VLOOKUP(M125,'Win Methods'!$C$4:$F$4992,4,FALSE)</f>
        <v>0</v>
      </c>
      <c r="O125" s="6"/>
      <c r="P125" s="5">
        <f>VLOOKUP(O125,'Win Methods'!$C$4:$F$4992,4,FALSE)</f>
        <v>0</v>
      </c>
      <c r="Q125" s="6"/>
      <c r="R125" s="5">
        <f>VLOOKUP(Q125,'Win Methods'!$C$4:$F$4992,4,FALSE)</f>
        <v>0</v>
      </c>
      <c r="S125" s="6"/>
      <c r="T125" s="5">
        <f>VLOOKUP(S125,'Win Methods'!$C$4:$F$4992,4,FALSE)</f>
        <v>0</v>
      </c>
      <c r="U125" s="6"/>
      <c r="V125" s="5">
        <f>VLOOKUP(U125,'Win Methods'!$C$4:$F$4992,4,FALSE)</f>
        <v>0</v>
      </c>
      <c r="W125" s="6"/>
      <c r="X125" s="5">
        <f>VLOOKUP(W125,'Win Methods'!$C$4:$F$4992,4,FALSE)</f>
        <v>0</v>
      </c>
      <c r="Y125" s="5" t="str">
        <f t="shared" si="4"/>
        <v>main-0|main-0|main-1||||||| x 20</v>
      </c>
    </row>
    <row r="126" spans="2:25">
      <c r="B126" s="5">
        <v>123</v>
      </c>
      <c r="C126" s="5">
        <f t="shared" si="5"/>
        <v>26</v>
      </c>
      <c r="D126" s="12">
        <v>20</v>
      </c>
      <c r="E126" s="6" t="s">
        <v>208</v>
      </c>
      <c r="F126" s="5">
        <f>VLOOKUP(E126,'Win Methods'!$C$4:$F$4992,4,FALSE)</f>
        <v>0.1</v>
      </c>
      <c r="G126" s="6" t="s">
        <v>209</v>
      </c>
      <c r="H126" s="5">
        <f>VLOOKUP(G126,'Win Methods'!$C$4:$F$4992,4,FALSE)</f>
        <v>0.2</v>
      </c>
      <c r="I126" s="6" t="s">
        <v>210</v>
      </c>
      <c r="J126" s="5">
        <f>VLOOKUP(I126,'Win Methods'!$C$4:$F$4992,4,FALSE)</f>
        <v>0.5</v>
      </c>
      <c r="K126" s="6" t="s">
        <v>210</v>
      </c>
      <c r="L126" s="5">
        <f>VLOOKUP(K126,'Win Methods'!$C$4:$F$4992,4,FALSE)</f>
        <v>0.5</v>
      </c>
      <c r="M126" s="6"/>
      <c r="N126" s="5">
        <f>VLOOKUP(M126,'Win Methods'!$C$4:$F$4992,4,FALSE)</f>
        <v>0</v>
      </c>
      <c r="O126" s="6"/>
      <c r="P126" s="5">
        <f>VLOOKUP(O126,'Win Methods'!$C$4:$F$4992,4,FALSE)</f>
        <v>0</v>
      </c>
      <c r="Q126" s="6"/>
      <c r="R126" s="5">
        <f>VLOOKUP(Q126,'Win Methods'!$C$4:$F$4992,4,FALSE)</f>
        <v>0</v>
      </c>
      <c r="S126" s="6"/>
      <c r="T126" s="5">
        <f>VLOOKUP(S126,'Win Methods'!$C$4:$F$4992,4,FALSE)</f>
        <v>0</v>
      </c>
      <c r="U126" s="6"/>
      <c r="V126" s="5">
        <f>VLOOKUP(U126,'Win Methods'!$C$4:$F$4992,4,FALSE)</f>
        <v>0</v>
      </c>
      <c r="W126" s="6"/>
      <c r="X126" s="5">
        <f>VLOOKUP(W126,'Win Methods'!$C$4:$F$4992,4,FALSE)</f>
        <v>0</v>
      </c>
      <c r="Y126" s="5" t="str">
        <f t="shared" si="4"/>
        <v>main-0|main-1|main-2|main-2|||||| x 20</v>
      </c>
    </row>
    <row r="127" spans="2:25">
      <c r="B127" s="5">
        <v>124</v>
      </c>
      <c r="C127" s="5">
        <f t="shared" si="5"/>
        <v>40</v>
      </c>
      <c r="D127" s="12">
        <v>20</v>
      </c>
      <c r="E127" s="6" t="s">
        <v>208</v>
      </c>
      <c r="F127" s="5">
        <f>VLOOKUP(E127,'Win Methods'!$C$4:$F$4992,4,FALSE)</f>
        <v>0.1</v>
      </c>
      <c r="G127" s="6" t="s">
        <v>209</v>
      </c>
      <c r="H127" s="5">
        <f>VLOOKUP(G127,'Win Methods'!$C$4:$F$4992,4,FALSE)</f>
        <v>0.2</v>
      </c>
      <c r="I127" s="6" t="s">
        <v>209</v>
      </c>
      <c r="J127" s="5">
        <f>VLOOKUP(I127,'Win Methods'!$C$4:$F$4992,4,FALSE)</f>
        <v>0.2</v>
      </c>
      <c r="K127" s="6" t="s">
        <v>212</v>
      </c>
      <c r="L127" s="5">
        <f>VLOOKUP(K127,'Win Methods'!$C$4:$F$4992,4,FALSE)</f>
        <v>1.5</v>
      </c>
      <c r="M127" s="6"/>
      <c r="N127" s="5">
        <f>VLOOKUP(M127,'Win Methods'!$C$4:$F$4992,4,FALSE)</f>
        <v>0</v>
      </c>
      <c r="O127" s="6"/>
      <c r="P127" s="5">
        <f>VLOOKUP(O127,'Win Methods'!$C$4:$F$4992,4,FALSE)</f>
        <v>0</v>
      </c>
      <c r="Q127" s="6"/>
      <c r="R127" s="5">
        <f>VLOOKUP(Q127,'Win Methods'!$C$4:$F$4992,4,FALSE)</f>
        <v>0</v>
      </c>
      <c r="S127" s="6"/>
      <c r="T127" s="5">
        <f>VLOOKUP(S127,'Win Methods'!$C$4:$F$4992,4,FALSE)</f>
        <v>0</v>
      </c>
      <c r="U127" s="6"/>
      <c r="V127" s="5">
        <f>VLOOKUP(U127,'Win Methods'!$C$4:$F$4992,4,FALSE)</f>
        <v>0</v>
      </c>
      <c r="W127" s="6"/>
      <c r="X127" s="5">
        <f>VLOOKUP(W127,'Win Methods'!$C$4:$F$4992,4,FALSE)</f>
        <v>0</v>
      </c>
      <c r="Y127" s="5" t="str">
        <f t="shared" si="4"/>
        <v>main-0|main-1|main-1|main-4|||||| x 20</v>
      </c>
    </row>
    <row r="128" spans="2:25">
      <c r="B128" s="5">
        <v>125</v>
      </c>
      <c r="C128" s="5">
        <f t="shared" si="5"/>
        <v>28</v>
      </c>
      <c r="D128" s="12">
        <v>20</v>
      </c>
      <c r="E128" s="6" t="s">
        <v>208</v>
      </c>
      <c r="F128" s="5">
        <f>VLOOKUP(E128,'Win Methods'!$C$4:$F$4992,4,FALSE)</f>
        <v>0.1</v>
      </c>
      <c r="G128" s="6" t="s">
        <v>208</v>
      </c>
      <c r="H128" s="5">
        <f>VLOOKUP(G128,'Win Methods'!$C$4:$F$4992,4,FALSE)</f>
        <v>0.1</v>
      </c>
      <c r="I128" s="6" t="s">
        <v>209</v>
      </c>
      <c r="J128" s="5">
        <f>VLOOKUP(I128,'Win Methods'!$C$4:$F$4992,4,FALSE)</f>
        <v>0.2</v>
      </c>
      <c r="K128" s="6" t="s">
        <v>218</v>
      </c>
      <c r="L128" s="5">
        <f>VLOOKUP(K128,'Win Methods'!$C$4:$F$4992,4,FALSE)</f>
        <v>1</v>
      </c>
      <c r="M128" s="6"/>
      <c r="N128" s="5">
        <f>VLOOKUP(M128,'Win Methods'!$C$4:$F$4992,4,FALSE)</f>
        <v>0</v>
      </c>
      <c r="O128" s="6"/>
      <c r="P128" s="5">
        <f>VLOOKUP(O128,'Win Methods'!$C$4:$F$4992,4,FALSE)</f>
        <v>0</v>
      </c>
      <c r="Q128" s="6"/>
      <c r="R128" s="5">
        <f>VLOOKUP(Q128,'Win Methods'!$C$4:$F$4992,4,FALSE)</f>
        <v>0</v>
      </c>
      <c r="S128" s="6"/>
      <c r="T128" s="5">
        <f>VLOOKUP(S128,'Win Methods'!$C$4:$F$4992,4,FALSE)</f>
        <v>0</v>
      </c>
      <c r="U128" s="6"/>
      <c r="V128" s="5">
        <f>VLOOKUP(U128,'Win Methods'!$C$4:$F$4992,4,FALSE)</f>
        <v>0</v>
      </c>
      <c r="W128" s="6"/>
      <c r="X128" s="5">
        <f>VLOOKUP(W128,'Win Methods'!$C$4:$F$4992,4,FALSE)</f>
        <v>0</v>
      </c>
      <c r="Y128" s="5" t="str">
        <f t="shared" si="4"/>
        <v>main-0|main-0|main-1|main-10|||||| x 20</v>
      </c>
    </row>
    <row r="129" spans="2:25">
      <c r="B129" s="5">
        <v>126</v>
      </c>
      <c r="C129" s="5">
        <f t="shared" si="5"/>
        <v>10</v>
      </c>
      <c r="D129" s="12">
        <v>20</v>
      </c>
      <c r="E129" s="6" t="s">
        <v>208</v>
      </c>
      <c r="F129" s="5">
        <f>VLOOKUP(E129,'Win Methods'!$C$4:$F$4992,4,FALSE)</f>
        <v>0.1</v>
      </c>
      <c r="G129" s="6" t="s">
        <v>208</v>
      </c>
      <c r="H129" s="5">
        <f>VLOOKUP(G129,'Win Methods'!$C$4:$F$4992,4,FALSE)</f>
        <v>0.1</v>
      </c>
      <c r="I129" s="6" t="s">
        <v>208</v>
      </c>
      <c r="J129" s="5">
        <f>VLOOKUP(I129,'Win Methods'!$C$4:$F$4992,4,FALSE)</f>
        <v>0.1</v>
      </c>
      <c r="K129" s="6" t="s">
        <v>209</v>
      </c>
      <c r="L129" s="5">
        <f>VLOOKUP(K129,'Win Methods'!$C$4:$F$4992,4,FALSE)</f>
        <v>0.2</v>
      </c>
      <c r="M129" s="6"/>
      <c r="N129" s="5">
        <f>VLOOKUP(M129,'Win Methods'!$C$4:$F$4992,4,FALSE)</f>
        <v>0</v>
      </c>
      <c r="O129" s="6"/>
      <c r="P129" s="5">
        <f>VLOOKUP(O129,'Win Methods'!$C$4:$F$4992,4,FALSE)</f>
        <v>0</v>
      </c>
      <c r="Q129" s="6"/>
      <c r="R129" s="5">
        <f>VLOOKUP(Q129,'Win Methods'!$C$4:$F$4992,4,FALSE)</f>
        <v>0</v>
      </c>
      <c r="S129" s="6"/>
      <c r="T129" s="5">
        <f>VLOOKUP(S129,'Win Methods'!$C$4:$F$4992,4,FALSE)</f>
        <v>0</v>
      </c>
      <c r="U129" s="6"/>
      <c r="V129" s="5">
        <f>VLOOKUP(U129,'Win Methods'!$C$4:$F$4992,4,FALSE)</f>
        <v>0</v>
      </c>
      <c r="W129" s="6"/>
      <c r="X129" s="5">
        <f>VLOOKUP(W129,'Win Methods'!$C$4:$F$4992,4,FALSE)</f>
        <v>0</v>
      </c>
      <c r="Y129" s="5" t="str">
        <f t="shared" si="4"/>
        <v>main-0|main-0|main-0|main-1|||||| x 20</v>
      </c>
    </row>
    <row r="130" spans="2:25">
      <c r="B130" s="5">
        <v>127</v>
      </c>
      <c r="C130" s="5">
        <f t="shared" si="5"/>
        <v>12.000000000000002</v>
      </c>
      <c r="D130" s="12">
        <v>20</v>
      </c>
      <c r="E130" s="6" t="s">
        <v>208</v>
      </c>
      <c r="F130" s="5">
        <f>VLOOKUP(E130,'Win Methods'!$C$4:$F$4992,4,FALSE)</f>
        <v>0.1</v>
      </c>
      <c r="G130" s="6" t="s">
        <v>208</v>
      </c>
      <c r="H130" s="5">
        <f>VLOOKUP(G130,'Win Methods'!$C$4:$F$4992,4,FALSE)</f>
        <v>0.1</v>
      </c>
      <c r="I130" s="6" t="s">
        <v>209</v>
      </c>
      <c r="J130" s="5">
        <f>VLOOKUP(I130,'Win Methods'!$C$4:$F$4992,4,FALSE)</f>
        <v>0.2</v>
      </c>
      <c r="K130" s="6" t="s">
        <v>209</v>
      </c>
      <c r="L130" s="5">
        <f>VLOOKUP(K130,'Win Methods'!$C$4:$F$4992,4,FALSE)</f>
        <v>0.2</v>
      </c>
      <c r="M130" s="6"/>
      <c r="N130" s="5">
        <f>VLOOKUP(M130,'Win Methods'!$C$4:$F$4992,4,FALSE)</f>
        <v>0</v>
      </c>
      <c r="O130" s="6"/>
      <c r="P130" s="5">
        <f>VLOOKUP(O130,'Win Methods'!$C$4:$F$4992,4,FALSE)</f>
        <v>0</v>
      </c>
      <c r="Q130" s="6"/>
      <c r="R130" s="5">
        <f>VLOOKUP(Q130,'Win Methods'!$C$4:$F$4992,4,FALSE)</f>
        <v>0</v>
      </c>
      <c r="S130" s="6"/>
      <c r="T130" s="5">
        <f>VLOOKUP(S130,'Win Methods'!$C$4:$F$4992,4,FALSE)</f>
        <v>0</v>
      </c>
      <c r="U130" s="6"/>
      <c r="V130" s="5">
        <f>VLOOKUP(U130,'Win Methods'!$C$4:$F$4992,4,FALSE)</f>
        <v>0</v>
      </c>
      <c r="W130" s="6"/>
      <c r="X130" s="5">
        <f>VLOOKUP(W130,'Win Methods'!$C$4:$F$4992,4,FALSE)</f>
        <v>0</v>
      </c>
      <c r="Y130" s="5" t="str">
        <f t="shared" si="4"/>
        <v>main-0|main-0|main-1|main-1|||||| x 20</v>
      </c>
    </row>
    <row r="131" spans="2:25">
      <c r="B131" s="5">
        <v>128</v>
      </c>
      <c r="C131" s="5">
        <f t="shared" ref="C131:C162" si="6">(F131+H131+J131+L131+N131+P131+R131+T131+V131+X131)*D131</f>
        <v>48</v>
      </c>
      <c r="D131" s="12">
        <v>20</v>
      </c>
      <c r="E131" s="6" t="s">
        <v>208</v>
      </c>
      <c r="F131" s="5">
        <f>VLOOKUP(E131,'Win Methods'!$C$4:$F$4992,4,FALSE)</f>
        <v>0.1</v>
      </c>
      <c r="G131" s="6" t="s">
        <v>208</v>
      </c>
      <c r="H131" s="5">
        <f>VLOOKUP(G131,'Win Methods'!$C$4:$F$4992,4,FALSE)</f>
        <v>0.1</v>
      </c>
      <c r="I131" s="6" t="s">
        <v>209</v>
      </c>
      <c r="J131" s="5">
        <f>VLOOKUP(I131,'Win Methods'!$C$4:$F$4992,4,FALSE)</f>
        <v>0.2</v>
      </c>
      <c r="K131" s="6" t="s">
        <v>238</v>
      </c>
      <c r="L131" s="5">
        <f>VLOOKUP(K131,'Win Methods'!$C$4:$F$4992,4,FALSE)</f>
        <v>2</v>
      </c>
      <c r="M131" s="6"/>
      <c r="N131" s="5">
        <f>VLOOKUP(M131,'Win Methods'!$C$4:$F$4992,4,FALSE)</f>
        <v>0</v>
      </c>
      <c r="O131" s="6"/>
      <c r="P131" s="5">
        <f>VLOOKUP(O131,'Win Methods'!$C$4:$F$4992,4,FALSE)</f>
        <v>0</v>
      </c>
      <c r="Q131" s="6"/>
      <c r="R131" s="5">
        <f>VLOOKUP(Q131,'Win Methods'!$C$4:$F$4992,4,FALSE)</f>
        <v>0</v>
      </c>
      <c r="S131" s="6"/>
      <c r="T131" s="5">
        <f>VLOOKUP(S131,'Win Methods'!$C$4:$F$4992,4,FALSE)</f>
        <v>0</v>
      </c>
      <c r="U131" s="6"/>
      <c r="V131" s="5">
        <f>VLOOKUP(U131,'Win Methods'!$C$4:$F$4992,4,FALSE)</f>
        <v>0</v>
      </c>
      <c r="W131" s="6"/>
      <c r="X131" s="5">
        <f>VLOOKUP(W131,'Win Methods'!$C$4:$F$4992,4,FALSE)</f>
        <v>0</v>
      </c>
      <c r="Y131" s="5" t="str">
        <f t="shared" ref="Y131:Y194" si="7">E131&amp;"|"&amp;G131&amp;"|"&amp;I131&amp;"|"&amp;K131&amp;"|"&amp;M131&amp;"|"&amp;O131&amp;"|"&amp;Q131&amp;"|"&amp;S131&amp;"|"&amp;U131&amp;"|"&amp;W131 &amp;" x "&amp;D131</f>
        <v>main-0|main-0|main-1|main-30|||||| x 20</v>
      </c>
    </row>
    <row r="132" spans="2:25">
      <c r="B132" s="5">
        <v>129</v>
      </c>
      <c r="C132" s="5">
        <f t="shared" si="6"/>
        <v>22</v>
      </c>
      <c r="D132" s="12">
        <v>20</v>
      </c>
      <c r="E132" s="6" t="s">
        <v>208</v>
      </c>
      <c r="F132" s="5">
        <f>VLOOKUP(E132,'Win Methods'!$C$4:$F$4992,4,FALSE)</f>
        <v>0.1</v>
      </c>
      <c r="G132" s="6" t="s">
        <v>208</v>
      </c>
      <c r="H132" s="5">
        <f>VLOOKUP(G132,'Win Methods'!$C$4:$F$4992,4,FALSE)</f>
        <v>0.1</v>
      </c>
      <c r="I132" s="6" t="s">
        <v>209</v>
      </c>
      <c r="J132" s="5">
        <f>VLOOKUP(I132,'Win Methods'!$C$4:$F$4992,4,FALSE)</f>
        <v>0.2</v>
      </c>
      <c r="K132" s="6" t="s">
        <v>209</v>
      </c>
      <c r="L132" s="5">
        <f>VLOOKUP(K132,'Win Methods'!$C$4:$F$4992,4,FALSE)</f>
        <v>0.2</v>
      </c>
      <c r="M132" s="6" t="s">
        <v>210</v>
      </c>
      <c r="N132" s="5">
        <f>VLOOKUP(M132,'Win Methods'!$C$4:$F$4992,4,FALSE)</f>
        <v>0.5</v>
      </c>
      <c r="O132" s="6"/>
      <c r="P132" s="5">
        <f>VLOOKUP(O132,'Win Methods'!$C$4:$F$4992,4,FALSE)</f>
        <v>0</v>
      </c>
      <c r="Q132" s="6"/>
      <c r="R132" s="5">
        <f>VLOOKUP(Q132,'Win Methods'!$C$4:$F$4992,4,FALSE)</f>
        <v>0</v>
      </c>
      <c r="S132" s="6"/>
      <c r="T132" s="5">
        <f>VLOOKUP(S132,'Win Methods'!$C$4:$F$4992,4,FALSE)</f>
        <v>0</v>
      </c>
      <c r="U132" s="6"/>
      <c r="V132" s="5">
        <f>VLOOKUP(U132,'Win Methods'!$C$4:$F$4992,4,FALSE)</f>
        <v>0</v>
      </c>
      <c r="W132" s="6"/>
      <c r="X132" s="5">
        <f>VLOOKUP(W132,'Win Methods'!$C$4:$F$4992,4,FALSE)</f>
        <v>0</v>
      </c>
      <c r="Y132" s="5" t="str">
        <f t="shared" si="7"/>
        <v>main-0|main-0|main-1|main-1|main-2||||| x 20</v>
      </c>
    </row>
    <row r="133" spans="2:25">
      <c r="B133" s="5">
        <v>130</v>
      </c>
      <c r="C133" s="5">
        <f t="shared" si="6"/>
        <v>58</v>
      </c>
      <c r="D133" s="12">
        <v>20</v>
      </c>
      <c r="E133" s="6" t="s">
        <v>208</v>
      </c>
      <c r="F133" s="5">
        <f>VLOOKUP(E133,'Win Methods'!$C$4:$F$4992,4,FALSE)</f>
        <v>0.1</v>
      </c>
      <c r="G133" s="6" t="s">
        <v>208</v>
      </c>
      <c r="H133" s="5">
        <f>VLOOKUP(G133,'Win Methods'!$C$4:$F$4992,4,FALSE)</f>
        <v>0.1</v>
      </c>
      <c r="I133" s="6" t="s">
        <v>209</v>
      </c>
      <c r="J133" s="5">
        <f>VLOOKUP(I133,'Win Methods'!$C$4:$F$4992,4,FALSE)</f>
        <v>0.2</v>
      </c>
      <c r="K133" s="6" t="s">
        <v>218</v>
      </c>
      <c r="L133" s="5">
        <f>VLOOKUP(K133,'Win Methods'!$C$4:$F$4992,4,FALSE)</f>
        <v>1</v>
      </c>
      <c r="M133" s="6" t="s">
        <v>228</v>
      </c>
      <c r="N133" s="5">
        <f>VLOOKUP(M133,'Win Methods'!$C$4:$F$4992,4,FALSE)</f>
        <v>1.5</v>
      </c>
      <c r="O133" s="6"/>
      <c r="P133" s="5">
        <f>VLOOKUP(O133,'Win Methods'!$C$4:$F$4992,4,FALSE)</f>
        <v>0</v>
      </c>
      <c r="Q133" s="6"/>
      <c r="R133" s="5">
        <f>VLOOKUP(Q133,'Win Methods'!$C$4:$F$4992,4,FALSE)</f>
        <v>0</v>
      </c>
      <c r="S133" s="6"/>
      <c r="T133" s="5">
        <f>VLOOKUP(S133,'Win Methods'!$C$4:$F$4992,4,FALSE)</f>
        <v>0</v>
      </c>
      <c r="U133" s="6"/>
      <c r="V133" s="5">
        <f>VLOOKUP(U133,'Win Methods'!$C$4:$F$4992,4,FALSE)</f>
        <v>0</v>
      </c>
      <c r="W133" s="6"/>
      <c r="X133" s="5">
        <f>VLOOKUP(W133,'Win Methods'!$C$4:$F$4992,4,FALSE)</f>
        <v>0</v>
      </c>
      <c r="Y133" s="5" t="str">
        <f t="shared" si="7"/>
        <v>main-0|main-0|main-1|main-10|main-20||||| x 20</v>
      </c>
    </row>
    <row r="134" spans="2:25">
      <c r="B134" s="5">
        <v>131</v>
      </c>
      <c r="C134" s="5">
        <f t="shared" si="6"/>
        <v>11</v>
      </c>
      <c r="D134" s="4">
        <v>1</v>
      </c>
      <c r="E134" s="6" t="s">
        <v>218</v>
      </c>
      <c r="F134" s="5">
        <f>VLOOKUP(E134,'Win Methods'!$C$4:$F$4992,4,FALSE)</f>
        <v>1</v>
      </c>
      <c r="G134" s="110" t="s">
        <v>251</v>
      </c>
      <c r="H134" s="5">
        <f>VLOOKUP(G134,'Win Methods'!$C$4:$F$4992,4,FALSE)</f>
        <v>10</v>
      </c>
      <c r="I134" s="6"/>
      <c r="J134" s="5">
        <f>VLOOKUP(I134,'Win Methods'!$C$4:$F$4992,4,FALSE)</f>
        <v>0</v>
      </c>
      <c r="K134" s="6"/>
      <c r="L134" s="5">
        <f>VLOOKUP(K134,'Win Methods'!$C$4:$F$4992,4,FALSE)</f>
        <v>0</v>
      </c>
      <c r="M134" s="6"/>
      <c r="N134" s="5">
        <f>VLOOKUP(M134,'Win Methods'!$C$4:$F$4992,4,FALSE)</f>
        <v>0</v>
      </c>
      <c r="O134" s="6"/>
      <c r="P134" s="5">
        <f>VLOOKUP(O134,'Win Methods'!$C$4:$F$4992,4,FALSE)</f>
        <v>0</v>
      </c>
      <c r="Q134" s="6"/>
      <c r="R134" s="5">
        <f>VLOOKUP(Q134,'Win Methods'!$C$4:$F$4992,4,FALSE)</f>
        <v>0</v>
      </c>
      <c r="S134" s="6"/>
      <c r="T134" s="5">
        <f>VLOOKUP(S134,'Win Methods'!$C$4:$F$4992,4,FALSE)</f>
        <v>0</v>
      </c>
      <c r="U134" s="6"/>
      <c r="V134" s="5">
        <f>VLOOKUP(U134,'Win Methods'!$C$4:$F$4992,4,FALSE)</f>
        <v>0</v>
      </c>
      <c r="W134" s="6"/>
      <c r="X134" s="5">
        <f>VLOOKUP(W134,'Win Methods'!$C$4:$F$4992,4,FALSE)</f>
        <v>0</v>
      </c>
      <c r="Y134" s="5" t="str">
        <f t="shared" si="7"/>
        <v>main-10|bonusA-0|||||||| x 1</v>
      </c>
    </row>
    <row r="135" spans="2:25">
      <c r="B135" s="5">
        <v>132</v>
      </c>
      <c r="C135" s="5">
        <f t="shared" si="6"/>
        <v>15.1</v>
      </c>
      <c r="D135" s="4">
        <v>1</v>
      </c>
      <c r="E135" s="6" t="s">
        <v>208</v>
      </c>
      <c r="F135" s="5">
        <f>VLOOKUP(E135,'Win Methods'!$C$4:$F$4992,4,FALSE)</f>
        <v>0.1</v>
      </c>
      <c r="G135" s="110" t="s">
        <v>252</v>
      </c>
      <c r="H135" s="5">
        <f>VLOOKUP(G135,'Win Methods'!$C$4:$F$4992,4,FALSE)</f>
        <v>15</v>
      </c>
      <c r="I135" s="6"/>
      <c r="J135" s="5">
        <f>VLOOKUP(I135,'Win Methods'!$C$4:$F$4992,4,FALSE)</f>
        <v>0</v>
      </c>
      <c r="K135" s="6"/>
      <c r="L135" s="5">
        <f>VLOOKUP(K135,'Win Methods'!$C$4:$F$4992,4,FALSE)</f>
        <v>0</v>
      </c>
      <c r="M135" s="6"/>
      <c r="N135" s="5">
        <f>VLOOKUP(M135,'Win Methods'!$C$4:$F$4992,4,FALSE)</f>
        <v>0</v>
      </c>
      <c r="O135" s="6"/>
      <c r="P135" s="5">
        <f>VLOOKUP(O135,'Win Methods'!$C$4:$F$4992,4,FALSE)</f>
        <v>0</v>
      </c>
      <c r="Q135" s="6"/>
      <c r="R135" s="5">
        <f>VLOOKUP(Q135,'Win Methods'!$C$4:$F$4992,4,FALSE)</f>
        <v>0</v>
      </c>
      <c r="S135" s="6"/>
      <c r="T135" s="5">
        <f>VLOOKUP(S135,'Win Methods'!$C$4:$F$4992,4,FALSE)</f>
        <v>0</v>
      </c>
      <c r="U135" s="6"/>
      <c r="V135" s="5">
        <f>VLOOKUP(U135,'Win Methods'!$C$4:$F$4992,4,FALSE)</f>
        <v>0</v>
      </c>
      <c r="W135" s="6"/>
      <c r="X135" s="5">
        <f>VLOOKUP(W135,'Win Methods'!$C$4:$F$4992,4,FALSE)</f>
        <v>0</v>
      </c>
      <c r="Y135" s="5" t="str">
        <f t="shared" si="7"/>
        <v>main-0|bonusA-1|||||||| x 1</v>
      </c>
    </row>
    <row r="136" spans="2:25">
      <c r="B136" s="5">
        <v>133</v>
      </c>
      <c r="C136" s="5">
        <f t="shared" si="6"/>
        <v>16.5</v>
      </c>
      <c r="D136" s="4">
        <v>1</v>
      </c>
      <c r="E136" s="6" t="s">
        <v>219</v>
      </c>
      <c r="F136" s="5">
        <f>VLOOKUP(E136,'Win Methods'!$C$4:$F$4992,4,FALSE)</f>
        <v>1.5</v>
      </c>
      <c r="G136" s="110" t="s">
        <v>252</v>
      </c>
      <c r="H136" s="5">
        <f>VLOOKUP(G136,'Win Methods'!$C$4:$F$4992,4,FALSE)</f>
        <v>15</v>
      </c>
      <c r="I136" s="6"/>
      <c r="J136" s="5">
        <f>VLOOKUP(I136,'Win Methods'!$C$4:$F$4992,4,FALSE)</f>
        <v>0</v>
      </c>
      <c r="K136" s="6"/>
      <c r="L136" s="5">
        <f>VLOOKUP(K136,'Win Methods'!$C$4:$F$4992,4,FALSE)</f>
        <v>0</v>
      </c>
      <c r="M136" s="6"/>
      <c r="N136" s="5">
        <f>VLOOKUP(M136,'Win Methods'!$C$4:$F$4992,4,FALSE)</f>
        <v>0</v>
      </c>
      <c r="O136" s="6"/>
      <c r="P136" s="5">
        <f>VLOOKUP(O136,'Win Methods'!$C$4:$F$4992,4,FALSE)</f>
        <v>0</v>
      </c>
      <c r="Q136" s="6"/>
      <c r="R136" s="5">
        <f>VLOOKUP(Q136,'Win Methods'!$C$4:$F$4992,4,FALSE)</f>
        <v>0</v>
      </c>
      <c r="S136" s="6"/>
      <c r="T136" s="5">
        <f>VLOOKUP(S136,'Win Methods'!$C$4:$F$4992,4,FALSE)</f>
        <v>0</v>
      </c>
      <c r="U136" s="6"/>
      <c r="V136" s="5">
        <f>VLOOKUP(U136,'Win Methods'!$C$4:$F$4992,4,FALSE)</f>
        <v>0</v>
      </c>
      <c r="W136" s="6"/>
      <c r="X136" s="5">
        <f>VLOOKUP(W136,'Win Methods'!$C$4:$F$4992,4,FALSE)</f>
        <v>0</v>
      </c>
      <c r="Y136" s="5" t="str">
        <f t="shared" si="7"/>
        <v>main-11|bonusA-1|||||||| x 1</v>
      </c>
    </row>
    <row r="137" spans="2:25">
      <c r="B137" s="5">
        <v>134</v>
      </c>
      <c r="C137" s="5">
        <f t="shared" si="6"/>
        <v>17</v>
      </c>
      <c r="D137" s="4">
        <v>1</v>
      </c>
      <c r="E137" s="6" t="s">
        <v>238</v>
      </c>
      <c r="F137" s="5">
        <f>VLOOKUP(E137,'Win Methods'!$C$4:$F$4992,4,FALSE)</f>
        <v>2</v>
      </c>
      <c r="G137" s="110" t="s">
        <v>252</v>
      </c>
      <c r="H137" s="5">
        <f>VLOOKUP(G137,'Win Methods'!$C$4:$F$4992,4,FALSE)</f>
        <v>15</v>
      </c>
      <c r="I137" s="6"/>
      <c r="J137" s="5">
        <f>VLOOKUP(I137,'Win Methods'!$C$4:$F$4992,4,FALSE)</f>
        <v>0</v>
      </c>
      <c r="K137" s="6"/>
      <c r="L137" s="5">
        <f>VLOOKUP(K137,'Win Methods'!$C$4:$F$4992,4,FALSE)</f>
        <v>0</v>
      </c>
      <c r="M137" s="6"/>
      <c r="N137" s="5">
        <f>VLOOKUP(M137,'Win Methods'!$C$4:$F$4992,4,FALSE)</f>
        <v>0</v>
      </c>
      <c r="O137" s="6"/>
      <c r="P137" s="5">
        <f>VLOOKUP(O137,'Win Methods'!$C$4:$F$4992,4,FALSE)</f>
        <v>0</v>
      </c>
      <c r="Q137" s="6"/>
      <c r="R137" s="5">
        <f>VLOOKUP(Q137,'Win Methods'!$C$4:$F$4992,4,FALSE)</f>
        <v>0</v>
      </c>
      <c r="S137" s="6"/>
      <c r="T137" s="5">
        <f>VLOOKUP(S137,'Win Methods'!$C$4:$F$4992,4,FALSE)</f>
        <v>0</v>
      </c>
      <c r="U137" s="6"/>
      <c r="V137" s="5">
        <f>VLOOKUP(U137,'Win Methods'!$C$4:$F$4992,4,FALSE)</f>
        <v>0</v>
      </c>
      <c r="W137" s="6"/>
      <c r="X137" s="5">
        <f>VLOOKUP(W137,'Win Methods'!$C$4:$F$4992,4,FALSE)</f>
        <v>0</v>
      </c>
      <c r="Y137" s="5" t="str">
        <f t="shared" si="7"/>
        <v>main-30|bonusA-1|||||||| x 1</v>
      </c>
    </row>
    <row r="138" spans="2:25">
      <c r="B138" s="5">
        <v>135</v>
      </c>
      <c r="C138" s="5">
        <f t="shared" si="6"/>
        <v>20.2</v>
      </c>
      <c r="D138" s="4">
        <v>1</v>
      </c>
      <c r="E138" s="6" t="s">
        <v>209</v>
      </c>
      <c r="F138" s="5">
        <f>VLOOKUP(E138,'Win Methods'!$C$4:$F$4992,4,FALSE)</f>
        <v>0.2</v>
      </c>
      <c r="G138" s="110" t="s">
        <v>253</v>
      </c>
      <c r="H138" s="5">
        <f>VLOOKUP(G138,'Win Methods'!$C$4:$F$4992,4,FALSE)</f>
        <v>20</v>
      </c>
      <c r="I138" s="6"/>
      <c r="J138" s="5">
        <f>VLOOKUP(I138,'Win Methods'!$C$4:$F$4992,4,FALSE)</f>
        <v>0</v>
      </c>
      <c r="K138" s="6"/>
      <c r="L138" s="5">
        <f>VLOOKUP(K138,'Win Methods'!$C$4:$F$4992,4,FALSE)</f>
        <v>0</v>
      </c>
      <c r="M138" s="6"/>
      <c r="N138" s="5">
        <f>VLOOKUP(M138,'Win Methods'!$C$4:$F$4992,4,FALSE)</f>
        <v>0</v>
      </c>
      <c r="O138" s="6"/>
      <c r="P138" s="5">
        <f>VLOOKUP(O138,'Win Methods'!$C$4:$F$4992,4,FALSE)</f>
        <v>0</v>
      </c>
      <c r="Q138" s="6"/>
      <c r="R138" s="5">
        <f>VLOOKUP(Q138,'Win Methods'!$C$4:$F$4992,4,FALSE)</f>
        <v>0</v>
      </c>
      <c r="S138" s="6"/>
      <c r="T138" s="5">
        <f>VLOOKUP(S138,'Win Methods'!$C$4:$F$4992,4,FALSE)</f>
        <v>0</v>
      </c>
      <c r="U138" s="6"/>
      <c r="V138" s="5">
        <f>VLOOKUP(U138,'Win Methods'!$C$4:$F$4992,4,FALSE)</f>
        <v>0</v>
      </c>
      <c r="W138" s="6"/>
      <c r="X138" s="5">
        <f>VLOOKUP(W138,'Win Methods'!$C$4:$F$4992,4,FALSE)</f>
        <v>0</v>
      </c>
      <c r="Y138" s="5" t="str">
        <f t="shared" si="7"/>
        <v>main-1|bonusA-2|||||||| x 1</v>
      </c>
    </row>
    <row r="139" spans="2:25">
      <c r="B139" s="5">
        <v>136</v>
      </c>
      <c r="C139" s="5">
        <f t="shared" si="6"/>
        <v>21.5</v>
      </c>
      <c r="D139" s="4">
        <v>1</v>
      </c>
      <c r="E139" s="6" t="s">
        <v>212</v>
      </c>
      <c r="F139" s="5">
        <f>VLOOKUP(E139,'Win Methods'!$C$4:$F$4992,4,FALSE)</f>
        <v>1.5</v>
      </c>
      <c r="G139" s="110" t="s">
        <v>253</v>
      </c>
      <c r="H139" s="5">
        <f>VLOOKUP(G139,'Win Methods'!$C$4:$F$4992,4,FALSE)</f>
        <v>20</v>
      </c>
      <c r="I139" s="6"/>
      <c r="J139" s="5">
        <f>VLOOKUP(I139,'Win Methods'!$C$4:$F$4992,4,FALSE)</f>
        <v>0</v>
      </c>
      <c r="K139" s="6"/>
      <c r="L139" s="5">
        <f>VLOOKUP(K139,'Win Methods'!$C$4:$F$4992,4,FALSE)</f>
        <v>0</v>
      </c>
      <c r="M139" s="6"/>
      <c r="N139" s="5">
        <f>VLOOKUP(M139,'Win Methods'!$C$4:$F$4992,4,FALSE)</f>
        <v>0</v>
      </c>
      <c r="O139" s="6"/>
      <c r="P139" s="5">
        <f>VLOOKUP(O139,'Win Methods'!$C$4:$F$4992,4,FALSE)</f>
        <v>0</v>
      </c>
      <c r="Q139" s="6"/>
      <c r="R139" s="5">
        <f>VLOOKUP(Q139,'Win Methods'!$C$4:$F$4992,4,FALSE)</f>
        <v>0</v>
      </c>
      <c r="S139" s="6"/>
      <c r="T139" s="5">
        <f>VLOOKUP(S139,'Win Methods'!$C$4:$F$4992,4,FALSE)</f>
        <v>0</v>
      </c>
      <c r="U139" s="6"/>
      <c r="V139" s="5">
        <f>VLOOKUP(U139,'Win Methods'!$C$4:$F$4992,4,FALSE)</f>
        <v>0</v>
      </c>
      <c r="W139" s="6"/>
      <c r="X139" s="5">
        <f>VLOOKUP(W139,'Win Methods'!$C$4:$F$4992,4,FALSE)</f>
        <v>0</v>
      </c>
      <c r="Y139" s="5" t="str">
        <f t="shared" si="7"/>
        <v>main-4|bonusA-2|||||||| x 1</v>
      </c>
    </row>
    <row r="140" spans="2:25">
      <c r="B140" s="5">
        <v>137</v>
      </c>
      <c r="C140" s="5">
        <f t="shared" si="6"/>
        <v>22</v>
      </c>
      <c r="D140" s="4">
        <v>1</v>
      </c>
      <c r="E140" s="6" t="s">
        <v>220</v>
      </c>
      <c r="F140" s="5">
        <f>VLOOKUP(E140,'Win Methods'!$C$4:$F$4992,4,FALSE)</f>
        <v>2</v>
      </c>
      <c r="G140" s="110" t="s">
        <v>253</v>
      </c>
      <c r="H140" s="5">
        <f>VLOOKUP(G140,'Win Methods'!$C$4:$F$4992,4,FALSE)</f>
        <v>20</v>
      </c>
      <c r="I140" s="6"/>
      <c r="J140" s="5">
        <f>VLOOKUP(I140,'Win Methods'!$C$4:$F$4992,4,FALSE)</f>
        <v>0</v>
      </c>
      <c r="K140" s="6"/>
      <c r="L140" s="5">
        <f>VLOOKUP(K140,'Win Methods'!$C$4:$F$4992,4,FALSE)</f>
        <v>0</v>
      </c>
      <c r="M140" s="6"/>
      <c r="N140" s="5">
        <f>VLOOKUP(M140,'Win Methods'!$C$4:$F$4992,4,FALSE)</f>
        <v>0</v>
      </c>
      <c r="O140" s="6"/>
      <c r="P140" s="5">
        <f>VLOOKUP(O140,'Win Methods'!$C$4:$F$4992,4,FALSE)</f>
        <v>0</v>
      </c>
      <c r="Q140" s="6"/>
      <c r="R140" s="5">
        <f>VLOOKUP(Q140,'Win Methods'!$C$4:$F$4992,4,FALSE)</f>
        <v>0</v>
      </c>
      <c r="S140" s="6"/>
      <c r="T140" s="5">
        <f>VLOOKUP(S140,'Win Methods'!$C$4:$F$4992,4,FALSE)</f>
        <v>0</v>
      </c>
      <c r="U140" s="6"/>
      <c r="V140" s="5">
        <f>VLOOKUP(U140,'Win Methods'!$C$4:$F$4992,4,FALSE)</f>
        <v>0</v>
      </c>
      <c r="W140" s="6"/>
      <c r="X140" s="5">
        <f>VLOOKUP(W140,'Win Methods'!$C$4:$F$4992,4,FALSE)</f>
        <v>0</v>
      </c>
      <c r="Y140" s="5" t="str">
        <f t="shared" si="7"/>
        <v>main-12|bonusA-2|||||||| x 1</v>
      </c>
    </row>
    <row r="141" spans="2:25">
      <c r="B141" s="5">
        <v>138</v>
      </c>
      <c r="C141" s="5">
        <f t="shared" si="6"/>
        <v>25</v>
      </c>
      <c r="D141" s="4">
        <v>1</v>
      </c>
      <c r="E141" s="6" t="s">
        <v>216</v>
      </c>
      <c r="F141" s="5">
        <f>VLOOKUP(E141,'Win Methods'!$C$4:$F$4992,4,FALSE)</f>
        <v>5</v>
      </c>
      <c r="G141" s="110" t="s">
        <v>253</v>
      </c>
      <c r="H141" s="5">
        <f>VLOOKUP(G141,'Win Methods'!$C$4:$F$4992,4,FALSE)</f>
        <v>20</v>
      </c>
      <c r="I141" s="6"/>
      <c r="J141" s="5">
        <f>VLOOKUP(I141,'Win Methods'!$C$4:$F$4992,4,FALSE)</f>
        <v>0</v>
      </c>
      <c r="K141" s="6"/>
      <c r="L141" s="5">
        <f>VLOOKUP(K141,'Win Methods'!$C$4:$F$4992,4,FALSE)</f>
        <v>0</v>
      </c>
      <c r="M141" s="6"/>
      <c r="N141" s="5">
        <f>VLOOKUP(M141,'Win Methods'!$C$4:$F$4992,4,FALSE)</f>
        <v>0</v>
      </c>
      <c r="O141" s="6"/>
      <c r="P141" s="5">
        <f>VLOOKUP(O141,'Win Methods'!$C$4:$F$4992,4,FALSE)</f>
        <v>0</v>
      </c>
      <c r="Q141" s="6"/>
      <c r="R141" s="5">
        <f>VLOOKUP(Q141,'Win Methods'!$C$4:$F$4992,4,FALSE)</f>
        <v>0</v>
      </c>
      <c r="S141" s="6"/>
      <c r="T141" s="5">
        <f>VLOOKUP(S141,'Win Methods'!$C$4:$F$4992,4,FALSE)</f>
        <v>0</v>
      </c>
      <c r="U141" s="6"/>
      <c r="V141" s="5">
        <f>VLOOKUP(U141,'Win Methods'!$C$4:$F$4992,4,FALSE)</f>
        <v>0</v>
      </c>
      <c r="W141" s="6"/>
      <c r="X141" s="5">
        <f>VLOOKUP(W141,'Win Methods'!$C$4:$F$4992,4,FALSE)</f>
        <v>0</v>
      </c>
      <c r="Y141" s="5" t="str">
        <f t="shared" si="7"/>
        <v>main-8|bonusA-2|||||||| x 1</v>
      </c>
    </row>
    <row r="142" spans="2:25">
      <c r="B142" s="5">
        <v>139</v>
      </c>
      <c r="C142" s="5">
        <f t="shared" si="6"/>
        <v>25</v>
      </c>
      <c r="D142" s="4">
        <v>1</v>
      </c>
      <c r="E142" s="6" t="s">
        <v>230</v>
      </c>
      <c r="F142" s="5">
        <f>VLOOKUP(E142,'Win Methods'!$C$4:$F$4992,4,FALSE)</f>
        <v>5</v>
      </c>
      <c r="G142" s="110" t="s">
        <v>253</v>
      </c>
      <c r="H142" s="5">
        <f>VLOOKUP(G142,'Win Methods'!$C$4:$F$4992,4,FALSE)</f>
        <v>20</v>
      </c>
      <c r="I142" s="6"/>
      <c r="J142" s="5">
        <f>VLOOKUP(I142,'Win Methods'!$C$4:$F$4992,4,FALSE)</f>
        <v>0</v>
      </c>
      <c r="K142" s="6"/>
      <c r="L142" s="5">
        <f>VLOOKUP(K142,'Win Methods'!$C$4:$F$4992,4,FALSE)</f>
        <v>0</v>
      </c>
      <c r="M142" s="6"/>
      <c r="N142" s="5">
        <f>VLOOKUP(M142,'Win Methods'!$C$4:$F$4992,4,FALSE)</f>
        <v>0</v>
      </c>
      <c r="O142" s="6"/>
      <c r="P142" s="5">
        <f>VLOOKUP(O142,'Win Methods'!$C$4:$F$4992,4,FALSE)</f>
        <v>0</v>
      </c>
      <c r="Q142" s="6"/>
      <c r="R142" s="5">
        <f>VLOOKUP(Q142,'Win Methods'!$C$4:$F$4992,4,FALSE)</f>
        <v>0</v>
      </c>
      <c r="S142" s="6"/>
      <c r="T142" s="5">
        <f>VLOOKUP(S142,'Win Methods'!$C$4:$F$4992,4,FALSE)</f>
        <v>0</v>
      </c>
      <c r="U142" s="6"/>
      <c r="V142" s="5">
        <f>VLOOKUP(U142,'Win Methods'!$C$4:$F$4992,4,FALSE)</f>
        <v>0</v>
      </c>
      <c r="W142" s="6"/>
      <c r="X142" s="5">
        <f>VLOOKUP(W142,'Win Methods'!$C$4:$F$4992,4,FALSE)</f>
        <v>0</v>
      </c>
      <c r="Y142" s="5" t="str">
        <f t="shared" si="7"/>
        <v>main-22|bonusA-2|||||||| x 1</v>
      </c>
    </row>
    <row r="143" spans="2:25">
      <c r="B143" s="5">
        <v>140</v>
      </c>
      <c r="C143" s="5">
        <f t="shared" si="6"/>
        <v>25</v>
      </c>
      <c r="D143" s="4">
        <v>1</v>
      </c>
      <c r="E143" s="6" t="s">
        <v>239</v>
      </c>
      <c r="F143" s="5">
        <f>VLOOKUP(E143,'Win Methods'!$C$4:$F$4992,4,FALSE)</f>
        <v>5</v>
      </c>
      <c r="G143" s="110" t="s">
        <v>253</v>
      </c>
      <c r="H143" s="5">
        <f>VLOOKUP(G143,'Win Methods'!$C$4:$F$4992,4,FALSE)</f>
        <v>20</v>
      </c>
      <c r="I143" s="6"/>
      <c r="J143" s="5">
        <f>VLOOKUP(I143,'Win Methods'!$C$4:$F$4992,4,FALSE)</f>
        <v>0</v>
      </c>
      <c r="K143" s="6"/>
      <c r="L143" s="5">
        <f>VLOOKUP(K143,'Win Methods'!$C$4:$F$4992,4,FALSE)</f>
        <v>0</v>
      </c>
      <c r="M143" s="6"/>
      <c r="N143" s="5">
        <f>VLOOKUP(M143,'Win Methods'!$C$4:$F$4992,4,FALSE)</f>
        <v>0</v>
      </c>
      <c r="O143" s="6"/>
      <c r="P143" s="5">
        <f>VLOOKUP(O143,'Win Methods'!$C$4:$F$4992,4,FALSE)</f>
        <v>0</v>
      </c>
      <c r="Q143" s="6"/>
      <c r="R143" s="5">
        <f>VLOOKUP(Q143,'Win Methods'!$C$4:$F$4992,4,FALSE)</f>
        <v>0</v>
      </c>
      <c r="S143" s="6"/>
      <c r="T143" s="5">
        <f>VLOOKUP(S143,'Win Methods'!$C$4:$F$4992,4,FALSE)</f>
        <v>0</v>
      </c>
      <c r="U143" s="6"/>
      <c r="V143" s="5">
        <f>VLOOKUP(U143,'Win Methods'!$C$4:$F$4992,4,FALSE)</f>
        <v>0</v>
      </c>
      <c r="W143" s="6"/>
      <c r="X143" s="5">
        <f>VLOOKUP(W143,'Win Methods'!$C$4:$F$4992,4,FALSE)</f>
        <v>0</v>
      </c>
      <c r="Y143" s="5" t="str">
        <f t="shared" si="7"/>
        <v>main-31|bonusA-2|||||||| x 1</v>
      </c>
    </row>
    <row r="144" spans="2:25">
      <c r="B144" s="5">
        <v>141</v>
      </c>
      <c r="C144" s="5">
        <f t="shared" si="6"/>
        <v>25.5</v>
      </c>
      <c r="D144" s="4">
        <v>1</v>
      </c>
      <c r="E144" s="6" t="s">
        <v>210</v>
      </c>
      <c r="F144" s="5">
        <f>VLOOKUP(E144,'Win Methods'!$C$4:$F$4992,4,FALSE)</f>
        <v>0.5</v>
      </c>
      <c r="G144" s="110" t="s">
        <v>254</v>
      </c>
      <c r="H144" s="5">
        <f>VLOOKUP(G144,'Win Methods'!$C$4:$F$4992,4,FALSE)</f>
        <v>25</v>
      </c>
      <c r="I144" s="6"/>
      <c r="J144" s="5">
        <f>VLOOKUP(I144,'Win Methods'!$C$4:$F$4992,4,FALSE)</f>
        <v>0</v>
      </c>
      <c r="K144" s="6"/>
      <c r="L144" s="5">
        <f>VLOOKUP(K144,'Win Methods'!$C$4:$F$4992,4,FALSE)</f>
        <v>0</v>
      </c>
      <c r="M144" s="6"/>
      <c r="N144" s="5">
        <f>VLOOKUP(M144,'Win Methods'!$C$4:$F$4992,4,FALSE)</f>
        <v>0</v>
      </c>
      <c r="O144" s="6"/>
      <c r="P144" s="5">
        <f>VLOOKUP(O144,'Win Methods'!$C$4:$F$4992,4,FALSE)</f>
        <v>0</v>
      </c>
      <c r="Q144" s="6"/>
      <c r="R144" s="5">
        <f>VLOOKUP(Q144,'Win Methods'!$C$4:$F$4992,4,FALSE)</f>
        <v>0</v>
      </c>
      <c r="S144" s="6"/>
      <c r="T144" s="5">
        <f>VLOOKUP(S144,'Win Methods'!$C$4:$F$4992,4,FALSE)</f>
        <v>0</v>
      </c>
      <c r="U144" s="6"/>
      <c r="V144" s="5">
        <f>VLOOKUP(U144,'Win Methods'!$C$4:$F$4992,4,FALSE)</f>
        <v>0</v>
      </c>
      <c r="W144" s="6"/>
      <c r="X144" s="5">
        <f>VLOOKUP(W144,'Win Methods'!$C$4:$F$4992,4,FALSE)</f>
        <v>0</v>
      </c>
      <c r="Y144" s="5" t="str">
        <f t="shared" si="7"/>
        <v>main-2|bonusA-3|||||||| x 1</v>
      </c>
    </row>
    <row r="145" spans="2:25">
      <c r="B145" s="5">
        <v>142</v>
      </c>
      <c r="C145" s="5">
        <f t="shared" si="6"/>
        <v>27</v>
      </c>
      <c r="D145" s="4">
        <v>1</v>
      </c>
      <c r="E145" s="6" t="s">
        <v>229</v>
      </c>
      <c r="F145" s="5">
        <f>VLOOKUP(E145,'Win Methods'!$C$4:$F$4992,4,FALSE)</f>
        <v>2</v>
      </c>
      <c r="G145" s="110" t="s">
        <v>254</v>
      </c>
      <c r="H145" s="5">
        <f>VLOOKUP(G145,'Win Methods'!$C$4:$F$4992,4,FALSE)</f>
        <v>25</v>
      </c>
      <c r="I145" s="6"/>
      <c r="J145" s="5">
        <f>VLOOKUP(I145,'Win Methods'!$C$4:$F$4992,4,FALSE)</f>
        <v>0</v>
      </c>
      <c r="K145" s="6"/>
      <c r="L145" s="5">
        <f>VLOOKUP(K145,'Win Methods'!$C$4:$F$4992,4,FALSE)</f>
        <v>0</v>
      </c>
      <c r="M145" s="6"/>
      <c r="N145" s="5">
        <f>VLOOKUP(M145,'Win Methods'!$C$4:$F$4992,4,FALSE)</f>
        <v>0</v>
      </c>
      <c r="O145" s="6"/>
      <c r="P145" s="5">
        <f>VLOOKUP(O145,'Win Methods'!$C$4:$F$4992,4,FALSE)</f>
        <v>0</v>
      </c>
      <c r="Q145" s="6"/>
      <c r="R145" s="5">
        <f>VLOOKUP(Q145,'Win Methods'!$C$4:$F$4992,4,FALSE)</f>
        <v>0</v>
      </c>
      <c r="S145" s="6"/>
      <c r="T145" s="5">
        <f>VLOOKUP(S145,'Win Methods'!$C$4:$F$4992,4,FALSE)</f>
        <v>0</v>
      </c>
      <c r="U145" s="6"/>
      <c r="V145" s="5">
        <f>VLOOKUP(U145,'Win Methods'!$C$4:$F$4992,4,FALSE)</f>
        <v>0</v>
      </c>
      <c r="W145" s="6"/>
      <c r="X145" s="5">
        <f>VLOOKUP(W145,'Win Methods'!$C$4:$F$4992,4,FALSE)</f>
        <v>0</v>
      </c>
      <c r="Y145" s="5" t="str">
        <f t="shared" si="7"/>
        <v>main-21|bonusA-3|||||||| x 1</v>
      </c>
    </row>
    <row r="146" spans="2:25">
      <c r="B146" s="5">
        <v>143</v>
      </c>
      <c r="C146" s="5">
        <f t="shared" si="6"/>
        <v>28</v>
      </c>
      <c r="D146" s="4">
        <v>1</v>
      </c>
      <c r="E146" s="6" t="s">
        <v>215</v>
      </c>
      <c r="F146" s="5">
        <f>VLOOKUP(E146,'Win Methods'!$C$4:$F$4992,4,FALSE)</f>
        <v>3</v>
      </c>
      <c r="G146" s="110" t="s">
        <v>254</v>
      </c>
      <c r="H146" s="5">
        <f>VLOOKUP(G146,'Win Methods'!$C$4:$F$4992,4,FALSE)</f>
        <v>25</v>
      </c>
      <c r="I146" s="6"/>
      <c r="J146" s="5">
        <f>VLOOKUP(I146,'Win Methods'!$C$4:$F$4992,4,FALSE)</f>
        <v>0</v>
      </c>
      <c r="K146" s="6"/>
      <c r="L146" s="5">
        <f>VLOOKUP(K146,'Win Methods'!$C$4:$F$4992,4,FALSE)</f>
        <v>0</v>
      </c>
      <c r="M146" s="6"/>
      <c r="N146" s="5">
        <f>VLOOKUP(M146,'Win Methods'!$C$4:$F$4992,4,FALSE)</f>
        <v>0</v>
      </c>
      <c r="O146" s="6"/>
      <c r="P146" s="5">
        <f>VLOOKUP(O146,'Win Methods'!$C$4:$F$4992,4,FALSE)</f>
        <v>0</v>
      </c>
      <c r="Q146" s="6"/>
      <c r="R146" s="5">
        <f>VLOOKUP(Q146,'Win Methods'!$C$4:$F$4992,4,FALSE)</f>
        <v>0</v>
      </c>
      <c r="S146" s="6"/>
      <c r="T146" s="5">
        <f>VLOOKUP(S146,'Win Methods'!$C$4:$F$4992,4,FALSE)</f>
        <v>0</v>
      </c>
      <c r="U146" s="6"/>
      <c r="V146" s="5">
        <f>VLOOKUP(U146,'Win Methods'!$C$4:$F$4992,4,FALSE)</f>
        <v>0</v>
      </c>
      <c r="W146" s="6"/>
      <c r="X146" s="5">
        <f>VLOOKUP(W146,'Win Methods'!$C$4:$F$4992,4,FALSE)</f>
        <v>0</v>
      </c>
      <c r="Y146" s="5" t="str">
        <f t="shared" si="7"/>
        <v>main-7|bonusA-3|||||||| x 1</v>
      </c>
    </row>
    <row r="147" spans="2:25">
      <c r="B147" s="5">
        <v>144</v>
      </c>
      <c r="C147" s="5">
        <f t="shared" si="6"/>
        <v>25</v>
      </c>
      <c r="D147" s="4">
        <v>1</v>
      </c>
      <c r="E147" s="6" t="s">
        <v>217</v>
      </c>
      <c r="F147" s="5">
        <f>VLOOKUP(E147,'Win Methods'!$C$4:$F$4992,4,FALSE)</f>
        <v>10</v>
      </c>
      <c r="G147" s="110" t="s">
        <v>252</v>
      </c>
      <c r="H147" s="5">
        <f>VLOOKUP(G147,'Win Methods'!$C$4:$F$4992,4,FALSE)</f>
        <v>15</v>
      </c>
      <c r="I147" s="6"/>
      <c r="J147" s="5">
        <f>VLOOKUP(I147,'Win Methods'!$C$4:$F$4992,4,FALSE)</f>
        <v>0</v>
      </c>
      <c r="K147" s="6"/>
      <c r="L147" s="5">
        <f>VLOOKUP(K147,'Win Methods'!$C$4:$F$4992,4,FALSE)</f>
        <v>0</v>
      </c>
      <c r="M147" s="6"/>
      <c r="N147" s="5">
        <f>VLOOKUP(M147,'Win Methods'!$C$4:$F$4992,4,FALSE)</f>
        <v>0</v>
      </c>
      <c r="O147" s="6"/>
      <c r="P147" s="5">
        <f>VLOOKUP(O147,'Win Methods'!$C$4:$F$4992,4,FALSE)</f>
        <v>0</v>
      </c>
      <c r="Q147" s="6"/>
      <c r="R147" s="5">
        <f>VLOOKUP(Q147,'Win Methods'!$C$4:$F$4992,4,FALSE)</f>
        <v>0</v>
      </c>
      <c r="S147" s="6"/>
      <c r="T147" s="5">
        <f>VLOOKUP(S147,'Win Methods'!$C$4:$F$4992,4,FALSE)</f>
        <v>0</v>
      </c>
      <c r="U147" s="6"/>
      <c r="V147" s="5">
        <f>VLOOKUP(U147,'Win Methods'!$C$4:$F$4992,4,FALSE)</f>
        <v>0</v>
      </c>
      <c r="W147" s="6"/>
      <c r="X147" s="5">
        <f>VLOOKUP(W147,'Win Methods'!$C$4:$F$4992,4,FALSE)</f>
        <v>0</v>
      </c>
      <c r="Y147" s="5" t="str">
        <f t="shared" si="7"/>
        <v>main-9|bonusA-1|||||||| x 1</v>
      </c>
    </row>
    <row r="148" spans="2:25">
      <c r="B148" s="5">
        <v>145</v>
      </c>
      <c r="C148" s="5">
        <f t="shared" si="6"/>
        <v>25</v>
      </c>
      <c r="D148" s="4">
        <v>1</v>
      </c>
      <c r="E148" s="6" t="s">
        <v>231</v>
      </c>
      <c r="F148" s="5">
        <f>VLOOKUP(E148,'Win Methods'!$C$4:$F$4992,4,FALSE)</f>
        <v>10</v>
      </c>
      <c r="G148" s="110" t="s">
        <v>252</v>
      </c>
      <c r="H148" s="5">
        <f>VLOOKUP(G148,'Win Methods'!$C$4:$F$4992,4,FALSE)</f>
        <v>15</v>
      </c>
      <c r="I148" s="6"/>
      <c r="J148" s="5">
        <f>VLOOKUP(I148,'Win Methods'!$C$4:$F$4992,4,FALSE)</f>
        <v>0</v>
      </c>
      <c r="K148" s="6"/>
      <c r="L148" s="5">
        <f>VLOOKUP(K148,'Win Methods'!$C$4:$F$4992,4,FALSE)</f>
        <v>0</v>
      </c>
      <c r="M148" s="6"/>
      <c r="N148" s="5">
        <f>VLOOKUP(M148,'Win Methods'!$C$4:$F$4992,4,FALSE)</f>
        <v>0</v>
      </c>
      <c r="O148" s="6"/>
      <c r="P148" s="5">
        <f>VLOOKUP(O148,'Win Methods'!$C$4:$F$4992,4,FALSE)</f>
        <v>0</v>
      </c>
      <c r="Q148" s="6"/>
      <c r="R148" s="5">
        <f>VLOOKUP(Q148,'Win Methods'!$C$4:$F$4992,4,FALSE)</f>
        <v>0</v>
      </c>
      <c r="S148" s="6"/>
      <c r="T148" s="5">
        <f>VLOOKUP(S148,'Win Methods'!$C$4:$F$4992,4,FALSE)</f>
        <v>0</v>
      </c>
      <c r="U148" s="6"/>
      <c r="V148" s="5">
        <f>VLOOKUP(U148,'Win Methods'!$C$4:$F$4992,4,FALSE)</f>
        <v>0</v>
      </c>
      <c r="W148" s="6"/>
      <c r="X148" s="5">
        <f>VLOOKUP(W148,'Win Methods'!$C$4:$F$4992,4,FALSE)</f>
        <v>0</v>
      </c>
      <c r="Y148" s="5" t="str">
        <f t="shared" si="7"/>
        <v>main-23|bonusA-1|||||||| x 1</v>
      </c>
    </row>
    <row r="149" spans="2:25">
      <c r="B149" s="5">
        <v>146</v>
      </c>
      <c r="C149" s="5">
        <f t="shared" si="6"/>
        <v>30</v>
      </c>
      <c r="D149" s="4">
        <v>1</v>
      </c>
      <c r="E149" s="6" t="s">
        <v>221</v>
      </c>
      <c r="F149" s="5">
        <f>VLOOKUP(E149,'Win Methods'!$C$4:$F$4992,4,FALSE)</f>
        <v>5</v>
      </c>
      <c r="G149" s="110" t="s">
        <v>254</v>
      </c>
      <c r="H149" s="5">
        <f>VLOOKUP(G149,'Win Methods'!$C$4:$F$4992,4,FALSE)</f>
        <v>25</v>
      </c>
      <c r="I149" s="6"/>
      <c r="J149" s="5">
        <f>VLOOKUP(I149,'Win Methods'!$C$4:$F$4992,4,FALSE)</f>
        <v>0</v>
      </c>
      <c r="K149" s="6"/>
      <c r="L149" s="5">
        <f>VLOOKUP(K149,'Win Methods'!$C$4:$F$4992,4,FALSE)</f>
        <v>0</v>
      </c>
      <c r="M149" s="6"/>
      <c r="N149" s="5">
        <f>VLOOKUP(M149,'Win Methods'!$C$4:$F$4992,4,FALSE)</f>
        <v>0</v>
      </c>
      <c r="O149" s="6"/>
      <c r="P149" s="5">
        <f>VLOOKUP(O149,'Win Methods'!$C$4:$F$4992,4,FALSE)</f>
        <v>0</v>
      </c>
      <c r="Q149" s="6"/>
      <c r="R149" s="5">
        <f>VLOOKUP(Q149,'Win Methods'!$C$4:$F$4992,4,FALSE)</f>
        <v>0</v>
      </c>
      <c r="S149" s="6"/>
      <c r="T149" s="5">
        <f>VLOOKUP(S149,'Win Methods'!$C$4:$F$4992,4,FALSE)</f>
        <v>0</v>
      </c>
      <c r="U149" s="6"/>
      <c r="V149" s="5">
        <f>VLOOKUP(U149,'Win Methods'!$C$4:$F$4992,4,FALSE)</f>
        <v>0</v>
      </c>
      <c r="W149" s="6"/>
      <c r="X149" s="5">
        <f>VLOOKUP(W149,'Win Methods'!$C$4:$F$4992,4,FALSE)</f>
        <v>0</v>
      </c>
      <c r="Y149" s="5" t="str">
        <f t="shared" si="7"/>
        <v>main-13|bonusA-3|||||||| x 1</v>
      </c>
    </row>
    <row r="150" spans="2:25">
      <c r="B150" s="5">
        <v>147</v>
      </c>
      <c r="C150" s="5">
        <f t="shared" si="6"/>
        <v>25</v>
      </c>
      <c r="D150" s="4">
        <v>1</v>
      </c>
      <c r="E150" s="6" t="s">
        <v>232</v>
      </c>
      <c r="F150" s="5">
        <f>VLOOKUP(E150,'Win Methods'!$C$4:$F$4992,4,FALSE)</f>
        <v>15</v>
      </c>
      <c r="G150" s="110" t="s">
        <v>251</v>
      </c>
      <c r="H150" s="5">
        <f>VLOOKUP(G150,'Win Methods'!$C$4:$F$4992,4,FALSE)</f>
        <v>10</v>
      </c>
      <c r="I150" s="6"/>
      <c r="J150" s="5">
        <f>VLOOKUP(I150,'Win Methods'!$C$4:$F$4992,4,FALSE)</f>
        <v>0</v>
      </c>
      <c r="K150" s="6"/>
      <c r="L150" s="5">
        <f>VLOOKUP(K150,'Win Methods'!$C$4:$F$4992,4,FALSE)</f>
        <v>0</v>
      </c>
      <c r="M150" s="6"/>
      <c r="N150" s="5">
        <f>VLOOKUP(M150,'Win Methods'!$C$4:$F$4992,4,FALSE)</f>
        <v>0</v>
      </c>
      <c r="O150" s="6"/>
      <c r="P150" s="5">
        <f>VLOOKUP(O150,'Win Methods'!$C$4:$F$4992,4,FALSE)</f>
        <v>0</v>
      </c>
      <c r="Q150" s="6"/>
      <c r="R150" s="5">
        <f>VLOOKUP(Q150,'Win Methods'!$C$4:$F$4992,4,FALSE)</f>
        <v>0</v>
      </c>
      <c r="S150" s="6"/>
      <c r="T150" s="5">
        <f>VLOOKUP(S150,'Win Methods'!$C$4:$F$4992,4,FALSE)</f>
        <v>0</v>
      </c>
      <c r="U150" s="6"/>
      <c r="V150" s="5">
        <f>VLOOKUP(U150,'Win Methods'!$C$4:$F$4992,4,FALSE)</f>
        <v>0</v>
      </c>
      <c r="W150" s="6"/>
      <c r="X150" s="5">
        <f>VLOOKUP(W150,'Win Methods'!$C$4:$F$4992,4,FALSE)</f>
        <v>0</v>
      </c>
      <c r="Y150" s="5" t="str">
        <f t="shared" si="7"/>
        <v>main-24|bonusA-0|||||||| x 1</v>
      </c>
    </row>
    <row r="151" spans="2:25">
      <c r="B151" s="5">
        <v>148</v>
      </c>
      <c r="C151" s="5">
        <f t="shared" si="6"/>
        <v>31.5</v>
      </c>
      <c r="D151" s="4">
        <v>1</v>
      </c>
      <c r="E151" s="6" t="s">
        <v>228</v>
      </c>
      <c r="F151" s="5">
        <f>VLOOKUP(E151,'Win Methods'!$C$4:$F$4992,4,FALSE)</f>
        <v>1.5</v>
      </c>
      <c r="G151" s="110" t="s">
        <v>255</v>
      </c>
      <c r="H151" s="5">
        <f>VLOOKUP(G151,'Win Methods'!$C$4:$F$4992,4,FALSE)</f>
        <v>30</v>
      </c>
      <c r="I151" s="6"/>
      <c r="J151" s="5">
        <f>VLOOKUP(I151,'Win Methods'!$C$4:$F$4992,4,FALSE)</f>
        <v>0</v>
      </c>
      <c r="K151" s="6"/>
      <c r="L151" s="5">
        <f>VLOOKUP(K151,'Win Methods'!$C$4:$F$4992,4,FALSE)</f>
        <v>0</v>
      </c>
      <c r="M151" s="6"/>
      <c r="N151" s="5">
        <f>VLOOKUP(M151,'Win Methods'!$C$4:$F$4992,4,FALSE)</f>
        <v>0</v>
      </c>
      <c r="O151" s="6"/>
      <c r="P151" s="5">
        <f>VLOOKUP(O151,'Win Methods'!$C$4:$F$4992,4,FALSE)</f>
        <v>0</v>
      </c>
      <c r="Q151" s="6"/>
      <c r="R151" s="5">
        <f>VLOOKUP(Q151,'Win Methods'!$C$4:$F$4992,4,FALSE)</f>
        <v>0</v>
      </c>
      <c r="S151" s="6"/>
      <c r="T151" s="5">
        <f>VLOOKUP(S151,'Win Methods'!$C$4:$F$4992,4,FALSE)</f>
        <v>0</v>
      </c>
      <c r="U151" s="6"/>
      <c r="V151" s="5">
        <f>VLOOKUP(U151,'Win Methods'!$C$4:$F$4992,4,FALSE)</f>
        <v>0</v>
      </c>
      <c r="W151" s="6"/>
      <c r="X151" s="5">
        <f>VLOOKUP(W151,'Win Methods'!$C$4:$F$4992,4,FALSE)</f>
        <v>0</v>
      </c>
      <c r="Y151" s="5" t="str">
        <f t="shared" si="7"/>
        <v>main-20|bonusA-4|||||||| x 1</v>
      </c>
    </row>
    <row r="152" spans="2:25">
      <c r="B152" s="5">
        <v>149</v>
      </c>
      <c r="C152" s="5">
        <f t="shared" si="6"/>
        <v>32.5</v>
      </c>
      <c r="D152" s="4">
        <v>1</v>
      </c>
      <c r="E152" s="6" t="s">
        <v>214</v>
      </c>
      <c r="F152" s="5">
        <f>VLOOKUP(E152,'Win Methods'!$C$4:$F$4992,4,FALSE)</f>
        <v>2.5</v>
      </c>
      <c r="G152" s="110" t="s">
        <v>255</v>
      </c>
      <c r="H152" s="5">
        <f>VLOOKUP(G152,'Win Methods'!$C$4:$F$4992,4,FALSE)</f>
        <v>30</v>
      </c>
      <c r="I152" s="6"/>
      <c r="J152" s="5">
        <f>VLOOKUP(I152,'Win Methods'!$C$4:$F$4992,4,FALSE)</f>
        <v>0</v>
      </c>
      <c r="K152" s="6"/>
      <c r="L152" s="5">
        <f>VLOOKUP(K152,'Win Methods'!$C$4:$F$4992,4,FALSE)</f>
        <v>0</v>
      </c>
      <c r="M152" s="6"/>
      <c r="N152" s="5">
        <f>VLOOKUP(M152,'Win Methods'!$C$4:$F$4992,4,FALSE)</f>
        <v>0</v>
      </c>
      <c r="O152" s="6"/>
      <c r="P152" s="5">
        <f>VLOOKUP(O152,'Win Methods'!$C$4:$F$4992,4,FALSE)</f>
        <v>0</v>
      </c>
      <c r="Q152" s="6"/>
      <c r="R152" s="5">
        <f>VLOOKUP(Q152,'Win Methods'!$C$4:$F$4992,4,FALSE)</f>
        <v>0</v>
      </c>
      <c r="S152" s="6"/>
      <c r="T152" s="5">
        <f>VLOOKUP(S152,'Win Methods'!$C$4:$F$4992,4,FALSE)</f>
        <v>0</v>
      </c>
      <c r="U152" s="6"/>
      <c r="V152" s="5">
        <f>VLOOKUP(U152,'Win Methods'!$C$4:$F$4992,4,FALSE)</f>
        <v>0</v>
      </c>
      <c r="W152" s="6"/>
      <c r="X152" s="5">
        <f>VLOOKUP(W152,'Win Methods'!$C$4:$F$4992,4,FALSE)</f>
        <v>0</v>
      </c>
      <c r="Y152" s="5" t="str">
        <f t="shared" si="7"/>
        <v>main-6|bonusA-4|||||||| x 1</v>
      </c>
    </row>
    <row r="153" spans="2:25">
      <c r="B153" s="5">
        <v>150</v>
      </c>
      <c r="C153" s="5">
        <f t="shared" si="6"/>
        <v>35</v>
      </c>
      <c r="D153" s="4">
        <v>1</v>
      </c>
      <c r="E153" s="6" t="s">
        <v>240</v>
      </c>
      <c r="F153" s="5">
        <f>VLOOKUP(E153,'Win Methods'!$C$4:$F$4992,4,FALSE)</f>
        <v>10</v>
      </c>
      <c r="G153" s="110" t="s">
        <v>254</v>
      </c>
      <c r="H153" s="5">
        <f>VLOOKUP(G153,'Win Methods'!$C$4:$F$4992,4,FALSE)</f>
        <v>25</v>
      </c>
      <c r="I153" s="6"/>
      <c r="J153" s="5">
        <f>VLOOKUP(I153,'Win Methods'!$C$4:$F$4992,4,FALSE)</f>
        <v>0</v>
      </c>
      <c r="K153" s="6"/>
      <c r="L153" s="5">
        <f>VLOOKUP(K153,'Win Methods'!$C$4:$F$4992,4,FALSE)</f>
        <v>0</v>
      </c>
      <c r="M153" s="6"/>
      <c r="N153" s="5">
        <f>VLOOKUP(M153,'Win Methods'!$C$4:$F$4992,4,FALSE)</f>
        <v>0</v>
      </c>
      <c r="O153" s="6"/>
      <c r="P153" s="5">
        <f>VLOOKUP(O153,'Win Methods'!$C$4:$F$4992,4,FALSE)</f>
        <v>0</v>
      </c>
      <c r="Q153" s="6"/>
      <c r="R153" s="5">
        <f>VLOOKUP(Q153,'Win Methods'!$C$4:$F$4992,4,FALSE)</f>
        <v>0</v>
      </c>
      <c r="S153" s="6"/>
      <c r="T153" s="5">
        <f>VLOOKUP(S153,'Win Methods'!$C$4:$F$4992,4,FALSE)</f>
        <v>0</v>
      </c>
      <c r="U153" s="6"/>
      <c r="V153" s="5">
        <f>VLOOKUP(U153,'Win Methods'!$C$4:$F$4992,4,FALSE)</f>
        <v>0</v>
      </c>
      <c r="W153" s="6"/>
      <c r="X153" s="5">
        <f>VLOOKUP(W153,'Win Methods'!$C$4:$F$4992,4,FALSE)</f>
        <v>0</v>
      </c>
      <c r="Y153" s="5" t="str">
        <f t="shared" si="7"/>
        <v>main-32|bonusA-3|||||||| x 1</v>
      </c>
    </row>
    <row r="154" spans="2:25">
      <c r="B154" s="5">
        <v>151</v>
      </c>
      <c r="C154" s="5">
        <f t="shared" si="6"/>
        <v>40</v>
      </c>
      <c r="D154" s="4">
        <v>1</v>
      </c>
      <c r="E154" s="6" t="s">
        <v>222</v>
      </c>
      <c r="F154" s="5">
        <f>VLOOKUP(E154,'Win Methods'!$C$4:$F$4992,4,FALSE)</f>
        <v>10</v>
      </c>
      <c r="G154" s="110" t="s">
        <v>255</v>
      </c>
      <c r="H154" s="5">
        <f>VLOOKUP(G154,'Win Methods'!$C$4:$F$4992,4,FALSE)</f>
        <v>30</v>
      </c>
      <c r="I154" s="6"/>
      <c r="J154" s="5">
        <f>VLOOKUP(I154,'Win Methods'!$C$4:$F$4992,4,FALSE)</f>
        <v>0</v>
      </c>
      <c r="K154" s="6"/>
      <c r="L154" s="5">
        <f>VLOOKUP(K154,'Win Methods'!$C$4:$F$4992,4,FALSE)</f>
        <v>0</v>
      </c>
      <c r="M154" s="6"/>
      <c r="N154" s="5">
        <f>VLOOKUP(M154,'Win Methods'!$C$4:$F$4992,4,FALSE)</f>
        <v>0</v>
      </c>
      <c r="O154" s="6"/>
      <c r="P154" s="5">
        <f>VLOOKUP(O154,'Win Methods'!$C$4:$F$4992,4,FALSE)</f>
        <v>0</v>
      </c>
      <c r="Q154" s="6"/>
      <c r="R154" s="5">
        <f>VLOOKUP(Q154,'Win Methods'!$C$4:$F$4992,4,FALSE)</f>
        <v>0</v>
      </c>
      <c r="S154" s="6"/>
      <c r="T154" s="5">
        <f>VLOOKUP(S154,'Win Methods'!$C$4:$F$4992,4,FALSE)</f>
        <v>0</v>
      </c>
      <c r="U154" s="6"/>
      <c r="V154" s="5">
        <f>VLOOKUP(U154,'Win Methods'!$C$4:$F$4992,4,FALSE)</f>
        <v>0</v>
      </c>
      <c r="W154" s="6"/>
      <c r="X154" s="5">
        <f>VLOOKUP(W154,'Win Methods'!$C$4:$F$4992,4,FALSE)</f>
        <v>0</v>
      </c>
      <c r="Y154" s="5" t="str">
        <f t="shared" si="7"/>
        <v>main-14|bonusA-4|||||||| x 1</v>
      </c>
    </row>
    <row r="155" spans="2:25">
      <c r="B155" s="5">
        <v>152</v>
      </c>
      <c r="C155" s="5">
        <f t="shared" si="6"/>
        <v>51</v>
      </c>
      <c r="D155" s="4">
        <v>1</v>
      </c>
      <c r="E155" s="6" t="s">
        <v>211</v>
      </c>
      <c r="F155" s="5">
        <f>VLOOKUP(E155,'Win Methods'!$C$4:$F$4992,4,FALSE)</f>
        <v>1</v>
      </c>
      <c r="G155" s="110" t="s">
        <v>256</v>
      </c>
      <c r="H155" s="5">
        <f>VLOOKUP(G155,'Win Methods'!$C$4:$F$4992,4,FALSE)</f>
        <v>50</v>
      </c>
      <c r="I155" s="6"/>
      <c r="J155" s="5">
        <f>VLOOKUP(I155,'Win Methods'!$C$4:$F$4992,4,FALSE)</f>
        <v>0</v>
      </c>
      <c r="K155" s="6"/>
      <c r="L155" s="5">
        <f>VLOOKUP(K155,'Win Methods'!$C$4:$F$4992,4,FALSE)</f>
        <v>0</v>
      </c>
      <c r="M155" s="6"/>
      <c r="N155" s="5">
        <f>VLOOKUP(M155,'Win Methods'!$C$4:$F$4992,4,FALSE)</f>
        <v>0</v>
      </c>
      <c r="O155" s="6"/>
      <c r="P155" s="5">
        <f>VLOOKUP(O155,'Win Methods'!$C$4:$F$4992,4,FALSE)</f>
        <v>0</v>
      </c>
      <c r="Q155" s="6"/>
      <c r="R155" s="5">
        <f>VLOOKUP(Q155,'Win Methods'!$C$4:$F$4992,4,FALSE)</f>
        <v>0</v>
      </c>
      <c r="S155" s="6"/>
      <c r="T155" s="5">
        <f>VLOOKUP(S155,'Win Methods'!$C$4:$F$4992,4,FALSE)</f>
        <v>0</v>
      </c>
      <c r="U155" s="6"/>
      <c r="V155" s="5">
        <f>VLOOKUP(U155,'Win Methods'!$C$4:$F$4992,4,FALSE)</f>
        <v>0</v>
      </c>
      <c r="W155" s="6"/>
      <c r="X155" s="5">
        <f>VLOOKUP(W155,'Win Methods'!$C$4:$F$4992,4,FALSE)</f>
        <v>0</v>
      </c>
      <c r="Y155" s="5" t="str">
        <f t="shared" si="7"/>
        <v>main-3|bonusA-5|||||||| x 1</v>
      </c>
    </row>
    <row r="156" spans="2:25">
      <c r="B156" s="5">
        <v>153</v>
      </c>
      <c r="C156" s="5">
        <f t="shared" si="6"/>
        <v>52</v>
      </c>
      <c r="D156" s="4">
        <v>1</v>
      </c>
      <c r="E156" s="6" t="s">
        <v>213</v>
      </c>
      <c r="F156" s="5">
        <f>VLOOKUP(E156,'Win Methods'!$C$4:$F$4992,4,FALSE)</f>
        <v>2</v>
      </c>
      <c r="G156" s="110" t="s">
        <v>256</v>
      </c>
      <c r="H156" s="5">
        <f>VLOOKUP(G156,'Win Methods'!$C$4:$F$4992,4,FALSE)</f>
        <v>50</v>
      </c>
      <c r="I156" s="6"/>
      <c r="J156" s="5">
        <f>VLOOKUP(I156,'Win Methods'!$C$4:$F$4992,4,FALSE)</f>
        <v>0</v>
      </c>
      <c r="K156" s="6"/>
      <c r="L156" s="5">
        <f>VLOOKUP(K156,'Win Methods'!$C$4:$F$4992,4,FALSE)</f>
        <v>0</v>
      </c>
      <c r="M156" s="6"/>
      <c r="N156" s="5">
        <f>VLOOKUP(M156,'Win Methods'!$C$4:$F$4992,4,FALSE)</f>
        <v>0</v>
      </c>
      <c r="O156" s="6"/>
      <c r="P156" s="5">
        <f>VLOOKUP(O156,'Win Methods'!$C$4:$F$4992,4,FALSE)</f>
        <v>0</v>
      </c>
      <c r="Q156" s="6"/>
      <c r="R156" s="5">
        <f>VLOOKUP(Q156,'Win Methods'!$C$4:$F$4992,4,FALSE)</f>
        <v>0</v>
      </c>
      <c r="S156" s="6"/>
      <c r="T156" s="5">
        <f>VLOOKUP(S156,'Win Methods'!$C$4:$F$4992,4,FALSE)</f>
        <v>0</v>
      </c>
      <c r="U156" s="6"/>
      <c r="V156" s="5">
        <f>VLOOKUP(U156,'Win Methods'!$C$4:$F$4992,4,FALSE)</f>
        <v>0</v>
      </c>
      <c r="W156" s="6"/>
      <c r="X156" s="5">
        <f>VLOOKUP(W156,'Win Methods'!$C$4:$F$4992,4,FALSE)</f>
        <v>0</v>
      </c>
      <c r="Y156" s="5" t="str">
        <f t="shared" si="7"/>
        <v>main-5|bonusA-5|||||||| x 1</v>
      </c>
    </row>
    <row r="157" spans="2:25">
      <c r="B157" s="5">
        <v>154</v>
      </c>
      <c r="C157" s="5">
        <f t="shared" si="6"/>
        <v>70</v>
      </c>
      <c r="D157" s="4">
        <v>1</v>
      </c>
      <c r="E157" s="6" t="s">
        <v>224</v>
      </c>
      <c r="F157" s="5">
        <f>VLOOKUP(E157,'Win Methods'!$C$4:$F$4992,4,FALSE)</f>
        <v>20</v>
      </c>
      <c r="G157" s="110" t="s">
        <v>256</v>
      </c>
      <c r="H157" s="5">
        <f>VLOOKUP(G157,'Win Methods'!$C$4:$F$4992,4,FALSE)</f>
        <v>50</v>
      </c>
      <c r="I157" s="6"/>
      <c r="J157" s="5">
        <f>VLOOKUP(I157,'Win Methods'!$C$4:$F$4992,4,FALSE)</f>
        <v>0</v>
      </c>
      <c r="K157" s="6"/>
      <c r="L157" s="5">
        <f>VLOOKUP(K157,'Win Methods'!$C$4:$F$4992,4,FALSE)</f>
        <v>0</v>
      </c>
      <c r="M157" s="6"/>
      <c r="N157" s="5">
        <f>VLOOKUP(M157,'Win Methods'!$C$4:$F$4992,4,FALSE)</f>
        <v>0</v>
      </c>
      <c r="O157" s="6"/>
      <c r="P157" s="5">
        <f>VLOOKUP(O157,'Win Methods'!$C$4:$F$4992,4,FALSE)</f>
        <v>0</v>
      </c>
      <c r="Q157" s="6"/>
      <c r="R157" s="5">
        <f>VLOOKUP(Q157,'Win Methods'!$C$4:$F$4992,4,FALSE)</f>
        <v>0</v>
      </c>
      <c r="S157" s="6"/>
      <c r="T157" s="5">
        <f>VLOOKUP(S157,'Win Methods'!$C$4:$F$4992,4,FALSE)</f>
        <v>0</v>
      </c>
      <c r="U157" s="6"/>
      <c r="V157" s="5">
        <f>VLOOKUP(U157,'Win Methods'!$C$4:$F$4992,4,FALSE)</f>
        <v>0</v>
      </c>
      <c r="W157" s="6"/>
      <c r="X157" s="5">
        <f>VLOOKUP(W157,'Win Methods'!$C$4:$F$4992,4,FALSE)</f>
        <v>0</v>
      </c>
      <c r="Y157" s="5" t="str">
        <f t="shared" si="7"/>
        <v>main-16|bonusA-5|||||||| x 1</v>
      </c>
    </row>
    <row r="158" spans="2:25">
      <c r="B158" s="5">
        <v>155</v>
      </c>
      <c r="C158" s="5">
        <f t="shared" si="6"/>
        <v>70</v>
      </c>
      <c r="D158" s="4">
        <v>1</v>
      </c>
      <c r="E158" s="6" t="s">
        <v>233</v>
      </c>
      <c r="F158" s="5">
        <f>VLOOKUP(E158,'Win Methods'!$C$4:$F$4992,4,FALSE)</f>
        <v>20</v>
      </c>
      <c r="G158" s="110" t="s">
        <v>256</v>
      </c>
      <c r="H158" s="5">
        <f>VLOOKUP(G158,'Win Methods'!$C$4:$F$4992,4,FALSE)</f>
        <v>50</v>
      </c>
      <c r="I158" s="6"/>
      <c r="J158" s="5">
        <f>VLOOKUP(I158,'Win Methods'!$C$4:$F$4992,4,FALSE)</f>
        <v>0</v>
      </c>
      <c r="K158" s="6"/>
      <c r="L158" s="5">
        <f>VLOOKUP(K158,'Win Methods'!$C$4:$F$4992,4,FALSE)</f>
        <v>0</v>
      </c>
      <c r="M158" s="6"/>
      <c r="N158" s="5">
        <f>VLOOKUP(M158,'Win Methods'!$C$4:$F$4992,4,FALSE)</f>
        <v>0</v>
      </c>
      <c r="O158" s="6"/>
      <c r="P158" s="5">
        <f>VLOOKUP(O158,'Win Methods'!$C$4:$F$4992,4,FALSE)</f>
        <v>0</v>
      </c>
      <c r="Q158" s="6"/>
      <c r="R158" s="5">
        <f>VLOOKUP(Q158,'Win Methods'!$C$4:$F$4992,4,FALSE)</f>
        <v>0</v>
      </c>
      <c r="S158" s="6"/>
      <c r="T158" s="5">
        <f>VLOOKUP(S158,'Win Methods'!$C$4:$F$4992,4,FALSE)</f>
        <v>0</v>
      </c>
      <c r="U158" s="6"/>
      <c r="V158" s="5">
        <f>VLOOKUP(U158,'Win Methods'!$C$4:$F$4992,4,FALSE)</f>
        <v>0</v>
      </c>
      <c r="W158" s="6"/>
      <c r="X158" s="5">
        <f>VLOOKUP(W158,'Win Methods'!$C$4:$F$4992,4,FALSE)</f>
        <v>0</v>
      </c>
      <c r="Y158" s="5" t="str">
        <f t="shared" si="7"/>
        <v>main-25|bonusA-5|||||||| x 1</v>
      </c>
    </row>
    <row r="159" spans="2:25">
      <c r="B159" s="5">
        <v>156</v>
      </c>
      <c r="C159" s="5">
        <f t="shared" si="6"/>
        <v>115</v>
      </c>
      <c r="D159" s="4">
        <v>1</v>
      </c>
      <c r="E159" s="6" t="s">
        <v>223</v>
      </c>
      <c r="F159" s="5">
        <f>VLOOKUP(E159,'Win Methods'!$C$4:$F$4992,4,FALSE)</f>
        <v>15</v>
      </c>
      <c r="G159" s="110" t="s">
        <v>257</v>
      </c>
      <c r="H159" s="5">
        <f>VLOOKUP(G159,'Win Methods'!$C$4:$F$4992,4,FALSE)</f>
        <v>100</v>
      </c>
      <c r="I159" s="6"/>
      <c r="J159" s="5">
        <f>VLOOKUP(I159,'Win Methods'!$C$4:$F$4992,4,FALSE)</f>
        <v>0</v>
      </c>
      <c r="K159" s="6"/>
      <c r="L159" s="5">
        <f>VLOOKUP(K159,'Win Methods'!$C$4:$F$4992,4,FALSE)</f>
        <v>0</v>
      </c>
      <c r="M159" s="6"/>
      <c r="N159" s="5">
        <f>VLOOKUP(M159,'Win Methods'!$C$4:$F$4992,4,FALSE)</f>
        <v>0</v>
      </c>
      <c r="O159" s="6"/>
      <c r="P159" s="5">
        <f>VLOOKUP(O159,'Win Methods'!$C$4:$F$4992,4,FALSE)</f>
        <v>0</v>
      </c>
      <c r="Q159" s="6"/>
      <c r="R159" s="5">
        <f>VLOOKUP(Q159,'Win Methods'!$C$4:$F$4992,4,FALSE)</f>
        <v>0</v>
      </c>
      <c r="S159" s="6"/>
      <c r="T159" s="5">
        <f>VLOOKUP(S159,'Win Methods'!$C$4:$F$4992,4,FALSE)</f>
        <v>0</v>
      </c>
      <c r="U159" s="6"/>
      <c r="V159" s="5">
        <f>VLOOKUP(U159,'Win Methods'!$C$4:$F$4992,4,FALSE)</f>
        <v>0</v>
      </c>
      <c r="W159" s="6"/>
      <c r="X159" s="5">
        <f>VLOOKUP(W159,'Win Methods'!$C$4:$F$4992,4,FALSE)</f>
        <v>0</v>
      </c>
      <c r="Y159" s="5" t="str">
        <f t="shared" si="7"/>
        <v>main-15|bonusA-6|||||||| x 1</v>
      </c>
    </row>
    <row r="160" spans="2:25">
      <c r="B160" s="5">
        <v>157</v>
      </c>
      <c r="C160" s="5">
        <f t="shared" si="6"/>
        <v>15.6</v>
      </c>
      <c r="D160" s="4">
        <v>1</v>
      </c>
      <c r="E160" s="6" t="s">
        <v>208</v>
      </c>
      <c r="F160" s="5">
        <f>VLOOKUP(E160,'Win Methods'!$C$4:$F$4992,4,FALSE)</f>
        <v>0.1</v>
      </c>
      <c r="G160" s="6" t="s">
        <v>210</v>
      </c>
      <c r="H160" s="5">
        <f>VLOOKUP(G160,'Win Methods'!$C$4:$F$4992,4,FALSE)</f>
        <v>0.5</v>
      </c>
      <c r="I160" s="110" t="s">
        <v>252</v>
      </c>
      <c r="J160" s="5">
        <f>VLOOKUP(I160,'Win Methods'!$C$4:$F$4992,4,FALSE)</f>
        <v>15</v>
      </c>
      <c r="K160" s="6"/>
      <c r="L160" s="5">
        <f>VLOOKUP(K160,'Win Methods'!$C$4:$F$4992,4,FALSE)</f>
        <v>0</v>
      </c>
      <c r="M160" s="6"/>
      <c r="N160" s="5">
        <f>VLOOKUP(M160,'Win Methods'!$C$4:$F$4992,4,FALSE)</f>
        <v>0</v>
      </c>
      <c r="O160" s="6"/>
      <c r="P160" s="5">
        <f>VLOOKUP(O160,'Win Methods'!$C$4:$F$4992,4,FALSE)</f>
        <v>0</v>
      </c>
      <c r="Q160" s="6"/>
      <c r="R160" s="5">
        <f>VLOOKUP(Q160,'Win Methods'!$C$4:$F$4992,4,FALSE)</f>
        <v>0</v>
      </c>
      <c r="S160" s="6"/>
      <c r="T160" s="5">
        <f>VLOOKUP(S160,'Win Methods'!$C$4:$F$4992,4,FALSE)</f>
        <v>0</v>
      </c>
      <c r="U160" s="6"/>
      <c r="V160" s="5">
        <f>VLOOKUP(U160,'Win Methods'!$C$4:$F$4992,4,FALSE)</f>
        <v>0</v>
      </c>
      <c r="W160" s="6"/>
      <c r="X160" s="5">
        <f>VLOOKUP(W160,'Win Methods'!$C$4:$F$4992,4,FALSE)</f>
        <v>0</v>
      </c>
      <c r="Y160" s="5" t="str">
        <f t="shared" si="7"/>
        <v>main-0|main-2|bonusA-1||||||| x 1</v>
      </c>
    </row>
    <row r="161" spans="2:25">
      <c r="B161" s="5">
        <v>158</v>
      </c>
      <c r="C161" s="5">
        <f t="shared" si="6"/>
        <v>27</v>
      </c>
      <c r="D161" s="4">
        <v>1</v>
      </c>
      <c r="E161" s="6" t="s">
        <v>219</v>
      </c>
      <c r="F161" s="5">
        <f>VLOOKUP(E161,'Win Methods'!$C$4:$F$4992,4,FALSE)</f>
        <v>1.5</v>
      </c>
      <c r="G161" s="6" t="s">
        <v>210</v>
      </c>
      <c r="H161" s="5">
        <f>VLOOKUP(G161,'Win Methods'!$C$4:$F$4992,4,FALSE)</f>
        <v>0.5</v>
      </c>
      <c r="I161" s="110" t="s">
        <v>254</v>
      </c>
      <c r="J161" s="5">
        <f>VLOOKUP(I161,'Win Methods'!$C$4:$F$4992,4,FALSE)</f>
        <v>25</v>
      </c>
      <c r="K161" s="6"/>
      <c r="L161" s="5">
        <f>VLOOKUP(K161,'Win Methods'!$C$4:$F$4992,4,FALSE)</f>
        <v>0</v>
      </c>
      <c r="M161" s="6"/>
      <c r="N161" s="5">
        <f>VLOOKUP(M161,'Win Methods'!$C$4:$F$4992,4,FALSE)</f>
        <v>0</v>
      </c>
      <c r="O161" s="6"/>
      <c r="P161" s="5">
        <f>VLOOKUP(O161,'Win Methods'!$C$4:$F$4992,4,FALSE)</f>
        <v>0</v>
      </c>
      <c r="Q161" s="6"/>
      <c r="R161" s="5">
        <f>VLOOKUP(Q161,'Win Methods'!$C$4:$F$4992,4,FALSE)</f>
        <v>0</v>
      </c>
      <c r="S161" s="6"/>
      <c r="T161" s="5">
        <f>VLOOKUP(S161,'Win Methods'!$C$4:$F$4992,4,FALSE)</f>
        <v>0</v>
      </c>
      <c r="U161" s="6"/>
      <c r="V161" s="5">
        <f>VLOOKUP(U161,'Win Methods'!$C$4:$F$4992,4,FALSE)</f>
        <v>0</v>
      </c>
      <c r="W161" s="6"/>
      <c r="X161" s="5">
        <f>VLOOKUP(W161,'Win Methods'!$C$4:$F$4992,4,FALSE)</f>
        <v>0</v>
      </c>
      <c r="Y161" s="5" t="str">
        <f t="shared" si="7"/>
        <v>main-11|main-2|bonusA-3||||||| x 1</v>
      </c>
    </row>
    <row r="162" spans="2:25">
      <c r="B162" s="5">
        <v>159</v>
      </c>
      <c r="C162" s="5">
        <f t="shared" si="6"/>
        <v>11.5</v>
      </c>
      <c r="D162" s="4">
        <v>1</v>
      </c>
      <c r="E162" s="6" t="s">
        <v>211</v>
      </c>
      <c r="F162" s="5">
        <f>VLOOKUP(E162,'Win Methods'!$C$4:$F$4992,4,FALSE)</f>
        <v>1</v>
      </c>
      <c r="G162" s="6" t="s">
        <v>210</v>
      </c>
      <c r="H162" s="5">
        <f>VLOOKUP(G162,'Win Methods'!$C$4:$F$4992,4,FALSE)</f>
        <v>0.5</v>
      </c>
      <c r="I162" s="110" t="s">
        <v>251</v>
      </c>
      <c r="J162" s="5">
        <f>VLOOKUP(I162,'Win Methods'!$C$4:$F$4992,4,FALSE)</f>
        <v>10</v>
      </c>
      <c r="K162" s="6"/>
      <c r="L162" s="5">
        <f>VLOOKUP(K162,'Win Methods'!$C$4:$F$4992,4,FALSE)</f>
        <v>0</v>
      </c>
      <c r="M162" s="6"/>
      <c r="N162" s="5">
        <f>VLOOKUP(M162,'Win Methods'!$C$4:$F$4992,4,FALSE)</f>
        <v>0</v>
      </c>
      <c r="O162" s="6"/>
      <c r="P162" s="5">
        <f>VLOOKUP(O162,'Win Methods'!$C$4:$F$4992,4,FALSE)</f>
        <v>0</v>
      </c>
      <c r="Q162" s="6"/>
      <c r="R162" s="5">
        <f>VLOOKUP(Q162,'Win Methods'!$C$4:$F$4992,4,FALSE)</f>
        <v>0</v>
      </c>
      <c r="S162" s="6"/>
      <c r="T162" s="5">
        <f>VLOOKUP(S162,'Win Methods'!$C$4:$F$4992,4,FALSE)</f>
        <v>0</v>
      </c>
      <c r="U162" s="6"/>
      <c r="V162" s="5">
        <f>VLOOKUP(U162,'Win Methods'!$C$4:$F$4992,4,FALSE)</f>
        <v>0</v>
      </c>
      <c r="W162" s="6"/>
      <c r="X162" s="5">
        <f>VLOOKUP(W162,'Win Methods'!$C$4:$F$4992,4,FALSE)</f>
        <v>0</v>
      </c>
      <c r="Y162" s="5" t="str">
        <f t="shared" si="7"/>
        <v>main-3|main-2|bonusA-0||||||| x 1</v>
      </c>
    </row>
    <row r="163" spans="2:25">
      <c r="B163" s="5">
        <v>160</v>
      </c>
      <c r="C163" s="5">
        <f t="shared" ref="C163:C190" si="8">(F163+H163+J163+L163+N163+P163+R163+T163+V163+X163)*D163</f>
        <v>28</v>
      </c>
      <c r="D163" s="4">
        <v>1</v>
      </c>
      <c r="E163" s="6" t="s">
        <v>211</v>
      </c>
      <c r="F163" s="5">
        <f>VLOOKUP(E163,'Win Methods'!$C$4:$F$4992,4,FALSE)</f>
        <v>1</v>
      </c>
      <c r="G163" s="6" t="s">
        <v>229</v>
      </c>
      <c r="H163" s="5">
        <f>VLOOKUP(G163,'Win Methods'!$C$4:$F$4992,4,FALSE)</f>
        <v>2</v>
      </c>
      <c r="I163" s="110" t="s">
        <v>254</v>
      </c>
      <c r="J163" s="5">
        <f>VLOOKUP(I163,'Win Methods'!$C$4:$F$4992,4,FALSE)</f>
        <v>25</v>
      </c>
      <c r="K163" s="6"/>
      <c r="L163" s="5">
        <f>VLOOKUP(K163,'Win Methods'!$C$4:$F$4992,4,FALSE)</f>
        <v>0</v>
      </c>
      <c r="M163" s="6"/>
      <c r="N163" s="5">
        <f>VLOOKUP(M163,'Win Methods'!$C$4:$F$4992,4,FALSE)</f>
        <v>0</v>
      </c>
      <c r="O163" s="6"/>
      <c r="P163" s="5">
        <f>VLOOKUP(O163,'Win Methods'!$C$4:$F$4992,4,FALSE)</f>
        <v>0</v>
      </c>
      <c r="Q163" s="6"/>
      <c r="R163" s="5">
        <f>VLOOKUP(Q163,'Win Methods'!$C$4:$F$4992,4,FALSE)</f>
        <v>0</v>
      </c>
      <c r="S163" s="6"/>
      <c r="T163" s="5">
        <f>VLOOKUP(S163,'Win Methods'!$C$4:$F$4992,4,FALSE)</f>
        <v>0</v>
      </c>
      <c r="U163" s="6"/>
      <c r="V163" s="5">
        <f>VLOOKUP(U163,'Win Methods'!$C$4:$F$4992,4,FALSE)</f>
        <v>0</v>
      </c>
      <c r="W163" s="6"/>
      <c r="X163" s="5">
        <f>VLOOKUP(W163,'Win Methods'!$C$4:$F$4992,4,FALSE)</f>
        <v>0</v>
      </c>
      <c r="Y163" s="5" t="str">
        <f t="shared" si="7"/>
        <v>main-3|main-21|bonusA-3||||||| x 1</v>
      </c>
    </row>
    <row r="164" spans="2:25">
      <c r="B164" s="5">
        <v>161</v>
      </c>
      <c r="C164" s="5">
        <f t="shared" si="8"/>
        <v>32.5</v>
      </c>
      <c r="D164" s="4">
        <v>1</v>
      </c>
      <c r="E164" s="6" t="s">
        <v>210</v>
      </c>
      <c r="F164" s="5">
        <f>VLOOKUP(E164,'Win Methods'!$C$4:$F$4992,4,FALSE)</f>
        <v>0.5</v>
      </c>
      <c r="G164" s="6" t="s">
        <v>213</v>
      </c>
      <c r="H164" s="5">
        <f>VLOOKUP(G164,'Win Methods'!$C$4:$F$4992,4,FALSE)</f>
        <v>2</v>
      </c>
      <c r="I164" s="110" t="s">
        <v>255</v>
      </c>
      <c r="J164" s="5">
        <f>VLOOKUP(I164,'Win Methods'!$C$4:$F$4992,4,FALSE)</f>
        <v>30</v>
      </c>
      <c r="K164" s="6"/>
      <c r="L164" s="5">
        <f>VLOOKUP(K164,'Win Methods'!$C$4:$F$4992,4,FALSE)</f>
        <v>0</v>
      </c>
      <c r="M164" s="6"/>
      <c r="N164" s="5">
        <f>VLOOKUP(M164,'Win Methods'!$C$4:$F$4992,4,FALSE)</f>
        <v>0</v>
      </c>
      <c r="O164" s="6"/>
      <c r="P164" s="5">
        <f>VLOOKUP(O164,'Win Methods'!$C$4:$F$4992,4,FALSE)</f>
        <v>0</v>
      </c>
      <c r="Q164" s="6"/>
      <c r="R164" s="5">
        <f>VLOOKUP(Q164,'Win Methods'!$C$4:$F$4992,4,FALSE)</f>
        <v>0</v>
      </c>
      <c r="S164" s="6"/>
      <c r="T164" s="5">
        <f>VLOOKUP(S164,'Win Methods'!$C$4:$F$4992,4,FALSE)</f>
        <v>0</v>
      </c>
      <c r="U164" s="6"/>
      <c r="V164" s="5">
        <f>VLOOKUP(U164,'Win Methods'!$C$4:$F$4992,4,FALSE)</f>
        <v>0</v>
      </c>
      <c r="W164" s="6"/>
      <c r="X164" s="5">
        <f>VLOOKUP(W164,'Win Methods'!$C$4:$F$4992,4,FALSE)</f>
        <v>0</v>
      </c>
      <c r="Y164" s="5" t="str">
        <f t="shared" si="7"/>
        <v>main-2|main-5|bonusA-4||||||| x 1</v>
      </c>
    </row>
    <row r="165" spans="2:25">
      <c r="B165" s="5">
        <v>162</v>
      </c>
      <c r="C165" s="5">
        <f t="shared" si="8"/>
        <v>56.5</v>
      </c>
      <c r="D165" s="4">
        <v>1</v>
      </c>
      <c r="E165" s="6" t="s">
        <v>212</v>
      </c>
      <c r="F165" s="5">
        <f>VLOOKUP(E165,'Win Methods'!$C$4:$F$4992,4,FALSE)</f>
        <v>1.5</v>
      </c>
      <c r="G165" s="6" t="s">
        <v>230</v>
      </c>
      <c r="H165" s="5">
        <f>VLOOKUP(G165,'Win Methods'!$C$4:$F$4992,4,FALSE)</f>
        <v>5</v>
      </c>
      <c r="I165" s="110" t="s">
        <v>256</v>
      </c>
      <c r="J165" s="5">
        <f>VLOOKUP(I165,'Win Methods'!$C$4:$F$4992,4,FALSE)</f>
        <v>50</v>
      </c>
      <c r="K165" s="6"/>
      <c r="L165" s="5">
        <f>VLOOKUP(K165,'Win Methods'!$C$4:$F$4992,4,FALSE)</f>
        <v>0</v>
      </c>
      <c r="M165" s="6"/>
      <c r="N165" s="5">
        <f>VLOOKUP(M165,'Win Methods'!$C$4:$F$4992,4,FALSE)</f>
        <v>0</v>
      </c>
      <c r="O165" s="6"/>
      <c r="P165" s="5">
        <f>VLOOKUP(O165,'Win Methods'!$C$4:$F$4992,4,FALSE)</f>
        <v>0</v>
      </c>
      <c r="Q165" s="6"/>
      <c r="R165" s="5">
        <f>VLOOKUP(Q165,'Win Methods'!$C$4:$F$4992,4,FALSE)</f>
        <v>0</v>
      </c>
      <c r="S165" s="6"/>
      <c r="T165" s="5">
        <f>VLOOKUP(S165,'Win Methods'!$C$4:$F$4992,4,FALSE)</f>
        <v>0</v>
      </c>
      <c r="U165" s="6"/>
      <c r="V165" s="5">
        <f>VLOOKUP(U165,'Win Methods'!$C$4:$F$4992,4,FALSE)</f>
        <v>0</v>
      </c>
      <c r="W165" s="6"/>
      <c r="X165" s="5">
        <f>VLOOKUP(W165,'Win Methods'!$C$4:$F$4992,4,FALSE)</f>
        <v>0</v>
      </c>
      <c r="Y165" s="5" t="str">
        <f t="shared" si="7"/>
        <v>main-4|main-22|bonusA-5||||||| x 1</v>
      </c>
    </row>
    <row r="166" spans="2:25">
      <c r="B166" s="5">
        <v>163</v>
      </c>
      <c r="C166" s="5">
        <f t="shared" si="8"/>
        <v>23</v>
      </c>
      <c r="D166" s="4">
        <v>1</v>
      </c>
      <c r="E166" s="6" t="s">
        <v>212</v>
      </c>
      <c r="F166" s="5">
        <f>VLOOKUP(E166,'Win Methods'!$C$4:$F$4992,4,FALSE)</f>
        <v>1.5</v>
      </c>
      <c r="G166" s="6" t="s">
        <v>212</v>
      </c>
      <c r="H166" s="5">
        <f>VLOOKUP(G166,'Win Methods'!$C$4:$F$4992,4,FALSE)</f>
        <v>1.5</v>
      </c>
      <c r="I166" s="110" t="s">
        <v>253</v>
      </c>
      <c r="J166" s="5">
        <f>VLOOKUP(I166,'Win Methods'!$C$4:$F$4992,4,FALSE)</f>
        <v>20</v>
      </c>
      <c r="K166" s="6"/>
      <c r="L166" s="5">
        <f>VLOOKUP(K166,'Win Methods'!$C$4:$F$4992,4,FALSE)</f>
        <v>0</v>
      </c>
      <c r="M166" s="6"/>
      <c r="N166" s="5">
        <f>VLOOKUP(M166,'Win Methods'!$C$4:$F$4992,4,FALSE)</f>
        <v>0</v>
      </c>
      <c r="O166" s="6"/>
      <c r="P166" s="5">
        <f>VLOOKUP(O166,'Win Methods'!$C$4:$F$4992,4,FALSE)</f>
        <v>0</v>
      </c>
      <c r="Q166" s="6"/>
      <c r="R166" s="5">
        <f>VLOOKUP(Q166,'Win Methods'!$C$4:$F$4992,4,FALSE)</f>
        <v>0</v>
      </c>
      <c r="S166" s="6"/>
      <c r="T166" s="5">
        <f>VLOOKUP(S166,'Win Methods'!$C$4:$F$4992,4,FALSE)</f>
        <v>0</v>
      </c>
      <c r="U166" s="6"/>
      <c r="V166" s="5">
        <f>VLOOKUP(U166,'Win Methods'!$C$4:$F$4992,4,FALSE)</f>
        <v>0</v>
      </c>
      <c r="W166" s="6"/>
      <c r="X166" s="5">
        <f>VLOOKUP(W166,'Win Methods'!$C$4:$F$4992,4,FALSE)</f>
        <v>0</v>
      </c>
      <c r="Y166" s="5" t="str">
        <f t="shared" si="7"/>
        <v>main-4|main-4|bonusA-2||||||| x 1</v>
      </c>
    </row>
    <row r="167" spans="2:25">
      <c r="B167" s="5">
        <v>164</v>
      </c>
      <c r="C167" s="5">
        <f t="shared" si="8"/>
        <v>23.5</v>
      </c>
      <c r="D167" s="4">
        <v>1</v>
      </c>
      <c r="E167" s="6" t="s">
        <v>212</v>
      </c>
      <c r="F167" s="5">
        <f>VLOOKUP(E167,'Win Methods'!$C$4:$F$4992,4,FALSE)</f>
        <v>1.5</v>
      </c>
      <c r="G167" s="6" t="s">
        <v>213</v>
      </c>
      <c r="H167" s="5">
        <f>VLOOKUP(G167,'Win Methods'!$C$4:$F$4992,4,FALSE)</f>
        <v>2</v>
      </c>
      <c r="I167" s="6" t="s">
        <v>221</v>
      </c>
      <c r="J167" s="5">
        <f>VLOOKUP(I167,'Win Methods'!$C$4:$F$4992,4,FALSE)</f>
        <v>5</v>
      </c>
      <c r="K167" s="110" t="s">
        <v>252</v>
      </c>
      <c r="L167" s="5">
        <f>VLOOKUP(K167,'Win Methods'!$C$4:$F$4992,4,FALSE)</f>
        <v>15</v>
      </c>
      <c r="M167" s="6"/>
      <c r="N167" s="5">
        <f>VLOOKUP(M167,'Win Methods'!$C$4:$F$4992,4,FALSE)</f>
        <v>0</v>
      </c>
      <c r="O167" s="6"/>
      <c r="P167" s="5">
        <f>VLOOKUP(O167,'Win Methods'!$C$4:$F$4992,4,FALSE)</f>
        <v>0</v>
      </c>
      <c r="Q167" s="6"/>
      <c r="R167" s="5">
        <f>VLOOKUP(Q167,'Win Methods'!$C$4:$F$4992,4,FALSE)</f>
        <v>0</v>
      </c>
      <c r="S167" s="6"/>
      <c r="T167" s="5">
        <f>VLOOKUP(S167,'Win Methods'!$C$4:$F$4992,4,FALSE)</f>
        <v>0</v>
      </c>
      <c r="U167" s="6"/>
      <c r="V167" s="5">
        <f>VLOOKUP(U167,'Win Methods'!$C$4:$F$4992,4,FALSE)</f>
        <v>0</v>
      </c>
      <c r="W167" s="6"/>
      <c r="X167" s="5">
        <f>VLOOKUP(W167,'Win Methods'!$C$4:$F$4992,4,FALSE)</f>
        <v>0</v>
      </c>
      <c r="Y167" s="5" t="str">
        <f t="shared" si="7"/>
        <v>main-4|main-5|main-13|bonusA-1|||||| x 1</v>
      </c>
    </row>
    <row r="168" spans="2:25">
      <c r="B168" s="5">
        <v>165</v>
      </c>
      <c r="C168" s="5">
        <f t="shared" si="8"/>
        <v>37</v>
      </c>
      <c r="D168" s="4">
        <v>1</v>
      </c>
      <c r="E168" s="6" t="s">
        <v>212</v>
      </c>
      <c r="F168" s="5">
        <f>VLOOKUP(E168,'Win Methods'!$C$4:$F$4992,4,FALSE)</f>
        <v>1.5</v>
      </c>
      <c r="G168" s="6" t="s">
        <v>210</v>
      </c>
      <c r="H168" s="5">
        <f>VLOOKUP(G168,'Win Methods'!$C$4:$F$4992,4,FALSE)</f>
        <v>0.5</v>
      </c>
      <c r="I168" s="6" t="s">
        <v>232</v>
      </c>
      <c r="J168" s="5">
        <f>VLOOKUP(I168,'Win Methods'!$C$4:$F$4992,4,FALSE)</f>
        <v>15</v>
      </c>
      <c r="K168" s="110" t="s">
        <v>253</v>
      </c>
      <c r="L168" s="5">
        <f>VLOOKUP(K168,'Win Methods'!$C$4:$F$4992,4,FALSE)</f>
        <v>20</v>
      </c>
      <c r="M168" s="6"/>
      <c r="N168" s="5">
        <f>VLOOKUP(M168,'Win Methods'!$C$4:$F$4992,4,FALSE)</f>
        <v>0</v>
      </c>
      <c r="O168" s="6"/>
      <c r="P168" s="5">
        <f>VLOOKUP(O168,'Win Methods'!$C$4:$F$4992,4,FALSE)</f>
        <v>0</v>
      </c>
      <c r="Q168" s="6"/>
      <c r="R168" s="5">
        <f>VLOOKUP(Q168,'Win Methods'!$C$4:$F$4992,4,FALSE)</f>
        <v>0</v>
      </c>
      <c r="S168" s="6"/>
      <c r="T168" s="5">
        <f>VLOOKUP(S168,'Win Methods'!$C$4:$F$4992,4,FALSE)</f>
        <v>0</v>
      </c>
      <c r="U168" s="6"/>
      <c r="V168" s="5">
        <f>VLOOKUP(U168,'Win Methods'!$C$4:$F$4992,4,FALSE)</f>
        <v>0</v>
      </c>
      <c r="W168" s="6"/>
      <c r="X168" s="5">
        <f>VLOOKUP(W168,'Win Methods'!$C$4:$F$4992,4,FALSE)</f>
        <v>0</v>
      </c>
      <c r="Y168" s="5" t="str">
        <f t="shared" si="7"/>
        <v>main-4|main-2|main-24|bonusA-2|||||| x 1</v>
      </c>
    </row>
    <row r="169" spans="2:25">
      <c r="B169" s="5">
        <v>166</v>
      </c>
      <c r="C169" s="5">
        <f t="shared" si="8"/>
        <v>45</v>
      </c>
      <c r="D169" s="4">
        <v>1</v>
      </c>
      <c r="E169" s="6" t="s">
        <v>223</v>
      </c>
      <c r="F169" s="5">
        <f>VLOOKUP(E169,'Win Methods'!$C$4:$F$4992,4,FALSE)</f>
        <v>15</v>
      </c>
      <c r="G169" s="6" t="s">
        <v>221</v>
      </c>
      <c r="H169" s="5">
        <f>VLOOKUP(G169,'Win Methods'!$C$4:$F$4992,4,FALSE)</f>
        <v>5</v>
      </c>
      <c r="I169" s="6" t="s">
        <v>221</v>
      </c>
      <c r="J169" s="5">
        <f>VLOOKUP(I169,'Win Methods'!$C$4:$F$4992,4,FALSE)</f>
        <v>5</v>
      </c>
      <c r="K169" s="110" t="s">
        <v>253</v>
      </c>
      <c r="L169" s="5">
        <f>VLOOKUP(K169,'Win Methods'!$C$4:$F$4992,4,FALSE)</f>
        <v>20</v>
      </c>
      <c r="M169" s="6"/>
      <c r="N169" s="5">
        <f>VLOOKUP(M169,'Win Methods'!$C$4:$F$4992,4,FALSE)</f>
        <v>0</v>
      </c>
      <c r="O169" s="6"/>
      <c r="P169" s="5">
        <f>VLOOKUP(O169,'Win Methods'!$C$4:$F$4992,4,FALSE)</f>
        <v>0</v>
      </c>
      <c r="Q169" s="6"/>
      <c r="R169" s="5">
        <f>VLOOKUP(Q169,'Win Methods'!$C$4:$F$4992,4,FALSE)</f>
        <v>0</v>
      </c>
      <c r="S169" s="6"/>
      <c r="T169" s="5">
        <f>VLOOKUP(S169,'Win Methods'!$C$4:$F$4992,4,FALSE)</f>
        <v>0</v>
      </c>
      <c r="U169" s="6"/>
      <c r="V169" s="5">
        <f>VLOOKUP(U169,'Win Methods'!$C$4:$F$4992,4,FALSE)</f>
        <v>0</v>
      </c>
      <c r="W169" s="6"/>
      <c r="X169" s="5">
        <f>VLOOKUP(W169,'Win Methods'!$C$4:$F$4992,4,FALSE)</f>
        <v>0</v>
      </c>
      <c r="Y169" s="5" t="str">
        <f t="shared" si="7"/>
        <v>main-15|main-13|main-13|bonusA-2|||||| x 1</v>
      </c>
    </row>
    <row r="170" spans="2:25" ht="13.95" customHeight="1">
      <c r="B170" s="5">
        <v>167</v>
      </c>
      <c r="C170" s="5">
        <f t="shared" si="8"/>
        <v>47</v>
      </c>
      <c r="D170" s="4">
        <v>1</v>
      </c>
      <c r="E170" s="6" t="s">
        <v>238</v>
      </c>
      <c r="F170" s="5">
        <f>VLOOKUP(E170,'Win Methods'!$C$4:$F$4992,4,FALSE)</f>
        <v>2</v>
      </c>
      <c r="G170" s="6" t="s">
        <v>222</v>
      </c>
      <c r="H170" s="5">
        <f>VLOOKUP(G170,'Win Methods'!$C$4:$F$4992,4,FALSE)</f>
        <v>10</v>
      </c>
      <c r="I170" s="6" t="s">
        <v>223</v>
      </c>
      <c r="J170" s="5">
        <f>VLOOKUP(I170,'Win Methods'!$C$4:$F$4992,4,FALSE)</f>
        <v>15</v>
      </c>
      <c r="K170" s="110" t="s">
        <v>253</v>
      </c>
      <c r="L170" s="5">
        <f>VLOOKUP(K170,'Win Methods'!$C$4:$F$4992,4,FALSE)</f>
        <v>20</v>
      </c>
      <c r="M170" s="6"/>
      <c r="N170" s="5">
        <f>VLOOKUP(M170,'Win Methods'!$C$4:$F$4992,4,FALSE)</f>
        <v>0</v>
      </c>
      <c r="O170" s="6"/>
      <c r="P170" s="5">
        <f>VLOOKUP(O170,'Win Methods'!$C$4:$F$4992,4,FALSE)</f>
        <v>0</v>
      </c>
      <c r="Q170" s="6"/>
      <c r="R170" s="5">
        <f>VLOOKUP(Q170,'Win Methods'!$C$4:$F$4992,4,FALSE)</f>
        <v>0</v>
      </c>
      <c r="S170" s="6"/>
      <c r="T170" s="5">
        <f>VLOOKUP(S170,'Win Methods'!$C$4:$F$4992,4,FALSE)</f>
        <v>0</v>
      </c>
      <c r="U170" s="6"/>
      <c r="V170" s="5">
        <f>VLOOKUP(U170,'Win Methods'!$C$4:$F$4992,4,FALSE)</f>
        <v>0</v>
      </c>
      <c r="W170" s="6"/>
      <c r="X170" s="5">
        <f>VLOOKUP(W170,'Win Methods'!$C$4:$F$4992,4,FALSE)</f>
        <v>0</v>
      </c>
      <c r="Y170" s="5" t="str">
        <f t="shared" si="7"/>
        <v>main-30|main-14|main-15|bonusA-2|||||| x 1</v>
      </c>
    </row>
    <row r="171" spans="2:25">
      <c r="B171" s="5">
        <v>168</v>
      </c>
      <c r="C171" s="5">
        <f t="shared" si="8"/>
        <v>25</v>
      </c>
      <c r="D171" s="4">
        <v>1</v>
      </c>
      <c r="E171" s="6" t="s">
        <v>210</v>
      </c>
      <c r="F171" s="5">
        <f>VLOOKUP(E171,'Win Methods'!$C$4:$F$4992,4,FALSE)</f>
        <v>0.5</v>
      </c>
      <c r="G171" s="6" t="s">
        <v>215</v>
      </c>
      <c r="H171" s="5">
        <f>VLOOKUP(G171,'Win Methods'!$C$4:$F$4992,4,FALSE)</f>
        <v>3</v>
      </c>
      <c r="I171" s="6" t="s">
        <v>212</v>
      </c>
      <c r="J171" s="5">
        <f>VLOOKUP(I171,'Win Methods'!$C$4:$F$4992,4,FALSE)</f>
        <v>1.5</v>
      </c>
      <c r="K171" s="110" t="s">
        <v>253</v>
      </c>
      <c r="L171" s="5">
        <f>VLOOKUP(K171,'Win Methods'!$C$4:$F$4992,4,FALSE)</f>
        <v>20</v>
      </c>
      <c r="M171" s="6"/>
      <c r="N171" s="5">
        <f>VLOOKUP(M171,'Win Methods'!$C$4:$F$4992,4,FALSE)</f>
        <v>0</v>
      </c>
      <c r="O171" s="6"/>
      <c r="P171" s="5">
        <f>VLOOKUP(O171,'Win Methods'!$C$4:$F$4992,4,FALSE)</f>
        <v>0</v>
      </c>
      <c r="Q171" s="6"/>
      <c r="R171" s="5">
        <f>VLOOKUP(Q171,'Win Methods'!$C$4:$F$4992,4,FALSE)</f>
        <v>0</v>
      </c>
      <c r="S171" s="6"/>
      <c r="T171" s="5">
        <f>VLOOKUP(S171,'Win Methods'!$C$4:$F$4992,4,FALSE)</f>
        <v>0</v>
      </c>
      <c r="U171" s="6"/>
      <c r="V171" s="5">
        <f>VLOOKUP(U171,'Win Methods'!$C$4:$F$4992,4,FALSE)</f>
        <v>0</v>
      </c>
      <c r="W171" s="6"/>
      <c r="X171" s="5">
        <f>VLOOKUP(W171,'Win Methods'!$C$4:$F$4992,4,FALSE)</f>
        <v>0</v>
      </c>
      <c r="Y171" s="5" t="str">
        <f t="shared" si="7"/>
        <v>main-2|main-7|main-4|bonusA-2|||||| x 1</v>
      </c>
    </row>
    <row r="172" spans="2:25">
      <c r="B172" s="5">
        <v>169</v>
      </c>
      <c r="C172" s="5">
        <f t="shared" si="8"/>
        <v>51.5</v>
      </c>
      <c r="D172" s="4">
        <v>1</v>
      </c>
      <c r="E172" s="6" t="s">
        <v>219</v>
      </c>
      <c r="F172" s="5">
        <f>VLOOKUP(E172,'Win Methods'!$C$4:$F$4992,4,FALSE)</f>
        <v>1.5</v>
      </c>
      <c r="G172" s="6" t="s">
        <v>233</v>
      </c>
      <c r="H172" s="5">
        <f>VLOOKUP(G172,'Win Methods'!$C$4:$F$4992,4,FALSE)</f>
        <v>20</v>
      </c>
      <c r="I172" s="6" t="s">
        <v>239</v>
      </c>
      <c r="J172" s="5">
        <f>VLOOKUP(I172,'Win Methods'!$C$4:$F$4992,4,FALSE)</f>
        <v>5</v>
      </c>
      <c r="K172" s="110" t="s">
        <v>254</v>
      </c>
      <c r="L172" s="5">
        <f>VLOOKUP(K172,'Win Methods'!$C$4:$F$4992,4,FALSE)</f>
        <v>25</v>
      </c>
      <c r="M172" s="6"/>
      <c r="N172" s="5">
        <f>VLOOKUP(M172,'Win Methods'!$C$4:$F$4992,4,FALSE)</f>
        <v>0</v>
      </c>
      <c r="O172" s="6"/>
      <c r="P172" s="5">
        <f>VLOOKUP(O172,'Win Methods'!$C$4:$F$4992,4,FALSE)</f>
        <v>0</v>
      </c>
      <c r="Q172" s="6"/>
      <c r="R172" s="5">
        <f>VLOOKUP(Q172,'Win Methods'!$C$4:$F$4992,4,FALSE)</f>
        <v>0</v>
      </c>
      <c r="S172" s="6"/>
      <c r="T172" s="5">
        <f>VLOOKUP(S172,'Win Methods'!$C$4:$F$4992,4,FALSE)</f>
        <v>0</v>
      </c>
      <c r="U172" s="6"/>
      <c r="V172" s="5">
        <f>VLOOKUP(U172,'Win Methods'!$C$4:$F$4992,4,FALSE)</f>
        <v>0</v>
      </c>
      <c r="W172" s="6"/>
      <c r="X172" s="5">
        <f>VLOOKUP(W172,'Win Methods'!$C$4:$F$4992,4,FALSE)</f>
        <v>0</v>
      </c>
      <c r="Y172" s="5" t="str">
        <f t="shared" si="7"/>
        <v>main-11|main-25|main-31|bonusA-3|||||| x 1</v>
      </c>
    </row>
    <row r="173" spans="2:25">
      <c r="B173" s="5">
        <v>170</v>
      </c>
      <c r="C173" s="5">
        <f t="shared" si="8"/>
        <v>74</v>
      </c>
      <c r="D173" s="4">
        <v>1</v>
      </c>
      <c r="E173" s="6" t="s">
        <v>213</v>
      </c>
      <c r="F173" s="5">
        <f>VLOOKUP(E173,'Win Methods'!$C$4:$F$4992,4,FALSE)</f>
        <v>2</v>
      </c>
      <c r="G173" s="6" t="s">
        <v>233</v>
      </c>
      <c r="H173" s="5">
        <f>VLOOKUP(G173,'Win Methods'!$C$4:$F$4992,4,FALSE)</f>
        <v>20</v>
      </c>
      <c r="I173" s="6" t="s">
        <v>220</v>
      </c>
      <c r="J173" s="5">
        <f>VLOOKUP(I173,'Win Methods'!$C$4:$F$4992,4,FALSE)</f>
        <v>2</v>
      </c>
      <c r="K173" s="110" t="s">
        <v>256</v>
      </c>
      <c r="L173" s="5">
        <f>VLOOKUP(K173,'Win Methods'!$C$4:$F$4992,4,FALSE)</f>
        <v>50</v>
      </c>
      <c r="M173" s="6"/>
      <c r="N173" s="5">
        <f>VLOOKUP(M173,'Win Methods'!$C$4:$F$4992,4,FALSE)</f>
        <v>0</v>
      </c>
      <c r="O173" s="6"/>
      <c r="P173" s="5">
        <f>VLOOKUP(O173,'Win Methods'!$C$4:$F$4992,4,FALSE)</f>
        <v>0</v>
      </c>
      <c r="Q173" s="6"/>
      <c r="R173" s="5">
        <f>VLOOKUP(Q173,'Win Methods'!$C$4:$F$4992,4,FALSE)</f>
        <v>0</v>
      </c>
      <c r="S173" s="6"/>
      <c r="T173" s="5">
        <f>VLOOKUP(S173,'Win Methods'!$C$4:$F$4992,4,FALSE)</f>
        <v>0</v>
      </c>
      <c r="U173" s="6"/>
      <c r="V173" s="5">
        <f>VLOOKUP(U173,'Win Methods'!$C$4:$F$4992,4,FALSE)</f>
        <v>0</v>
      </c>
      <c r="W173" s="6"/>
      <c r="X173" s="5">
        <f>VLOOKUP(W173,'Win Methods'!$C$4:$F$4992,4,FALSE)</f>
        <v>0</v>
      </c>
      <c r="Y173" s="5" t="str">
        <f t="shared" si="7"/>
        <v>main-5|main-25|main-12|bonusA-5|||||| x 1</v>
      </c>
    </row>
    <row r="174" spans="2:25">
      <c r="B174" s="5">
        <v>171</v>
      </c>
      <c r="C174" s="5">
        <f t="shared" si="8"/>
        <v>61</v>
      </c>
      <c r="D174" s="4">
        <v>1</v>
      </c>
      <c r="E174" s="6" t="s">
        <v>211</v>
      </c>
      <c r="F174" s="5">
        <f>VLOOKUP(E174,'Win Methods'!$C$4:$F$4992,4,FALSE)</f>
        <v>1</v>
      </c>
      <c r="G174" s="6" t="s">
        <v>241</v>
      </c>
      <c r="H174" s="5">
        <f>VLOOKUP(G174,'Win Methods'!$C$4:$F$4992,4,FALSE)</f>
        <v>15</v>
      </c>
      <c r="I174" s="6" t="s">
        <v>224</v>
      </c>
      <c r="J174" s="5">
        <f>VLOOKUP(I174,'Win Methods'!$C$4:$F$4992,4,FALSE)</f>
        <v>20</v>
      </c>
      <c r="K174" s="110" t="s">
        <v>254</v>
      </c>
      <c r="L174" s="5">
        <f>VLOOKUP(K174,'Win Methods'!$C$4:$F$4992,4,FALSE)</f>
        <v>25</v>
      </c>
      <c r="M174" s="6"/>
      <c r="N174" s="5">
        <f>VLOOKUP(M174,'Win Methods'!$C$4:$F$4992,4,FALSE)</f>
        <v>0</v>
      </c>
      <c r="O174" s="6"/>
      <c r="P174" s="5">
        <f>VLOOKUP(O174,'Win Methods'!$C$4:$F$4992,4,FALSE)</f>
        <v>0</v>
      </c>
      <c r="Q174" s="6"/>
      <c r="R174" s="5">
        <f>VLOOKUP(Q174,'Win Methods'!$C$4:$F$4992,4,FALSE)</f>
        <v>0</v>
      </c>
      <c r="S174" s="6"/>
      <c r="T174" s="5">
        <f>VLOOKUP(S174,'Win Methods'!$C$4:$F$4992,4,FALSE)</f>
        <v>0</v>
      </c>
      <c r="U174" s="6"/>
      <c r="V174" s="5">
        <f>VLOOKUP(U174,'Win Methods'!$C$4:$F$4992,4,FALSE)</f>
        <v>0</v>
      </c>
      <c r="W174" s="6"/>
      <c r="X174" s="5">
        <f>VLOOKUP(W174,'Win Methods'!$C$4:$F$4992,4,FALSE)</f>
        <v>0</v>
      </c>
      <c r="Y174" s="5" t="str">
        <f t="shared" si="7"/>
        <v>main-3|main-33|main-16|bonusA-3|||||| x 1</v>
      </c>
    </row>
    <row r="175" spans="2:25">
      <c r="B175" s="5">
        <v>172</v>
      </c>
      <c r="C175" s="5">
        <f t="shared" si="8"/>
        <v>17.5</v>
      </c>
      <c r="D175" s="4">
        <v>1</v>
      </c>
      <c r="E175" s="6" t="s">
        <v>238</v>
      </c>
      <c r="F175" s="5">
        <f>VLOOKUP(E175,'Win Methods'!$C$4:$F$4992,4,FALSE)</f>
        <v>2</v>
      </c>
      <c r="G175" s="6" t="s">
        <v>214</v>
      </c>
      <c r="H175" s="5">
        <f>VLOOKUP(G175,'Win Methods'!$C$4:$F$4992,4,FALSE)</f>
        <v>2.5</v>
      </c>
      <c r="I175" s="6" t="s">
        <v>215</v>
      </c>
      <c r="J175" s="5">
        <f>VLOOKUP(I175,'Win Methods'!$C$4:$F$4992,4,FALSE)</f>
        <v>3</v>
      </c>
      <c r="K175" s="110" t="s">
        <v>251</v>
      </c>
      <c r="L175" s="5">
        <f>VLOOKUP(K175,'Win Methods'!$C$4:$F$4992,4,FALSE)</f>
        <v>10</v>
      </c>
      <c r="M175" s="6"/>
      <c r="N175" s="5">
        <f>VLOOKUP(M175,'Win Methods'!$C$4:$F$4992,4,FALSE)</f>
        <v>0</v>
      </c>
      <c r="O175" s="6"/>
      <c r="P175" s="5">
        <f>VLOOKUP(O175,'Win Methods'!$C$4:$F$4992,4,FALSE)</f>
        <v>0</v>
      </c>
      <c r="Q175" s="6"/>
      <c r="R175" s="5">
        <f>VLOOKUP(Q175,'Win Methods'!$C$4:$F$4992,4,FALSE)</f>
        <v>0</v>
      </c>
      <c r="S175" s="6"/>
      <c r="T175" s="5">
        <f>VLOOKUP(S175,'Win Methods'!$C$4:$F$4992,4,FALSE)</f>
        <v>0</v>
      </c>
      <c r="U175" s="6"/>
      <c r="V175" s="5">
        <f>VLOOKUP(U175,'Win Methods'!$C$4:$F$4992,4,FALSE)</f>
        <v>0</v>
      </c>
      <c r="W175" s="6"/>
      <c r="X175" s="5">
        <f>VLOOKUP(W175,'Win Methods'!$C$4:$F$4992,4,FALSE)</f>
        <v>0</v>
      </c>
      <c r="Y175" s="5" t="str">
        <f t="shared" si="7"/>
        <v>main-30|main-6|main-7|bonusA-0|||||| x 1</v>
      </c>
    </row>
    <row r="176" spans="2:25">
      <c r="B176" s="5">
        <v>173</v>
      </c>
      <c r="C176" s="5">
        <f t="shared" si="8"/>
        <v>50</v>
      </c>
      <c r="D176" s="4">
        <v>1</v>
      </c>
      <c r="E176" s="6" t="s">
        <v>229</v>
      </c>
      <c r="F176" s="5">
        <f>VLOOKUP(E176,'Win Methods'!$C$4:$F$4992,4,FALSE)</f>
        <v>2</v>
      </c>
      <c r="G176" s="6" t="s">
        <v>233</v>
      </c>
      <c r="H176" s="5">
        <f>VLOOKUP(G176,'Win Methods'!$C$4:$F$4992,4,FALSE)</f>
        <v>20</v>
      </c>
      <c r="I176" s="6" t="s">
        <v>215</v>
      </c>
      <c r="J176" s="5">
        <f>VLOOKUP(I176,'Win Methods'!$C$4:$F$4992,4,FALSE)</f>
        <v>3</v>
      </c>
      <c r="K176" s="110" t="s">
        <v>254</v>
      </c>
      <c r="L176" s="5">
        <f>VLOOKUP(K176,'Win Methods'!$C$4:$F$4992,4,FALSE)</f>
        <v>25</v>
      </c>
      <c r="M176" s="6"/>
      <c r="N176" s="5">
        <f>VLOOKUP(M176,'Win Methods'!$C$4:$F$4992,4,FALSE)</f>
        <v>0</v>
      </c>
      <c r="O176" s="6"/>
      <c r="P176" s="5">
        <f>VLOOKUP(O176,'Win Methods'!$C$4:$F$4992,4,FALSE)</f>
        <v>0</v>
      </c>
      <c r="Q176" s="6"/>
      <c r="R176" s="5">
        <f>VLOOKUP(Q176,'Win Methods'!$C$4:$F$4992,4,FALSE)</f>
        <v>0</v>
      </c>
      <c r="S176" s="6"/>
      <c r="T176" s="5">
        <f>VLOOKUP(S176,'Win Methods'!$C$4:$F$4992,4,FALSE)</f>
        <v>0</v>
      </c>
      <c r="U176" s="6"/>
      <c r="V176" s="5">
        <f>VLOOKUP(U176,'Win Methods'!$C$4:$F$4992,4,FALSE)</f>
        <v>0</v>
      </c>
      <c r="W176" s="6"/>
      <c r="X176" s="5">
        <f>VLOOKUP(W176,'Win Methods'!$C$4:$F$4992,4,FALSE)</f>
        <v>0</v>
      </c>
      <c r="Y176" s="5" t="str">
        <f t="shared" si="7"/>
        <v>main-21|main-25|main-7|bonusA-3|||||| x 1</v>
      </c>
    </row>
    <row r="177" spans="1:25">
      <c r="B177" s="5">
        <v>174</v>
      </c>
      <c r="C177" s="5">
        <f t="shared" si="8"/>
        <v>72</v>
      </c>
      <c r="D177" s="4">
        <v>1</v>
      </c>
      <c r="E177" s="6" t="s">
        <v>213</v>
      </c>
      <c r="F177" s="5">
        <f>VLOOKUP(E177,'Win Methods'!$C$4:$F$4992,4,FALSE)</f>
        <v>2</v>
      </c>
      <c r="G177" s="6" t="s">
        <v>233</v>
      </c>
      <c r="H177" s="5">
        <f>VLOOKUP(G177,'Win Methods'!$C$4:$F$4992,4,FALSE)</f>
        <v>20</v>
      </c>
      <c r="I177" s="6" t="s">
        <v>233</v>
      </c>
      <c r="J177" s="5">
        <f>VLOOKUP(I177,'Win Methods'!$C$4:$F$4992,4,FALSE)</f>
        <v>20</v>
      </c>
      <c r="K177" s="110" t="s">
        <v>255</v>
      </c>
      <c r="L177" s="5">
        <f>VLOOKUP(K177,'Win Methods'!$C$4:$F$4992,4,FALSE)</f>
        <v>30</v>
      </c>
      <c r="M177" s="6"/>
      <c r="N177" s="5">
        <f>VLOOKUP(M177,'Win Methods'!$C$4:$F$4992,4,FALSE)</f>
        <v>0</v>
      </c>
      <c r="O177" s="6"/>
      <c r="P177" s="5">
        <f>VLOOKUP(O177,'Win Methods'!$C$4:$F$4992,4,FALSE)</f>
        <v>0</v>
      </c>
      <c r="Q177" s="6"/>
      <c r="R177" s="5">
        <f>VLOOKUP(Q177,'Win Methods'!$C$4:$F$4992,4,FALSE)</f>
        <v>0</v>
      </c>
      <c r="S177" s="6"/>
      <c r="T177" s="5">
        <f>VLOOKUP(S177,'Win Methods'!$C$4:$F$4992,4,FALSE)</f>
        <v>0</v>
      </c>
      <c r="U177" s="6"/>
      <c r="V177" s="5">
        <f>VLOOKUP(U177,'Win Methods'!$C$4:$F$4992,4,FALSE)</f>
        <v>0</v>
      </c>
      <c r="W177" s="6"/>
      <c r="X177" s="5">
        <f>VLOOKUP(W177,'Win Methods'!$C$4:$F$4992,4,FALSE)</f>
        <v>0</v>
      </c>
      <c r="Y177" s="5" t="str">
        <f t="shared" si="7"/>
        <v>main-5|main-25|main-25|bonusA-4|||||| x 1</v>
      </c>
    </row>
    <row r="178" spans="1:25">
      <c r="B178" s="5">
        <v>175</v>
      </c>
      <c r="C178" s="5">
        <f t="shared" si="8"/>
        <v>35</v>
      </c>
      <c r="D178" s="4">
        <v>1</v>
      </c>
      <c r="E178" s="6" t="s">
        <v>213</v>
      </c>
      <c r="F178" s="5">
        <f>VLOOKUP(E178,'Win Methods'!$C$4:$F$4992,4,FALSE)</f>
        <v>2</v>
      </c>
      <c r="G178" s="6" t="s">
        <v>211</v>
      </c>
      <c r="H178" s="5">
        <f>VLOOKUP(G178,'Win Methods'!$C$4:$F$4992,4,FALSE)</f>
        <v>1</v>
      </c>
      <c r="I178" s="6" t="s">
        <v>213</v>
      </c>
      <c r="J178" s="5">
        <f>VLOOKUP(I178,'Win Methods'!$C$4:$F$4992,4,FALSE)</f>
        <v>2</v>
      </c>
      <c r="K178" s="6" t="s">
        <v>223</v>
      </c>
      <c r="L178" s="5">
        <f>VLOOKUP(K178,'Win Methods'!$C$4:$F$4992,4,FALSE)</f>
        <v>15</v>
      </c>
      <c r="M178" s="110" t="s">
        <v>252</v>
      </c>
      <c r="N178" s="5">
        <f>VLOOKUP(M178,'Win Methods'!$C$4:$F$4992,4,FALSE)</f>
        <v>15</v>
      </c>
      <c r="O178" s="6"/>
      <c r="P178" s="5">
        <f>VLOOKUP(O178,'Win Methods'!$C$4:$F$4992,4,FALSE)</f>
        <v>0</v>
      </c>
      <c r="Q178" s="6"/>
      <c r="R178" s="5">
        <f>VLOOKUP(Q178,'Win Methods'!$C$4:$F$4992,4,FALSE)</f>
        <v>0</v>
      </c>
      <c r="S178" s="6"/>
      <c r="T178" s="5">
        <f>VLOOKUP(S178,'Win Methods'!$C$4:$F$4992,4,FALSE)</f>
        <v>0</v>
      </c>
      <c r="U178" s="6"/>
      <c r="V178" s="5">
        <f>VLOOKUP(U178,'Win Methods'!$C$4:$F$4992,4,FALSE)</f>
        <v>0</v>
      </c>
      <c r="W178" s="6"/>
      <c r="X178" s="5">
        <f>VLOOKUP(W178,'Win Methods'!$C$4:$F$4992,4,FALSE)</f>
        <v>0</v>
      </c>
      <c r="Y178" s="5" t="str">
        <f t="shared" si="7"/>
        <v>main-5|main-3|main-5|main-15|bonusA-1||||| x 1</v>
      </c>
    </row>
    <row r="179" spans="1:25">
      <c r="B179" s="5">
        <v>176</v>
      </c>
      <c r="C179" s="5">
        <f t="shared" si="8"/>
        <v>47</v>
      </c>
      <c r="D179" s="4">
        <v>1</v>
      </c>
      <c r="E179" s="6" t="s">
        <v>213</v>
      </c>
      <c r="F179" s="5">
        <f>VLOOKUP(E179,'Win Methods'!$C$4:$F$4992,4,FALSE)</f>
        <v>2</v>
      </c>
      <c r="G179" s="6" t="s">
        <v>221</v>
      </c>
      <c r="H179" s="5">
        <f>VLOOKUP(G179,'Win Methods'!$C$4:$F$4992,4,FALSE)</f>
        <v>5</v>
      </c>
      <c r="I179" s="6" t="s">
        <v>233</v>
      </c>
      <c r="J179" s="5">
        <f>VLOOKUP(I179,'Win Methods'!$C$4:$F$4992,4,FALSE)</f>
        <v>20</v>
      </c>
      <c r="K179" s="6" t="s">
        <v>230</v>
      </c>
      <c r="L179" s="5">
        <f>VLOOKUP(K179,'Win Methods'!$C$4:$F$4992,4,FALSE)</f>
        <v>5</v>
      </c>
      <c r="M179" s="110" t="s">
        <v>252</v>
      </c>
      <c r="N179" s="5">
        <f>VLOOKUP(M179,'Win Methods'!$C$4:$F$4992,4,FALSE)</f>
        <v>15</v>
      </c>
      <c r="O179" s="6"/>
      <c r="P179" s="5">
        <f>VLOOKUP(O179,'Win Methods'!$C$4:$F$4992,4,FALSE)</f>
        <v>0</v>
      </c>
      <c r="Q179" s="6"/>
      <c r="R179" s="5">
        <f>VLOOKUP(Q179,'Win Methods'!$C$4:$F$4992,4,FALSE)</f>
        <v>0</v>
      </c>
      <c r="S179" s="6"/>
      <c r="T179" s="5">
        <f>VLOOKUP(S179,'Win Methods'!$C$4:$F$4992,4,FALSE)</f>
        <v>0</v>
      </c>
      <c r="U179" s="6"/>
      <c r="V179" s="5">
        <f>VLOOKUP(U179,'Win Methods'!$C$4:$F$4992,4,FALSE)</f>
        <v>0</v>
      </c>
      <c r="W179" s="6"/>
      <c r="X179" s="5">
        <f>VLOOKUP(W179,'Win Methods'!$C$4:$F$4992,4,FALSE)</f>
        <v>0</v>
      </c>
      <c r="Y179" s="5" t="str">
        <f t="shared" si="7"/>
        <v>main-5|main-13|main-25|main-22|bonusA-1||||| x 1</v>
      </c>
    </row>
    <row r="180" spans="1:25">
      <c r="B180" s="5">
        <v>177</v>
      </c>
      <c r="C180" s="5">
        <f t="shared" si="8"/>
        <v>75</v>
      </c>
      <c r="D180" s="4">
        <v>1</v>
      </c>
      <c r="E180" s="6" t="s">
        <v>230</v>
      </c>
      <c r="F180" s="5">
        <f>VLOOKUP(E180,'Win Methods'!$C$4:$F$4992,4,FALSE)</f>
        <v>5</v>
      </c>
      <c r="G180" s="6" t="s">
        <v>221</v>
      </c>
      <c r="H180" s="5">
        <f>VLOOKUP(G180,'Win Methods'!$C$4:$F$4992,4,FALSE)</f>
        <v>5</v>
      </c>
      <c r="I180" s="6" t="s">
        <v>242</v>
      </c>
      <c r="J180" s="5">
        <f>VLOOKUP(I180,'Win Methods'!$C$4:$F$4992,4,FALSE)</f>
        <v>20</v>
      </c>
      <c r="K180" s="6" t="s">
        <v>233</v>
      </c>
      <c r="L180" s="5">
        <f>VLOOKUP(K180,'Win Methods'!$C$4:$F$4992,4,FALSE)</f>
        <v>20</v>
      </c>
      <c r="M180" s="110" t="s">
        <v>254</v>
      </c>
      <c r="N180" s="5">
        <f>VLOOKUP(M180,'Win Methods'!$C$4:$F$4992,4,FALSE)</f>
        <v>25</v>
      </c>
      <c r="O180" s="6"/>
      <c r="P180" s="5">
        <f>VLOOKUP(O180,'Win Methods'!$C$4:$F$4992,4,FALSE)</f>
        <v>0</v>
      </c>
      <c r="Q180" s="6"/>
      <c r="R180" s="5">
        <f>VLOOKUP(Q180,'Win Methods'!$C$4:$F$4992,4,FALSE)</f>
        <v>0</v>
      </c>
      <c r="S180" s="6"/>
      <c r="T180" s="5">
        <f>VLOOKUP(S180,'Win Methods'!$C$4:$F$4992,4,FALSE)</f>
        <v>0</v>
      </c>
      <c r="U180" s="6"/>
      <c r="V180" s="5">
        <f>VLOOKUP(U180,'Win Methods'!$C$4:$F$4992,4,FALSE)</f>
        <v>0</v>
      </c>
      <c r="W180" s="6"/>
      <c r="X180" s="5">
        <f>VLOOKUP(W180,'Win Methods'!$C$4:$F$4992,4,FALSE)</f>
        <v>0</v>
      </c>
      <c r="Y180" s="5" t="str">
        <f t="shared" si="7"/>
        <v>main-22|main-13|main-34|main-25|bonusA-3||||| x 1</v>
      </c>
    </row>
    <row r="181" spans="1:25">
      <c r="B181" s="5">
        <v>178</v>
      </c>
      <c r="C181" s="5">
        <f t="shared" si="8"/>
        <v>54.5</v>
      </c>
      <c r="D181" s="4">
        <v>1</v>
      </c>
      <c r="E181" s="6" t="s">
        <v>211</v>
      </c>
      <c r="F181" s="5">
        <f>VLOOKUP(E181,'Win Methods'!$C$4:$F$4992,4,FALSE)</f>
        <v>1</v>
      </c>
      <c r="G181" s="6" t="s">
        <v>220</v>
      </c>
      <c r="H181" s="5">
        <f>VLOOKUP(G181,'Win Methods'!$C$4:$F$4992,4,FALSE)</f>
        <v>2</v>
      </c>
      <c r="I181" s="6" t="s">
        <v>211</v>
      </c>
      <c r="J181" s="5">
        <f>VLOOKUP(I181,'Win Methods'!$C$4:$F$4992,4,FALSE)</f>
        <v>1</v>
      </c>
      <c r="K181" s="6" t="s">
        <v>210</v>
      </c>
      <c r="L181" s="5">
        <f>VLOOKUP(K181,'Win Methods'!$C$4:$F$4992,4,FALSE)</f>
        <v>0.5</v>
      </c>
      <c r="M181" s="110" t="s">
        <v>256</v>
      </c>
      <c r="N181" s="5">
        <f>VLOOKUP(M181,'Win Methods'!$C$4:$F$4992,4,FALSE)</f>
        <v>50</v>
      </c>
      <c r="O181" s="6"/>
      <c r="P181" s="5">
        <f>VLOOKUP(O181,'Win Methods'!$C$4:$F$4992,4,FALSE)</f>
        <v>0</v>
      </c>
      <c r="Q181" s="6"/>
      <c r="R181" s="5">
        <f>VLOOKUP(Q181,'Win Methods'!$C$4:$F$4992,4,FALSE)</f>
        <v>0</v>
      </c>
      <c r="S181" s="6"/>
      <c r="T181" s="5">
        <f>VLOOKUP(S181,'Win Methods'!$C$4:$F$4992,4,FALSE)</f>
        <v>0</v>
      </c>
      <c r="U181" s="6"/>
      <c r="V181" s="5">
        <f>VLOOKUP(U181,'Win Methods'!$C$4:$F$4992,4,FALSE)</f>
        <v>0</v>
      </c>
      <c r="W181" s="6"/>
      <c r="X181" s="5">
        <f>VLOOKUP(W181,'Win Methods'!$C$4:$F$4992,4,FALSE)</f>
        <v>0</v>
      </c>
      <c r="Y181" s="5" t="str">
        <f t="shared" si="7"/>
        <v>main-3|main-12|main-3|main-2|bonusA-5||||| x 1</v>
      </c>
    </row>
    <row r="182" spans="1:25">
      <c r="B182" s="5">
        <v>179</v>
      </c>
      <c r="C182" s="5">
        <f t="shared" si="8"/>
        <v>40</v>
      </c>
      <c r="D182" s="4">
        <v>1</v>
      </c>
      <c r="E182" s="6" t="s">
        <v>216</v>
      </c>
      <c r="F182" s="5">
        <f>VLOOKUP(E182,'Win Methods'!$C$4:$F$4992,4,FALSE)</f>
        <v>5</v>
      </c>
      <c r="G182" s="6" t="s">
        <v>213</v>
      </c>
      <c r="H182" s="5">
        <f>VLOOKUP(G182,'Win Methods'!$C$4:$F$4992,4,FALSE)</f>
        <v>2</v>
      </c>
      <c r="I182" s="6" t="s">
        <v>220</v>
      </c>
      <c r="J182" s="5">
        <f>VLOOKUP(I182,'Win Methods'!$C$4:$F$4992,4,FALSE)</f>
        <v>2</v>
      </c>
      <c r="K182" s="6" t="s">
        <v>211</v>
      </c>
      <c r="L182" s="5">
        <f>VLOOKUP(K182,'Win Methods'!$C$4:$F$4992,4,FALSE)</f>
        <v>1</v>
      </c>
      <c r="M182" s="110" t="s">
        <v>255</v>
      </c>
      <c r="N182" s="5">
        <f>VLOOKUP(M182,'Win Methods'!$C$4:$F$4992,4,FALSE)</f>
        <v>30</v>
      </c>
      <c r="O182" s="6"/>
      <c r="P182" s="5">
        <f>VLOOKUP(O182,'Win Methods'!$C$4:$F$4992,4,FALSE)</f>
        <v>0</v>
      </c>
      <c r="Q182" s="6"/>
      <c r="R182" s="5">
        <f>VLOOKUP(Q182,'Win Methods'!$C$4:$F$4992,4,FALSE)</f>
        <v>0</v>
      </c>
      <c r="S182" s="6"/>
      <c r="T182" s="5">
        <f>VLOOKUP(S182,'Win Methods'!$C$4:$F$4992,4,FALSE)</f>
        <v>0</v>
      </c>
      <c r="U182" s="6"/>
      <c r="V182" s="5">
        <f>VLOOKUP(U182,'Win Methods'!$C$4:$F$4992,4,FALSE)</f>
        <v>0</v>
      </c>
      <c r="W182" s="6"/>
      <c r="X182" s="5">
        <f>VLOOKUP(W182,'Win Methods'!$C$4:$F$4992,4,FALSE)</f>
        <v>0</v>
      </c>
      <c r="Y182" s="5" t="str">
        <f t="shared" si="7"/>
        <v>main-8|main-5|main-12|main-3|bonusA-4||||| x 1</v>
      </c>
    </row>
    <row r="183" spans="1:25">
      <c r="B183" s="5">
        <v>180</v>
      </c>
      <c r="C183" s="5">
        <f t="shared" si="8"/>
        <v>58</v>
      </c>
      <c r="D183" s="4">
        <v>1</v>
      </c>
      <c r="E183" s="6" t="s">
        <v>217</v>
      </c>
      <c r="F183" s="5">
        <f>VLOOKUP(E183,'Win Methods'!$C$4:$F$4992,4,FALSE)</f>
        <v>10</v>
      </c>
      <c r="G183" s="6" t="s">
        <v>212</v>
      </c>
      <c r="H183" s="5">
        <f>VLOOKUP(G183,'Win Methods'!$C$4:$F$4992,4,FALSE)</f>
        <v>1.5</v>
      </c>
      <c r="I183" s="6" t="s">
        <v>219</v>
      </c>
      <c r="J183" s="5">
        <f>VLOOKUP(I183,'Win Methods'!$C$4:$F$4992,4,FALSE)</f>
        <v>1.5</v>
      </c>
      <c r="K183" s="6" t="s">
        <v>223</v>
      </c>
      <c r="L183" s="5">
        <f>VLOOKUP(K183,'Win Methods'!$C$4:$F$4992,4,FALSE)</f>
        <v>15</v>
      </c>
      <c r="M183" s="110" t="s">
        <v>255</v>
      </c>
      <c r="N183" s="5">
        <f>VLOOKUP(M183,'Win Methods'!$C$4:$F$4992,4,FALSE)</f>
        <v>30</v>
      </c>
      <c r="O183" s="6"/>
      <c r="P183" s="5">
        <f>VLOOKUP(O183,'Win Methods'!$C$4:$F$4992,4,FALSE)</f>
        <v>0</v>
      </c>
      <c r="Q183" s="6"/>
      <c r="R183" s="5">
        <f>VLOOKUP(Q183,'Win Methods'!$C$4:$F$4992,4,FALSE)</f>
        <v>0</v>
      </c>
      <c r="S183" s="6"/>
      <c r="T183" s="5">
        <f>VLOOKUP(S183,'Win Methods'!$C$4:$F$4992,4,FALSE)</f>
        <v>0</v>
      </c>
      <c r="U183" s="6"/>
      <c r="V183" s="5">
        <f>VLOOKUP(U183,'Win Methods'!$C$4:$F$4992,4,FALSE)</f>
        <v>0</v>
      </c>
      <c r="W183" s="6"/>
      <c r="X183" s="5">
        <f>VLOOKUP(W183,'Win Methods'!$C$4:$F$4992,4,FALSE)</f>
        <v>0</v>
      </c>
      <c r="Y183" s="5" t="str">
        <f t="shared" si="7"/>
        <v>main-9|main-4|main-11|main-15|bonusA-4||||| x 1</v>
      </c>
    </row>
    <row r="184" spans="1:25">
      <c r="B184" s="5">
        <v>181</v>
      </c>
      <c r="C184" s="5">
        <f t="shared" si="8"/>
        <v>52</v>
      </c>
      <c r="D184" s="4">
        <v>1</v>
      </c>
      <c r="E184" s="6" t="s">
        <v>212</v>
      </c>
      <c r="F184" s="5">
        <f>VLOOKUP(E184,'Win Methods'!$C$4:$F$4992,4,FALSE)</f>
        <v>1.5</v>
      </c>
      <c r="G184" s="6" t="s">
        <v>233</v>
      </c>
      <c r="H184" s="5">
        <f>VLOOKUP(G184,'Win Methods'!$C$4:$F$4992,4,FALSE)</f>
        <v>20</v>
      </c>
      <c r="I184" s="6" t="s">
        <v>216</v>
      </c>
      <c r="J184" s="5">
        <f>VLOOKUP(I184,'Win Methods'!$C$4:$F$4992,4,FALSE)</f>
        <v>5</v>
      </c>
      <c r="K184" s="6" t="s">
        <v>210</v>
      </c>
      <c r="L184" s="5">
        <f>VLOOKUP(K184,'Win Methods'!$C$4:$F$4992,4,FALSE)</f>
        <v>0.5</v>
      </c>
      <c r="M184" s="110" t="s">
        <v>254</v>
      </c>
      <c r="N184" s="5">
        <f>VLOOKUP(M184,'Win Methods'!$C$4:$F$4992,4,FALSE)</f>
        <v>25</v>
      </c>
      <c r="O184" s="6"/>
      <c r="P184" s="5">
        <f>VLOOKUP(O184,'Win Methods'!$C$4:$F$4992,4,FALSE)</f>
        <v>0</v>
      </c>
      <c r="Q184" s="6"/>
      <c r="R184" s="5">
        <f>VLOOKUP(Q184,'Win Methods'!$C$4:$F$4992,4,FALSE)</f>
        <v>0</v>
      </c>
      <c r="S184" s="6"/>
      <c r="T184" s="5">
        <f>VLOOKUP(S184,'Win Methods'!$C$4:$F$4992,4,FALSE)</f>
        <v>0</v>
      </c>
      <c r="U184" s="6"/>
      <c r="V184" s="5">
        <f>VLOOKUP(U184,'Win Methods'!$C$4:$F$4992,4,FALSE)</f>
        <v>0</v>
      </c>
      <c r="W184" s="6"/>
      <c r="X184" s="5">
        <f>VLOOKUP(W184,'Win Methods'!$C$4:$F$4992,4,FALSE)</f>
        <v>0</v>
      </c>
      <c r="Y184" s="5" t="str">
        <f t="shared" si="7"/>
        <v>main-4|main-25|main-8|main-2|bonusA-3||||| x 1</v>
      </c>
    </row>
    <row r="185" spans="1:25">
      <c r="B185" s="5">
        <v>182</v>
      </c>
      <c r="C185" s="5">
        <f t="shared" si="8"/>
        <v>78.5</v>
      </c>
      <c r="D185" s="4">
        <v>1</v>
      </c>
      <c r="E185" s="6" t="s">
        <v>211</v>
      </c>
      <c r="F185" s="5">
        <f>VLOOKUP(E185,'Win Methods'!$C$4:$F$4992,4,FALSE)</f>
        <v>1</v>
      </c>
      <c r="G185" s="6" t="s">
        <v>239</v>
      </c>
      <c r="H185" s="5">
        <f>VLOOKUP(G185,'Win Methods'!$C$4:$F$4992,4,FALSE)</f>
        <v>5</v>
      </c>
      <c r="I185" s="6" t="s">
        <v>212</v>
      </c>
      <c r="J185" s="5">
        <f>VLOOKUP(I185,'Win Methods'!$C$4:$F$4992,4,FALSE)</f>
        <v>1.5</v>
      </c>
      <c r="K185" s="6" t="s">
        <v>224</v>
      </c>
      <c r="L185" s="5">
        <f>VLOOKUP(K185,'Win Methods'!$C$4:$F$4992,4,FALSE)</f>
        <v>20</v>
      </c>
      <c r="M185" s="6" t="s">
        <v>211</v>
      </c>
      <c r="N185" s="5">
        <f>VLOOKUP(M185,'Win Methods'!$C$4:$F$4992,4,FALSE)</f>
        <v>1</v>
      </c>
      <c r="O185" s="110" t="s">
        <v>256</v>
      </c>
      <c r="P185" s="5">
        <f>VLOOKUP(O185,'Win Methods'!$C$4:$F$4992,4,FALSE)</f>
        <v>50</v>
      </c>
      <c r="Q185" s="6"/>
      <c r="R185" s="5">
        <f>VLOOKUP(Q185,'Win Methods'!$C$4:$F$4992,4,FALSE)</f>
        <v>0</v>
      </c>
      <c r="S185" s="6"/>
      <c r="T185" s="5">
        <f>VLOOKUP(S185,'Win Methods'!$C$4:$F$4992,4,FALSE)</f>
        <v>0</v>
      </c>
      <c r="U185" s="6"/>
      <c r="V185" s="5">
        <f>VLOOKUP(U185,'Win Methods'!$C$4:$F$4992,4,FALSE)</f>
        <v>0</v>
      </c>
      <c r="W185" s="6"/>
      <c r="X185" s="5">
        <f>VLOOKUP(W185,'Win Methods'!$C$4:$F$4992,4,FALSE)</f>
        <v>0</v>
      </c>
      <c r="Y185" s="5" t="str">
        <f t="shared" si="7"/>
        <v>main-3|main-31|main-4|main-16|main-3|bonusA-5|||| x 1</v>
      </c>
    </row>
    <row r="186" spans="1:25">
      <c r="B186" s="5">
        <v>183</v>
      </c>
      <c r="C186" s="5">
        <f t="shared" si="8"/>
        <v>35</v>
      </c>
      <c r="D186" s="4">
        <v>1</v>
      </c>
      <c r="E186" s="6" t="s">
        <v>211</v>
      </c>
      <c r="F186" s="5">
        <f>VLOOKUP(E186,'Win Methods'!$C$4:$F$4992,4,FALSE)</f>
        <v>1</v>
      </c>
      <c r="G186" s="6" t="s">
        <v>212</v>
      </c>
      <c r="H186" s="5">
        <f>VLOOKUP(G186,'Win Methods'!$C$4:$F$4992,4,FALSE)</f>
        <v>1.5</v>
      </c>
      <c r="I186" s="6" t="s">
        <v>210</v>
      </c>
      <c r="J186" s="5">
        <f>VLOOKUP(I186,'Win Methods'!$C$4:$F$4992,4,FALSE)</f>
        <v>0.5</v>
      </c>
      <c r="K186" s="6" t="s">
        <v>216</v>
      </c>
      <c r="L186" s="5">
        <f>VLOOKUP(K186,'Win Methods'!$C$4:$F$4992,4,FALSE)</f>
        <v>5</v>
      </c>
      <c r="M186" s="6" t="s">
        <v>213</v>
      </c>
      <c r="N186" s="5">
        <f>VLOOKUP(M186,'Win Methods'!$C$4:$F$4992,4,FALSE)</f>
        <v>2</v>
      </c>
      <c r="O186" s="110" t="s">
        <v>254</v>
      </c>
      <c r="P186" s="5">
        <f>VLOOKUP(O186,'Win Methods'!$C$4:$F$4992,4,FALSE)</f>
        <v>25</v>
      </c>
      <c r="Q186" s="6"/>
      <c r="R186" s="5">
        <f>VLOOKUP(Q186,'Win Methods'!$C$4:$F$4992,4,FALSE)</f>
        <v>0</v>
      </c>
      <c r="S186" s="6"/>
      <c r="T186" s="5">
        <f>VLOOKUP(S186,'Win Methods'!$C$4:$F$4992,4,FALSE)</f>
        <v>0</v>
      </c>
      <c r="U186" s="6"/>
      <c r="V186" s="5">
        <f>VLOOKUP(U186,'Win Methods'!$C$4:$F$4992,4,FALSE)</f>
        <v>0</v>
      </c>
      <c r="W186" s="6"/>
      <c r="X186" s="5">
        <f>VLOOKUP(W186,'Win Methods'!$C$4:$F$4992,4,FALSE)</f>
        <v>0</v>
      </c>
      <c r="Y186" s="5" t="str">
        <f t="shared" si="7"/>
        <v>main-3|main-4|main-2|main-8|main-5|bonusA-3|||| x 1</v>
      </c>
    </row>
    <row r="187" spans="1:25">
      <c r="B187" s="5">
        <v>184</v>
      </c>
      <c r="C187" s="5">
        <f t="shared" si="8"/>
        <v>34</v>
      </c>
      <c r="D187" s="4">
        <v>1</v>
      </c>
      <c r="E187" s="6" t="s">
        <v>214</v>
      </c>
      <c r="F187" s="5">
        <f>VLOOKUP(E187,'Win Methods'!$C$4:$F$4992,4,FALSE)</f>
        <v>2.5</v>
      </c>
      <c r="G187" s="6" t="s">
        <v>240</v>
      </c>
      <c r="H187" s="5">
        <f>VLOOKUP(G187,'Win Methods'!$C$4:$F$4992,4,FALSE)</f>
        <v>10</v>
      </c>
      <c r="I187" s="6" t="s">
        <v>239</v>
      </c>
      <c r="J187" s="5">
        <f>VLOOKUP(I187,'Win Methods'!$C$4:$F$4992,4,FALSE)</f>
        <v>5</v>
      </c>
      <c r="K187" s="6" t="s">
        <v>216</v>
      </c>
      <c r="L187" s="5">
        <f>VLOOKUP(K187,'Win Methods'!$C$4:$F$4992,4,FALSE)</f>
        <v>5</v>
      </c>
      <c r="M187" s="6" t="s">
        <v>212</v>
      </c>
      <c r="N187" s="5">
        <f>VLOOKUP(M187,'Win Methods'!$C$4:$F$4992,4,FALSE)</f>
        <v>1.5</v>
      </c>
      <c r="O187" s="110" t="s">
        <v>251</v>
      </c>
      <c r="P187" s="5">
        <f>VLOOKUP(O187,'Win Methods'!$C$4:$F$4992,4,FALSE)</f>
        <v>10</v>
      </c>
      <c r="Q187" s="6"/>
      <c r="R187" s="5">
        <f>VLOOKUP(Q187,'Win Methods'!$C$4:$F$4992,4,FALSE)</f>
        <v>0</v>
      </c>
      <c r="S187" s="6"/>
      <c r="T187" s="5">
        <f>VLOOKUP(S187,'Win Methods'!$C$4:$F$4992,4,FALSE)</f>
        <v>0</v>
      </c>
      <c r="U187" s="6"/>
      <c r="V187" s="5">
        <f>VLOOKUP(U187,'Win Methods'!$C$4:$F$4992,4,FALSE)</f>
        <v>0</v>
      </c>
      <c r="W187" s="6"/>
      <c r="X187" s="5">
        <f>VLOOKUP(W187,'Win Methods'!$C$4:$F$4992,4,FALSE)</f>
        <v>0</v>
      </c>
      <c r="Y187" s="5" t="str">
        <f t="shared" si="7"/>
        <v>main-6|main-32|main-31|main-8|main-4|bonusA-0|||| x 1</v>
      </c>
    </row>
    <row r="188" spans="1:25">
      <c r="B188" s="5">
        <v>185</v>
      </c>
      <c r="C188" s="5">
        <f t="shared" si="8"/>
        <v>55.5</v>
      </c>
      <c r="D188" s="4">
        <v>1</v>
      </c>
      <c r="E188" s="6" t="s">
        <v>212</v>
      </c>
      <c r="F188" s="5">
        <f>VLOOKUP(E188,'Win Methods'!$C$4:$F$4992,4,FALSE)</f>
        <v>1.5</v>
      </c>
      <c r="G188" s="6" t="s">
        <v>212</v>
      </c>
      <c r="H188" s="5">
        <f>VLOOKUP(G188,'Win Methods'!$C$4:$F$4992,4,FALSE)</f>
        <v>1.5</v>
      </c>
      <c r="I188" s="6" t="s">
        <v>212</v>
      </c>
      <c r="J188" s="5">
        <f>VLOOKUP(I188,'Win Methods'!$C$4:$F$4992,4,FALSE)</f>
        <v>1.5</v>
      </c>
      <c r="K188" s="6" t="s">
        <v>211</v>
      </c>
      <c r="L188" s="5">
        <f>VLOOKUP(K188,'Win Methods'!$C$4:$F$4992,4,FALSE)</f>
        <v>1</v>
      </c>
      <c r="M188" s="6" t="s">
        <v>242</v>
      </c>
      <c r="N188" s="5">
        <f>VLOOKUP(M188,'Win Methods'!$C$4:$F$4992,4,FALSE)</f>
        <v>20</v>
      </c>
      <c r="O188" s="110" t="s">
        <v>255</v>
      </c>
      <c r="P188" s="5">
        <f>VLOOKUP(O188,'Win Methods'!$C$4:$F$4992,4,FALSE)</f>
        <v>30</v>
      </c>
      <c r="Q188" s="6"/>
      <c r="R188" s="5">
        <f>VLOOKUP(Q188,'Win Methods'!$C$4:$F$4992,4,FALSE)</f>
        <v>0</v>
      </c>
      <c r="S188" s="6"/>
      <c r="T188" s="5">
        <f>VLOOKUP(S188,'Win Methods'!$C$4:$F$4992,4,FALSE)</f>
        <v>0</v>
      </c>
      <c r="U188" s="6"/>
      <c r="V188" s="5">
        <f>VLOOKUP(U188,'Win Methods'!$C$4:$F$4992,4,FALSE)</f>
        <v>0</v>
      </c>
      <c r="W188" s="6"/>
      <c r="X188" s="5">
        <f>VLOOKUP(W188,'Win Methods'!$C$4:$F$4992,4,FALSE)</f>
        <v>0</v>
      </c>
      <c r="Y188" s="5" t="str">
        <f t="shared" si="7"/>
        <v>main-4|main-4|main-4|main-3|main-34|bonusA-4|||| x 1</v>
      </c>
    </row>
    <row r="189" spans="1:25">
      <c r="B189" s="5">
        <v>186</v>
      </c>
      <c r="C189" s="5">
        <f t="shared" si="8"/>
        <v>37.200000000000003</v>
      </c>
      <c r="D189" s="4">
        <v>1</v>
      </c>
      <c r="E189" s="6" t="s">
        <v>213</v>
      </c>
      <c r="F189" s="5">
        <f>VLOOKUP(E189,'Win Methods'!$C$4:$F$4992,4,FALSE)</f>
        <v>2</v>
      </c>
      <c r="G189" s="6" t="s">
        <v>229</v>
      </c>
      <c r="H189" s="5">
        <f>VLOOKUP(G189,'Win Methods'!$C$4:$F$4992,4,FALSE)</f>
        <v>2</v>
      </c>
      <c r="I189" s="6" t="s">
        <v>212</v>
      </c>
      <c r="J189" s="5">
        <f>VLOOKUP(I189,'Win Methods'!$C$4:$F$4992,4,FALSE)</f>
        <v>1.5</v>
      </c>
      <c r="K189" s="6" t="s">
        <v>212</v>
      </c>
      <c r="L189" s="5">
        <f>VLOOKUP(K189,'Win Methods'!$C$4:$F$4992,4,FALSE)</f>
        <v>1.5</v>
      </c>
      <c r="M189" s="6" t="s">
        <v>209</v>
      </c>
      <c r="N189" s="5">
        <f>VLOOKUP(M189,'Win Methods'!$C$4:$F$4992,4,FALSE)</f>
        <v>0.2</v>
      </c>
      <c r="O189" s="110" t="s">
        <v>255</v>
      </c>
      <c r="P189" s="5">
        <f>VLOOKUP(O189,'Win Methods'!$C$4:$F$4992,4,FALSE)</f>
        <v>30</v>
      </c>
      <c r="Q189" s="6"/>
      <c r="R189" s="5">
        <f>VLOOKUP(Q189,'Win Methods'!$C$4:$F$4992,4,FALSE)</f>
        <v>0</v>
      </c>
      <c r="S189" s="6"/>
      <c r="T189" s="5">
        <f>VLOOKUP(S189,'Win Methods'!$C$4:$F$4992,4,FALSE)</f>
        <v>0</v>
      </c>
      <c r="U189" s="6"/>
      <c r="V189" s="5">
        <f>VLOOKUP(U189,'Win Methods'!$C$4:$F$4992,4,FALSE)</f>
        <v>0</v>
      </c>
      <c r="W189" s="6"/>
      <c r="X189" s="5">
        <f>VLOOKUP(W189,'Win Methods'!$C$4:$F$4992,4,FALSE)</f>
        <v>0</v>
      </c>
      <c r="Y189" s="5" t="str">
        <f t="shared" si="7"/>
        <v>main-5|main-21|main-4|main-4|main-1|bonusA-4|||| x 1</v>
      </c>
    </row>
    <row r="190" spans="1:25">
      <c r="B190" s="5">
        <v>187</v>
      </c>
      <c r="C190" s="5">
        <f t="shared" si="8"/>
        <v>43</v>
      </c>
      <c r="D190" s="4">
        <v>1</v>
      </c>
      <c r="E190" s="6" t="s">
        <v>215</v>
      </c>
      <c r="F190" s="5">
        <f>VLOOKUP(E190,'Win Methods'!$C$4:$F$4992,4,FALSE)</f>
        <v>3</v>
      </c>
      <c r="G190" s="6" t="s">
        <v>213</v>
      </c>
      <c r="H190" s="5">
        <f>VLOOKUP(G190,'Win Methods'!$C$4:$F$4992,4,FALSE)</f>
        <v>2</v>
      </c>
      <c r="I190" s="6" t="s">
        <v>213</v>
      </c>
      <c r="J190" s="5">
        <f>VLOOKUP(I190,'Win Methods'!$C$4:$F$4992,4,FALSE)</f>
        <v>2</v>
      </c>
      <c r="K190" s="6" t="s">
        <v>222</v>
      </c>
      <c r="L190" s="5">
        <f>VLOOKUP(K190,'Win Methods'!$C$4:$F$4992,4,FALSE)</f>
        <v>10</v>
      </c>
      <c r="M190" s="6" t="s">
        <v>211</v>
      </c>
      <c r="N190" s="5">
        <f>VLOOKUP(M190,'Win Methods'!$C$4:$F$4992,4,FALSE)</f>
        <v>1</v>
      </c>
      <c r="O190" s="110" t="s">
        <v>254</v>
      </c>
      <c r="P190" s="5">
        <f>VLOOKUP(O190,'Win Methods'!$C$4:$F$4992,4,FALSE)</f>
        <v>25</v>
      </c>
      <c r="Q190" s="6"/>
      <c r="R190" s="5">
        <f>VLOOKUP(Q190,'Win Methods'!$C$4:$F$4992,4,FALSE)</f>
        <v>0</v>
      </c>
      <c r="S190" s="6"/>
      <c r="T190" s="5">
        <f>VLOOKUP(S190,'Win Methods'!$C$4:$F$4992,4,FALSE)</f>
        <v>0</v>
      </c>
      <c r="U190" s="6"/>
      <c r="V190" s="5">
        <f>VLOOKUP(U190,'Win Methods'!$C$4:$F$4992,4,FALSE)</f>
        <v>0</v>
      </c>
      <c r="W190" s="6"/>
      <c r="X190" s="5">
        <f>VLOOKUP(W190,'Win Methods'!$C$4:$F$4992,4,FALSE)</f>
        <v>0</v>
      </c>
      <c r="Y190" s="5" t="str">
        <f t="shared" si="7"/>
        <v>main-7|main-5|main-5|main-14|main-3|bonusA-3|||| x 1</v>
      </c>
    </row>
    <row r="191" spans="1:25">
      <c r="A191" s="115" t="s">
        <v>258</v>
      </c>
      <c r="B191" s="5">
        <v>188</v>
      </c>
      <c r="C191" s="5">
        <f t="shared" ref="C191:C203" si="9">(F191)*D191+H191+J191+L191+N191+P191+R191+T191+V191+X191</f>
        <v>27</v>
      </c>
      <c r="D191" s="12">
        <v>20</v>
      </c>
      <c r="E191" s="6" t="s">
        <v>208</v>
      </c>
      <c r="F191" s="5">
        <f>VLOOKUP(E191,'Win Methods'!$C$4:$F$4992,4,FALSE)</f>
        <v>0.1</v>
      </c>
      <c r="G191" s="110" t="s">
        <v>254</v>
      </c>
      <c r="H191" s="5">
        <f>VLOOKUP(G191,'Win Methods'!$C$4:$F$4992,4,FALSE)</f>
        <v>25</v>
      </c>
      <c r="I191" s="6"/>
      <c r="J191" s="5">
        <f>VLOOKUP(I191,'Win Methods'!$C$4:$F$4992,4,FALSE)</f>
        <v>0</v>
      </c>
      <c r="K191" s="6"/>
      <c r="L191" s="5">
        <f>VLOOKUP(K191,'Win Methods'!$C$4:$F$4992,4,FALSE)</f>
        <v>0</v>
      </c>
      <c r="M191" s="6"/>
      <c r="N191" s="5">
        <f>VLOOKUP(M191,'Win Methods'!$C$4:$F$4992,4,FALSE)</f>
        <v>0</v>
      </c>
      <c r="O191" s="6"/>
      <c r="P191" s="5">
        <f>VLOOKUP(O191,'Win Methods'!$C$4:$F$4992,4,FALSE)</f>
        <v>0</v>
      </c>
      <c r="Q191" s="6"/>
      <c r="R191" s="5">
        <f>VLOOKUP(Q191,'Win Methods'!$C$4:$F$4992,4,FALSE)</f>
        <v>0</v>
      </c>
      <c r="S191" s="6"/>
      <c r="T191" s="5">
        <f>VLOOKUP(S191,'Win Methods'!$C$4:$F$4992,4,FALSE)</f>
        <v>0</v>
      </c>
      <c r="U191" s="6"/>
      <c r="V191" s="5">
        <f>VLOOKUP(U191,'Win Methods'!$C$4:$F$4992,4,FALSE)</f>
        <v>0</v>
      </c>
      <c r="W191" s="6"/>
      <c r="X191" s="5">
        <f>VLOOKUP(W191,'Win Methods'!$C$4:$F$4992,4,FALSE)</f>
        <v>0</v>
      </c>
      <c r="Y191" s="5" t="str">
        <f t="shared" si="7"/>
        <v>main-0|bonusA-3|||||||| x 20</v>
      </c>
    </row>
    <row r="192" spans="1:25">
      <c r="A192" s="115" t="s">
        <v>259</v>
      </c>
      <c r="B192" s="5">
        <v>189</v>
      </c>
      <c r="C192" s="5">
        <f t="shared" si="9"/>
        <v>29</v>
      </c>
      <c r="D192" s="12">
        <v>20</v>
      </c>
      <c r="E192" s="6" t="s">
        <v>209</v>
      </c>
      <c r="F192" s="5">
        <f>VLOOKUP(E192,'Win Methods'!$C$4:$F$4992,4,FALSE)</f>
        <v>0.2</v>
      </c>
      <c r="G192" s="110" t="s">
        <v>254</v>
      </c>
      <c r="H192" s="5">
        <f>VLOOKUP(G192,'Win Methods'!$C$4:$F$4992,4,FALSE)</f>
        <v>25</v>
      </c>
      <c r="I192" s="6"/>
      <c r="J192" s="5">
        <f>VLOOKUP(I192,'Win Methods'!$C$4:$F$4992,4,FALSE)</f>
        <v>0</v>
      </c>
      <c r="K192" s="6"/>
      <c r="L192" s="5">
        <f>VLOOKUP(K192,'Win Methods'!$C$4:$F$4992,4,FALSE)</f>
        <v>0</v>
      </c>
      <c r="M192" s="6"/>
      <c r="N192" s="5">
        <f>VLOOKUP(M192,'Win Methods'!$C$4:$F$4992,4,FALSE)</f>
        <v>0</v>
      </c>
      <c r="O192" s="6"/>
      <c r="P192" s="5">
        <f>VLOOKUP(O192,'Win Methods'!$C$4:$F$4992,4,FALSE)</f>
        <v>0</v>
      </c>
      <c r="Q192" s="6"/>
      <c r="R192" s="5">
        <f>VLOOKUP(Q192,'Win Methods'!$C$4:$F$4992,4,FALSE)</f>
        <v>0</v>
      </c>
      <c r="S192" s="6"/>
      <c r="T192" s="5">
        <f>VLOOKUP(S192,'Win Methods'!$C$4:$F$4992,4,FALSE)</f>
        <v>0</v>
      </c>
      <c r="U192" s="6"/>
      <c r="V192" s="5">
        <f>VLOOKUP(U192,'Win Methods'!$C$4:$F$4992,4,FALSE)</f>
        <v>0</v>
      </c>
      <c r="W192" s="6"/>
      <c r="X192" s="5">
        <f>VLOOKUP(W192,'Win Methods'!$C$4:$F$4992,4,FALSE)</f>
        <v>0</v>
      </c>
      <c r="Y192" s="5" t="str">
        <f t="shared" si="7"/>
        <v>main-1|bonusA-3|||||||| x 20</v>
      </c>
    </row>
    <row r="193" spans="1:25">
      <c r="A193" s="115" t="s">
        <v>260</v>
      </c>
      <c r="B193" s="5">
        <v>190</v>
      </c>
      <c r="C193" s="5">
        <f t="shared" si="9"/>
        <v>35</v>
      </c>
      <c r="D193" s="12">
        <v>20</v>
      </c>
      <c r="E193" s="6" t="s">
        <v>210</v>
      </c>
      <c r="F193" s="5">
        <f>VLOOKUP(E193,'Win Methods'!$C$4:$F$4992,4,FALSE)</f>
        <v>0.5</v>
      </c>
      <c r="G193" s="110" t="s">
        <v>254</v>
      </c>
      <c r="H193" s="5">
        <f>VLOOKUP(G193,'Win Methods'!$C$4:$F$4992,4,FALSE)</f>
        <v>25</v>
      </c>
      <c r="I193" s="6"/>
      <c r="J193" s="5">
        <f>VLOOKUP(I193,'Win Methods'!$C$4:$F$4992,4,FALSE)</f>
        <v>0</v>
      </c>
      <c r="K193" s="6"/>
      <c r="L193" s="5">
        <f>VLOOKUP(K193,'Win Methods'!$C$4:$F$4992,4,FALSE)</f>
        <v>0</v>
      </c>
      <c r="M193" s="6"/>
      <c r="N193" s="5">
        <f>VLOOKUP(M193,'Win Methods'!$C$4:$F$4992,4,FALSE)</f>
        <v>0</v>
      </c>
      <c r="O193" s="6"/>
      <c r="P193" s="5">
        <f>VLOOKUP(O193,'Win Methods'!$C$4:$F$4992,4,FALSE)</f>
        <v>0</v>
      </c>
      <c r="Q193" s="6"/>
      <c r="R193" s="5">
        <f>VLOOKUP(Q193,'Win Methods'!$C$4:$F$4992,4,FALSE)</f>
        <v>0</v>
      </c>
      <c r="S193" s="6"/>
      <c r="T193" s="5">
        <f>VLOOKUP(S193,'Win Methods'!$C$4:$F$4992,4,FALSE)</f>
        <v>0</v>
      </c>
      <c r="U193" s="6"/>
      <c r="V193" s="5">
        <f>VLOOKUP(U193,'Win Methods'!$C$4:$F$4992,4,FALSE)</f>
        <v>0</v>
      </c>
      <c r="W193" s="6"/>
      <c r="X193" s="5">
        <f>VLOOKUP(W193,'Win Methods'!$C$4:$F$4992,4,FALSE)</f>
        <v>0</v>
      </c>
      <c r="Y193" s="5" t="str">
        <f t="shared" si="7"/>
        <v>main-2|bonusA-3|||||||| x 20</v>
      </c>
    </row>
    <row r="194" spans="1:25">
      <c r="A194" s="115" t="s">
        <v>261</v>
      </c>
      <c r="B194" s="5">
        <v>191</v>
      </c>
      <c r="C194" s="5">
        <f t="shared" si="9"/>
        <v>35</v>
      </c>
      <c r="D194" s="12">
        <v>20</v>
      </c>
      <c r="E194" s="6" t="s">
        <v>211</v>
      </c>
      <c r="F194" s="5">
        <f>VLOOKUP(E194,'Win Methods'!$C$4:$F$4992,4,FALSE)</f>
        <v>1</v>
      </c>
      <c r="G194" s="110" t="s">
        <v>252</v>
      </c>
      <c r="H194" s="5">
        <f>VLOOKUP(G194,'Win Methods'!$C$4:$F$4992,4,FALSE)</f>
        <v>15</v>
      </c>
      <c r="I194" s="6"/>
      <c r="J194" s="5">
        <f>VLOOKUP(I194,'Win Methods'!$C$4:$F$4992,4,FALSE)</f>
        <v>0</v>
      </c>
      <c r="K194" s="6"/>
      <c r="L194" s="5">
        <f>VLOOKUP(K194,'Win Methods'!$C$4:$F$4992,4,FALSE)</f>
        <v>0</v>
      </c>
      <c r="M194" s="6"/>
      <c r="N194" s="5">
        <f>VLOOKUP(M194,'Win Methods'!$C$4:$F$4992,4,FALSE)</f>
        <v>0</v>
      </c>
      <c r="O194" s="6"/>
      <c r="P194" s="5">
        <f>VLOOKUP(O194,'Win Methods'!$C$4:$F$4992,4,FALSE)</f>
        <v>0</v>
      </c>
      <c r="Q194" s="6"/>
      <c r="R194" s="5">
        <f>VLOOKUP(Q194,'Win Methods'!$C$4:$F$4992,4,FALSE)</f>
        <v>0</v>
      </c>
      <c r="S194" s="6"/>
      <c r="T194" s="5">
        <f>VLOOKUP(S194,'Win Methods'!$C$4:$F$4992,4,FALSE)</f>
        <v>0</v>
      </c>
      <c r="U194" s="6"/>
      <c r="V194" s="5">
        <f>VLOOKUP(U194,'Win Methods'!$C$4:$F$4992,4,FALSE)</f>
        <v>0</v>
      </c>
      <c r="W194" s="6"/>
      <c r="X194" s="5">
        <f>VLOOKUP(W194,'Win Methods'!$C$4:$F$4992,4,FALSE)</f>
        <v>0</v>
      </c>
      <c r="Y194" s="5" t="str">
        <f t="shared" si="7"/>
        <v>main-3|bonusA-1|||||||| x 20</v>
      </c>
    </row>
    <row r="195" spans="1:25">
      <c r="A195" s="115" t="s">
        <v>262</v>
      </c>
      <c r="B195" s="5">
        <v>192</v>
      </c>
      <c r="C195" s="5">
        <f t="shared" si="9"/>
        <v>45</v>
      </c>
      <c r="D195" s="12">
        <v>20</v>
      </c>
      <c r="E195" s="6" t="s">
        <v>212</v>
      </c>
      <c r="F195" s="5">
        <f>VLOOKUP(E195,'Win Methods'!$C$4:$F$4992,4,FALSE)</f>
        <v>1.5</v>
      </c>
      <c r="G195" s="110" t="s">
        <v>252</v>
      </c>
      <c r="H195" s="5">
        <f>VLOOKUP(G195,'Win Methods'!$C$4:$F$4992,4,FALSE)</f>
        <v>15</v>
      </c>
      <c r="I195" s="6"/>
      <c r="J195" s="5">
        <f>VLOOKUP(I195,'Win Methods'!$C$4:$F$4992,4,FALSE)</f>
        <v>0</v>
      </c>
      <c r="K195" s="6"/>
      <c r="L195" s="5">
        <f>VLOOKUP(K195,'Win Methods'!$C$4:$F$4992,4,FALSE)</f>
        <v>0</v>
      </c>
      <c r="M195" s="6"/>
      <c r="N195" s="5">
        <f>VLOOKUP(M195,'Win Methods'!$C$4:$F$4992,4,FALSE)</f>
        <v>0</v>
      </c>
      <c r="O195" s="6"/>
      <c r="P195" s="5">
        <f>VLOOKUP(O195,'Win Methods'!$C$4:$F$4992,4,FALSE)</f>
        <v>0</v>
      </c>
      <c r="Q195" s="6"/>
      <c r="R195" s="5">
        <f>VLOOKUP(Q195,'Win Methods'!$C$4:$F$4992,4,FALSE)</f>
        <v>0</v>
      </c>
      <c r="S195" s="6"/>
      <c r="T195" s="5">
        <f>VLOOKUP(S195,'Win Methods'!$C$4:$F$4992,4,FALSE)</f>
        <v>0</v>
      </c>
      <c r="U195" s="6"/>
      <c r="V195" s="5">
        <f>VLOOKUP(U195,'Win Methods'!$C$4:$F$4992,4,FALSE)</f>
        <v>0</v>
      </c>
      <c r="W195" s="6"/>
      <c r="X195" s="5">
        <f>VLOOKUP(W195,'Win Methods'!$C$4:$F$4992,4,FALSE)</f>
        <v>0</v>
      </c>
      <c r="Y195" s="5" t="str">
        <f t="shared" ref="Y195:Y258" si="10">E195&amp;"|"&amp;G195&amp;"|"&amp;I195&amp;"|"&amp;K195&amp;"|"&amp;M195&amp;"|"&amp;O195&amp;"|"&amp;Q195&amp;"|"&amp;S195&amp;"|"&amp;U195&amp;"|"&amp;W195 &amp;" x "&amp;D195</f>
        <v>main-4|bonusA-1|||||||| x 20</v>
      </c>
    </row>
    <row r="196" spans="1:25">
      <c r="A196" s="115" t="s">
        <v>263</v>
      </c>
      <c r="B196" s="5">
        <v>193</v>
      </c>
      <c r="C196" s="5">
        <f t="shared" si="9"/>
        <v>65</v>
      </c>
      <c r="D196" s="12">
        <v>20</v>
      </c>
      <c r="E196" s="6" t="s">
        <v>213</v>
      </c>
      <c r="F196" s="5">
        <f>VLOOKUP(E196,'Win Methods'!$C$4:$F$4992,4,FALSE)</f>
        <v>2</v>
      </c>
      <c r="G196" s="110" t="s">
        <v>254</v>
      </c>
      <c r="H196" s="5">
        <f>VLOOKUP(G196,'Win Methods'!$C$4:$F$4992,4,FALSE)</f>
        <v>25</v>
      </c>
      <c r="I196" s="6"/>
      <c r="J196" s="5">
        <f>VLOOKUP(I196,'Win Methods'!$C$4:$F$4992,4,FALSE)</f>
        <v>0</v>
      </c>
      <c r="K196" s="6"/>
      <c r="L196" s="5">
        <f>VLOOKUP(K196,'Win Methods'!$C$4:$F$4992,4,FALSE)</f>
        <v>0</v>
      </c>
      <c r="M196" s="6"/>
      <c r="N196" s="5">
        <f>VLOOKUP(M196,'Win Methods'!$C$4:$F$4992,4,FALSE)</f>
        <v>0</v>
      </c>
      <c r="O196" s="6"/>
      <c r="P196" s="5">
        <f>VLOOKUP(O196,'Win Methods'!$C$4:$F$4992,4,FALSE)</f>
        <v>0</v>
      </c>
      <c r="Q196" s="6"/>
      <c r="R196" s="5">
        <f>VLOOKUP(Q196,'Win Methods'!$C$4:$F$4992,4,FALSE)</f>
        <v>0</v>
      </c>
      <c r="S196" s="6"/>
      <c r="T196" s="5">
        <f>VLOOKUP(S196,'Win Methods'!$C$4:$F$4992,4,FALSE)</f>
        <v>0</v>
      </c>
      <c r="U196" s="6"/>
      <c r="V196" s="5">
        <f>VLOOKUP(U196,'Win Methods'!$C$4:$F$4992,4,FALSE)</f>
        <v>0</v>
      </c>
      <c r="W196" s="6"/>
      <c r="X196" s="5">
        <f>VLOOKUP(W196,'Win Methods'!$C$4:$F$4992,4,FALSE)</f>
        <v>0</v>
      </c>
      <c r="Y196" s="5" t="str">
        <f t="shared" si="10"/>
        <v>main-5|bonusA-3|||||||| x 20</v>
      </c>
    </row>
    <row r="197" spans="1:25">
      <c r="B197" s="5">
        <v>194</v>
      </c>
      <c r="C197" s="5">
        <f t="shared" si="9"/>
        <v>30</v>
      </c>
      <c r="D197" s="12">
        <v>20</v>
      </c>
      <c r="E197" s="6" t="s">
        <v>218</v>
      </c>
      <c r="F197" s="5">
        <f>VLOOKUP(E197,'Win Methods'!$C$4:$F$4992,4,FALSE)</f>
        <v>1</v>
      </c>
      <c r="G197" s="110" t="s">
        <v>251</v>
      </c>
      <c r="H197" s="5">
        <f>VLOOKUP(G197,'Win Methods'!$C$4:$F$4992,4,FALSE)</f>
        <v>10</v>
      </c>
      <c r="I197" s="6"/>
      <c r="J197" s="5">
        <f>VLOOKUP(I197,'Win Methods'!$C$4:$F$4992,4,FALSE)</f>
        <v>0</v>
      </c>
      <c r="K197" s="6"/>
      <c r="L197" s="5">
        <f>VLOOKUP(K197,'Win Methods'!$C$4:$F$4992,4,FALSE)</f>
        <v>0</v>
      </c>
      <c r="M197" s="6"/>
      <c r="N197" s="5">
        <f>VLOOKUP(M197,'Win Methods'!$C$4:$F$4992,4,FALSE)</f>
        <v>0</v>
      </c>
      <c r="O197" s="6"/>
      <c r="P197" s="5">
        <f>VLOOKUP(O197,'Win Methods'!$C$4:$F$4992,4,FALSE)</f>
        <v>0</v>
      </c>
      <c r="Q197" s="6"/>
      <c r="R197" s="5">
        <f>VLOOKUP(Q197,'Win Methods'!$C$4:$F$4992,4,FALSE)</f>
        <v>0</v>
      </c>
      <c r="S197" s="6"/>
      <c r="T197" s="5">
        <f>VLOOKUP(S197,'Win Methods'!$C$4:$F$4992,4,FALSE)</f>
        <v>0</v>
      </c>
      <c r="U197" s="6"/>
      <c r="V197" s="5">
        <f>VLOOKUP(U197,'Win Methods'!$C$4:$F$4992,4,FALSE)</f>
        <v>0</v>
      </c>
      <c r="W197" s="6"/>
      <c r="X197" s="5">
        <f>VLOOKUP(W197,'Win Methods'!$C$4:$F$4992,4,FALSE)</f>
        <v>0</v>
      </c>
      <c r="Y197" s="5" t="str">
        <f t="shared" si="10"/>
        <v>main-10|bonusA-0|||||||| x 20</v>
      </c>
    </row>
    <row r="198" spans="1:25">
      <c r="B198" s="5">
        <v>195</v>
      </c>
      <c r="C198" s="5">
        <f t="shared" si="9"/>
        <v>60</v>
      </c>
      <c r="D198" s="12">
        <v>20</v>
      </c>
      <c r="E198" s="6" t="s">
        <v>219</v>
      </c>
      <c r="F198" s="5">
        <f>VLOOKUP(E198,'Win Methods'!$C$4:$F$4992,4,FALSE)</f>
        <v>1.5</v>
      </c>
      <c r="G198" s="110" t="s">
        <v>255</v>
      </c>
      <c r="H198" s="5">
        <f>VLOOKUP(G198,'Win Methods'!$C$4:$F$4992,4,FALSE)</f>
        <v>30</v>
      </c>
      <c r="I198" s="6"/>
      <c r="J198" s="5">
        <f>VLOOKUP(I198,'Win Methods'!$C$4:$F$4992,4,FALSE)</f>
        <v>0</v>
      </c>
      <c r="K198" s="6"/>
      <c r="L198" s="5">
        <f>VLOOKUP(K198,'Win Methods'!$C$4:$F$4992,4,FALSE)</f>
        <v>0</v>
      </c>
      <c r="M198" s="6"/>
      <c r="N198" s="5">
        <f>VLOOKUP(M198,'Win Methods'!$C$4:$F$4992,4,FALSE)</f>
        <v>0</v>
      </c>
      <c r="O198" s="6"/>
      <c r="P198" s="5">
        <f>VLOOKUP(O198,'Win Methods'!$C$4:$F$4992,4,FALSE)</f>
        <v>0</v>
      </c>
      <c r="Q198" s="6"/>
      <c r="R198" s="5">
        <f>VLOOKUP(Q198,'Win Methods'!$C$4:$F$4992,4,FALSE)</f>
        <v>0</v>
      </c>
      <c r="S198" s="6"/>
      <c r="T198" s="5">
        <f>VLOOKUP(S198,'Win Methods'!$C$4:$F$4992,4,FALSE)</f>
        <v>0</v>
      </c>
      <c r="U198" s="6"/>
      <c r="V198" s="5">
        <f>VLOOKUP(U198,'Win Methods'!$C$4:$F$4992,4,FALSE)</f>
        <v>0</v>
      </c>
      <c r="W198" s="6"/>
      <c r="X198" s="5">
        <f>VLOOKUP(W198,'Win Methods'!$C$4:$F$4992,4,FALSE)</f>
        <v>0</v>
      </c>
      <c r="Y198" s="5" t="str">
        <f t="shared" si="10"/>
        <v>main-11|bonusA-4|||||||| x 20</v>
      </c>
    </row>
    <row r="199" spans="1:25">
      <c r="B199" s="5">
        <v>196</v>
      </c>
      <c r="C199" s="5">
        <f t="shared" si="9"/>
        <v>55</v>
      </c>
      <c r="D199" s="12">
        <v>20</v>
      </c>
      <c r="E199" s="6" t="s">
        <v>220</v>
      </c>
      <c r="F199" s="5">
        <f>VLOOKUP(E199,'Win Methods'!$C$4:$F$4992,4,FALSE)</f>
        <v>2</v>
      </c>
      <c r="G199" s="110" t="s">
        <v>252</v>
      </c>
      <c r="H199" s="5">
        <f>VLOOKUP(G199,'Win Methods'!$C$4:$F$4992,4,FALSE)</f>
        <v>15</v>
      </c>
      <c r="I199" s="6"/>
      <c r="J199" s="5">
        <f>VLOOKUP(I199,'Win Methods'!$C$4:$F$4992,4,FALSE)</f>
        <v>0</v>
      </c>
      <c r="K199" s="6"/>
      <c r="L199" s="5">
        <f>VLOOKUP(K199,'Win Methods'!$C$4:$F$4992,4,FALSE)</f>
        <v>0</v>
      </c>
      <c r="M199" s="6"/>
      <c r="N199" s="5">
        <f>VLOOKUP(M199,'Win Methods'!$C$4:$F$4992,4,FALSE)</f>
        <v>0</v>
      </c>
      <c r="O199" s="6"/>
      <c r="P199" s="5">
        <f>VLOOKUP(O199,'Win Methods'!$C$4:$F$4992,4,FALSE)</f>
        <v>0</v>
      </c>
      <c r="Q199" s="6"/>
      <c r="R199" s="5">
        <f>VLOOKUP(Q199,'Win Methods'!$C$4:$F$4992,4,FALSE)</f>
        <v>0</v>
      </c>
      <c r="S199" s="6"/>
      <c r="T199" s="5">
        <f>VLOOKUP(S199,'Win Methods'!$C$4:$F$4992,4,FALSE)</f>
        <v>0</v>
      </c>
      <c r="U199" s="6"/>
      <c r="V199" s="5">
        <f>VLOOKUP(U199,'Win Methods'!$C$4:$F$4992,4,FALSE)</f>
        <v>0</v>
      </c>
      <c r="W199" s="6"/>
      <c r="X199" s="5">
        <f>VLOOKUP(W199,'Win Methods'!$C$4:$F$4992,4,FALSE)</f>
        <v>0</v>
      </c>
      <c r="Y199" s="5" t="str">
        <f t="shared" si="10"/>
        <v>main-12|bonusA-1|||||||| x 20</v>
      </c>
    </row>
    <row r="200" spans="1:25">
      <c r="B200" s="5">
        <v>197</v>
      </c>
      <c r="C200" s="5">
        <f t="shared" si="9"/>
        <v>125</v>
      </c>
      <c r="D200" s="12">
        <v>20</v>
      </c>
      <c r="E200" s="6" t="s">
        <v>221</v>
      </c>
      <c r="F200" s="5">
        <f>VLOOKUP(E200,'Win Methods'!$C$4:$F$4992,4,FALSE)</f>
        <v>5</v>
      </c>
      <c r="G200" s="110" t="s">
        <v>254</v>
      </c>
      <c r="H200" s="5">
        <f>VLOOKUP(G200,'Win Methods'!$C$4:$F$4992,4,FALSE)</f>
        <v>25</v>
      </c>
      <c r="I200" s="6"/>
      <c r="J200" s="5">
        <f>VLOOKUP(I200,'Win Methods'!$C$4:$F$4992,4,FALSE)</f>
        <v>0</v>
      </c>
      <c r="K200" s="6"/>
      <c r="L200" s="5">
        <f>VLOOKUP(K200,'Win Methods'!$C$4:$F$4992,4,FALSE)</f>
        <v>0</v>
      </c>
      <c r="M200" s="6"/>
      <c r="N200" s="5">
        <f>VLOOKUP(M200,'Win Methods'!$C$4:$F$4992,4,FALSE)</f>
        <v>0</v>
      </c>
      <c r="O200" s="6"/>
      <c r="P200" s="5">
        <f>VLOOKUP(O200,'Win Methods'!$C$4:$F$4992,4,FALSE)</f>
        <v>0</v>
      </c>
      <c r="Q200" s="6"/>
      <c r="R200" s="5">
        <f>VLOOKUP(Q200,'Win Methods'!$C$4:$F$4992,4,FALSE)</f>
        <v>0</v>
      </c>
      <c r="S200" s="6"/>
      <c r="T200" s="5">
        <f>VLOOKUP(S200,'Win Methods'!$C$4:$F$4992,4,FALSE)</f>
        <v>0</v>
      </c>
      <c r="U200" s="6"/>
      <c r="V200" s="5">
        <f>VLOOKUP(U200,'Win Methods'!$C$4:$F$4992,4,FALSE)</f>
        <v>0</v>
      </c>
      <c r="W200" s="6"/>
      <c r="X200" s="5">
        <f>VLOOKUP(W200,'Win Methods'!$C$4:$F$4992,4,FALSE)</f>
        <v>0</v>
      </c>
      <c r="Y200" s="5" t="str">
        <f t="shared" si="10"/>
        <v>main-13|bonusA-3|||||||| x 20</v>
      </c>
    </row>
    <row r="201" spans="1:25">
      <c r="B201" s="5">
        <v>198</v>
      </c>
      <c r="C201" s="5">
        <f t="shared" si="9"/>
        <v>40</v>
      </c>
      <c r="D201" s="12">
        <v>20</v>
      </c>
      <c r="E201" s="6" t="s">
        <v>228</v>
      </c>
      <c r="F201" s="5">
        <f>VLOOKUP(E201,'Win Methods'!$C$4:$F$4992,4,FALSE)</f>
        <v>1.5</v>
      </c>
      <c r="G201" s="110" t="s">
        <v>251</v>
      </c>
      <c r="H201" s="5">
        <f>VLOOKUP(G201,'Win Methods'!$C$4:$F$4992,4,FALSE)</f>
        <v>10</v>
      </c>
      <c r="I201" s="6"/>
      <c r="J201" s="5">
        <f>VLOOKUP(I201,'Win Methods'!$C$4:$F$4992,4,FALSE)</f>
        <v>0</v>
      </c>
      <c r="K201" s="6"/>
      <c r="L201" s="5">
        <f>VLOOKUP(K201,'Win Methods'!$C$4:$F$4992,4,FALSE)</f>
        <v>0</v>
      </c>
      <c r="M201" s="6"/>
      <c r="N201" s="5">
        <f>VLOOKUP(M201,'Win Methods'!$C$4:$F$4992,4,FALSE)</f>
        <v>0</v>
      </c>
      <c r="O201" s="6"/>
      <c r="P201" s="5">
        <f>VLOOKUP(O201,'Win Methods'!$C$4:$F$4992,4,FALSE)</f>
        <v>0</v>
      </c>
      <c r="Q201" s="6"/>
      <c r="R201" s="5">
        <f>VLOOKUP(Q201,'Win Methods'!$C$4:$F$4992,4,FALSE)</f>
        <v>0</v>
      </c>
      <c r="S201" s="6"/>
      <c r="T201" s="5">
        <f>VLOOKUP(S201,'Win Methods'!$C$4:$F$4992,4,FALSE)</f>
        <v>0</v>
      </c>
      <c r="U201" s="6"/>
      <c r="V201" s="5">
        <f>VLOOKUP(U201,'Win Methods'!$C$4:$F$4992,4,FALSE)</f>
        <v>0</v>
      </c>
      <c r="W201" s="6"/>
      <c r="X201" s="5">
        <f>VLOOKUP(W201,'Win Methods'!$C$4:$F$4992,4,FALSE)</f>
        <v>0</v>
      </c>
      <c r="Y201" s="5" t="str">
        <f t="shared" si="10"/>
        <v>main-20|bonusA-0|||||||| x 20</v>
      </c>
    </row>
    <row r="202" spans="1:25">
      <c r="B202" s="5">
        <v>199</v>
      </c>
      <c r="C202" s="5">
        <f t="shared" si="9"/>
        <v>70</v>
      </c>
      <c r="D202" s="12">
        <v>20</v>
      </c>
      <c r="E202" s="6" t="s">
        <v>229</v>
      </c>
      <c r="F202" s="5">
        <f>VLOOKUP(E202,'Win Methods'!$C$4:$F$4992,4,FALSE)</f>
        <v>2</v>
      </c>
      <c r="G202" s="110" t="s">
        <v>255</v>
      </c>
      <c r="H202" s="5">
        <f>VLOOKUP(G202,'Win Methods'!$C$4:$F$4992,4,FALSE)</f>
        <v>30</v>
      </c>
      <c r="I202" s="6"/>
      <c r="J202" s="5">
        <f>VLOOKUP(I202,'Win Methods'!$C$4:$F$4992,4,FALSE)</f>
        <v>0</v>
      </c>
      <c r="K202" s="6"/>
      <c r="L202" s="5">
        <f>VLOOKUP(K202,'Win Methods'!$C$4:$F$4992,4,FALSE)</f>
        <v>0</v>
      </c>
      <c r="M202" s="6"/>
      <c r="N202" s="5">
        <f>VLOOKUP(M202,'Win Methods'!$C$4:$F$4992,4,FALSE)</f>
        <v>0</v>
      </c>
      <c r="O202" s="6"/>
      <c r="P202" s="5">
        <f>VLOOKUP(O202,'Win Methods'!$C$4:$F$4992,4,FALSE)</f>
        <v>0</v>
      </c>
      <c r="Q202" s="6"/>
      <c r="R202" s="5">
        <f>VLOOKUP(Q202,'Win Methods'!$C$4:$F$4992,4,FALSE)</f>
        <v>0</v>
      </c>
      <c r="S202" s="6"/>
      <c r="T202" s="5">
        <f>VLOOKUP(S202,'Win Methods'!$C$4:$F$4992,4,FALSE)</f>
        <v>0</v>
      </c>
      <c r="U202" s="6"/>
      <c r="V202" s="5">
        <f>VLOOKUP(U202,'Win Methods'!$C$4:$F$4992,4,FALSE)</f>
        <v>0</v>
      </c>
      <c r="W202" s="6"/>
      <c r="X202" s="5">
        <f>VLOOKUP(W202,'Win Methods'!$C$4:$F$4992,4,FALSE)</f>
        <v>0</v>
      </c>
      <c r="Y202" s="5" t="str">
        <f t="shared" si="10"/>
        <v>main-21|bonusA-4|||||||| x 20</v>
      </c>
    </row>
    <row r="203" spans="1:25">
      <c r="B203" s="5">
        <v>200</v>
      </c>
      <c r="C203" s="5">
        <f t="shared" si="9"/>
        <v>60</v>
      </c>
      <c r="D203" s="12">
        <v>20</v>
      </c>
      <c r="E203" s="6" t="s">
        <v>238</v>
      </c>
      <c r="F203" s="5">
        <f>VLOOKUP(E203,'Win Methods'!$C$4:$F$4992,4,FALSE)</f>
        <v>2</v>
      </c>
      <c r="G203" s="110" t="s">
        <v>253</v>
      </c>
      <c r="H203" s="5">
        <f>VLOOKUP(G203,'Win Methods'!$C$4:$F$4992,4,FALSE)</f>
        <v>20</v>
      </c>
      <c r="I203" s="6"/>
      <c r="J203" s="5">
        <f>VLOOKUP(I203,'Win Methods'!$C$4:$F$4992,4,FALSE)</f>
        <v>0</v>
      </c>
      <c r="K203" s="6"/>
      <c r="L203" s="5">
        <f>VLOOKUP(K203,'Win Methods'!$C$4:$F$4992,4,FALSE)</f>
        <v>0</v>
      </c>
      <c r="M203" s="6"/>
      <c r="N203" s="5">
        <f>VLOOKUP(M203,'Win Methods'!$C$4:$F$4992,4,FALSE)</f>
        <v>0</v>
      </c>
      <c r="O203" s="6"/>
      <c r="P203" s="5">
        <f>VLOOKUP(O203,'Win Methods'!$C$4:$F$4992,4,FALSE)</f>
        <v>0</v>
      </c>
      <c r="Q203" s="6"/>
      <c r="R203" s="5">
        <f>VLOOKUP(Q203,'Win Methods'!$C$4:$F$4992,4,FALSE)</f>
        <v>0</v>
      </c>
      <c r="S203" s="6"/>
      <c r="T203" s="5">
        <f>VLOOKUP(S203,'Win Methods'!$C$4:$F$4992,4,FALSE)</f>
        <v>0</v>
      </c>
      <c r="U203" s="6"/>
      <c r="V203" s="5">
        <f>VLOOKUP(U203,'Win Methods'!$C$4:$F$4992,4,FALSE)</f>
        <v>0</v>
      </c>
      <c r="W203" s="6"/>
      <c r="X203" s="5">
        <f>VLOOKUP(W203,'Win Methods'!$C$4:$F$4992,4,FALSE)</f>
        <v>0</v>
      </c>
      <c r="Y203" s="5" t="str">
        <f t="shared" si="10"/>
        <v>main-30|bonusA-2|||||||| x 20</v>
      </c>
    </row>
    <row r="204" spans="1:25">
      <c r="B204" s="5">
        <v>201</v>
      </c>
      <c r="C204" s="5">
        <f t="shared" ref="C204:C213" si="11">(F204+H204) * D204+J204+L204+N204+P204+R204+T204+V204+X204</f>
        <v>19</v>
      </c>
      <c r="D204" s="12">
        <v>20</v>
      </c>
      <c r="E204" s="6" t="s">
        <v>208</v>
      </c>
      <c r="F204" s="5">
        <f>VLOOKUP(E204,'Win Methods'!$C$4:$F$4992,4,FALSE)</f>
        <v>0.1</v>
      </c>
      <c r="G204" s="6" t="s">
        <v>208</v>
      </c>
      <c r="H204" s="5">
        <f>VLOOKUP(G204,'Win Methods'!$C$4:$F$4992,4,FALSE)</f>
        <v>0.1</v>
      </c>
      <c r="I204" s="110" t="s">
        <v>252</v>
      </c>
      <c r="J204" s="5">
        <f>VLOOKUP(I204,'Win Methods'!$C$4:$F$4992,4,FALSE)</f>
        <v>15</v>
      </c>
      <c r="K204" s="6"/>
      <c r="L204" s="5">
        <f>VLOOKUP(K204,'Win Methods'!$C$4:$F$4992,4,FALSE)</f>
        <v>0</v>
      </c>
      <c r="M204" s="6"/>
      <c r="N204" s="5">
        <f>VLOOKUP(M204,'Win Methods'!$C$4:$F$4992,4,FALSE)</f>
        <v>0</v>
      </c>
      <c r="O204" s="6"/>
      <c r="P204" s="5">
        <f>VLOOKUP(O204,'Win Methods'!$C$4:$F$4992,4,FALSE)</f>
        <v>0</v>
      </c>
      <c r="Q204" s="6"/>
      <c r="R204" s="5">
        <f>VLOOKUP(Q204,'Win Methods'!$C$4:$F$4992,4,FALSE)</f>
        <v>0</v>
      </c>
      <c r="S204" s="6"/>
      <c r="T204" s="5">
        <f>VLOOKUP(S204,'Win Methods'!$C$4:$F$4992,4,FALSE)</f>
        <v>0</v>
      </c>
      <c r="U204" s="6"/>
      <c r="V204" s="5">
        <f>VLOOKUP(U204,'Win Methods'!$C$4:$F$4992,4,FALSE)</f>
        <v>0</v>
      </c>
      <c r="W204" s="6"/>
      <c r="X204" s="5">
        <f>VLOOKUP(W204,'Win Methods'!$C$4:$F$4992,4,FALSE)</f>
        <v>0</v>
      </c>
      <c r="Y204" s="5" t="str">
        <f t="shared" si="10"/>
        <v>main-0|main-0|bonusA-1||||||| x 20</v>
      </c>
    </row>
    <row r="205" spans="1:25">
      <c r="B205" s="5">
        <v>202</v>
      </c>
      <c r="C205" s="5">
        <f t="shared" si="11"/>
        <v>31</v>
      </c>
      <c r="D205" s="12">
        <v>20</v>
      </c>
      <c r="E205" s="6" t="s">
        <v>208</v>
      </c>
      <c r="F205" s="5">
        <f>VLOOKUP(E205,'Win Methods'!$C$4:$F$4992,4,FALSE)</f>
        <v>0.1</v>
      </c>
      <c r="G205" s="6" t="s">
        <v>209</v>
      </c>
      <c r="H205" s="5">
        <f>VLOOKUP(G205,'Win Methods'!$C$4:$F$4992,4,FALSE)</f>
        <v>0.2</v>
      </c>
      <c r="I205" s="110" t="s">
        <v>254</v>
      </c>
      <c r="J205" s="5">
        <f>VLOOKUP(I205,'Win Methods'!$C$4:$F$4992,4,FALSE)</f>
        <v>25</v>
      </c>
      <c r="K205" s="6"/>
      <c r="L205" s="5">
        <f>VLOOKUP(K205,'Win Methods'!$C$4:$F$4992,4,FALSE)</f>
        <v>0</v>
      </c>
      <c r="M205" s="6"/>
      <c r="N205" s="5">
        <f>VLOOKUP(M205,'Win Methods'!$C$4:$F$4992,4,FALSE)</f>
        <v>0</v>
      </c>
      <c r="O205" s="6"/>
      <c r="P205" s="5">
        <f>VLOOKUP(O205,'Win Methods'!$C$4:$F$4992,4,FALSE)</f>
        <v>0</v>
      </c>
      <c r="Q205" s="6"/>
      <c r="R205" s="5">
        <f>VLOOKUP(Q205,'Win Methods'!$C$4:$F$4992,4,FALSE)</f>
        <v>0</v>
      </c>
      <c r="S205" s="6"/>
      <c r="T205" s="5">
        <f>VLOOKUP(S205,'Win Methods'!$C$4:$F$4992,4,FALSE)</f>
        <v>0</v>
      </c>
      <c r="U205" s="6"/>
      <c r="V205" s="5">
        <f>VLOOKUP(U205,'Win Methods'!$C$4:$F$4992,4,FALSE)</f>
        <v>0</v>
      </c>
      <c r="W205" s="6"/>
      <c r="X205" s="5">
        <f>VLOOKUP(W205,'Win Methods'!$C$4:$F$4992,4,FALSE)</f>
        <v>0</v>
      </c>
      <c r="Y205" s="5" t="str">
        <f t="shared" si="10"/>
        <v>main-0|main-1|bonusA-3||||||| x 20</v>
      </c>
    </row>
    <row r="206" spans="1:25">
      <c r="B206" s="5">
        <v>203</v>
      </c>
      <c r="C206" s="5">
        <f t="shared" si="11"/>
        <v>18</v>
      </c>
      <c r="D206" s="12">
        <v>20</v>
      </c>
      <c r="E206" s="6" t="s">
        <v>209</v>
      </c>
      <c r="F206" s="5">
        <f>VLOOKUP(E206,'Win Methods'!$C$4:$F$4992,4,FALSE)</f>
        <v>0.2</v>
      </c>
      <c r="G206" s="6" t="s">
        <v>209</v>
      </c>
      <c r="H206" s="5">
        <f>VLOOKUP(G206,'Win Methods'!$C$4:$F$4992,4,FALSE)</f>
        <v>0.2</v>
      </c>
      <c r="I206" s="110" t="s">
        <v>251</v>
      </c>
      <c r="J206" s="5">
        <f>VLOOKUP(I206,'Win Methods'!$C$4:$F$4992,4,FALSE)</f>
        <v>10</v>
      </c>
      <c r="K206" s="6"/>
      <c r="L206" s="5">
        <f>VLOOKUP(K206,'Win Methods'!$C$4:$F$4992,4,FALSE)</f>
        <v>0</v>
      </c>
      <c r="M206" s="6"/>
      <c r="N206" s="5">
        <f>VLOOKUP(M206,'Win Methods'!$C$4:$F$4992,4,FALSE)</f>
        <v>0</v>
      </c>
      <c r="O206" s="6"/>
      <c r="P206" s="5">
        <f>VLOOKUP(O206,'Win Methods'!$C$4:$F$4992,4,FALSE)</f>
        <v>0</v>
      </c>
      <c r="Q206" s="6"/>
      <c r="R206" s="5">
        <f>VLOOKUP(Q206,'Win Methods'!$C$4:$F$4992,4,FALSE)</f>
        <v>0</v>
      </c>
      <c r="S206" s="6"/>
      <c r="T206" s="5">
        <f>VLOOKUP(S206,'Win Methods'!$C$4:$F$4992,4,FALSE)</f>
        <v>0</v>
      </c>
      <c r="U206" s="6"/>
      <c r="V206" s="5">
        <f>VLOOKUP(U206,'Win Methods'!$C$4:$F$4992,4,FALSE)</f>
        <v>0</v>
      </c>
      <c r="W206" s="6"/>
      <c r="X206" s="5">
        <f>VLOOKUP(W206,'Win Methods'!$C$4:$F$4992,4,FALSE)</f>
        <v>0</v>
      </c>
      <c r="Y206" s="5" t="str">
        <f t="shared" si="10"/>
        <v>main-1|main-1|bonusA-0||||||| x 20</v>
      </c>
    </row>
    <row r="207" spans="1:25">
      <c r="B207" s="5">
        <v>204</v>
      </c>
      <c r="C207" s="5">
        <f t="shared" si="11"/>
        <v>42</v>
      </c>
      <c r="D207" s="12">
        <v>20</v>
      </c>
      <c r="E207" s="6" t="s">
        <v>208</v>
      </c>
      <c r="F207" s="5">
        <f>VLOOKUP(E207,'Win Methods'!$C$4:$F$4992,4,FALSE)</f>
        <v>0.1</v>
      </c>
      <c r="G207" s="6" t="s">
        <v>210</v>
      </c>
      <c r="H207" s="5">
        <f>VLOOKUP(G207,'Win Methods'!$C$4:$F$4992,4,FALSE)</f>
        <v>0.5</v>
      </c>
      <c r="I207" s="110" t="s">
        <v>255</v>
      </c>
      <c r="J207" s="5">
        <f>VLOOKUP(I207,'Win Methods'!$C$4:$F$4992,4,FALSE)</f>
        <v>30</v>
      </c>
      <c r="K207" s="6"/>
      <c r="L207" s="5">
        <f>VLOOKUP(K207,'Win Methods'!$C$4:$F$4992,4,FALSE)</f>
        <v>0</v>
      </c>
      <c r="M207" s="6"/>
      <c r="N207" s="5">
        <f>VLOOKUP(M207,'Win Methods'!$C$4:$F$4992,4,FALSE)</f>
        <v>0</v>
      </c>
      <c r="O207" s="6"/>
      <c r="P207" s="5">
        <f>VLOOKUP(O207,'Win Methods'!$C$4:$F$4992,4,FALSE)</f>
        <v>0</v>
      </c>
      <c r="Q207" s="6"/>
      <c r="R207" s="5">
        <f>VLOOKUP(Q207,'Win Methods'!$C$4:$F$4992,4,FALSE)</f>
        <v>0</v>
      </c>
      <c r="S207" s="6"/>
      <c r="T207" s="5">
        <f>VLOOKUP(S207,'Win Methods'!$C$4:$F$4992,4,FALSE)</f>
        <v>0</v>
      </c>
      <c r="U207" s="6"/>
      <c r="V207" s="5">
        <f>VLOOKUP(U207,'Win Methods'!$C$4:$F$4992,4,FALSE)</f>
        <v>0</v>
      </c>
      <c r="W207" s="6"/>
      <c r="X207" s="5">
        <f>VLOOKUP(W207,'Win Methods'!$C$4:$F$4992,4,FALSE)</f>
        <v>0</v>
      </c>
      <c r="Y207" s="5" t="str">
        <f t="shared" si="10"/>
        <v>main-0|main-2|bonusA-4||||||| x 20</v>
      </c>
    </row>
    <row r="208" spans="1:25">
      <c r="B208" s="5">
        <v>205</v>
      </c>
      <c r="C208" s="5">
        <f t="shared" si="11"/>
        <v>37</v>
      </c>
      <c r="D208" s="12">
        <v>20</v>
      </c>
      <c r="E208" s="6" t="s">
        <v>208</v>
      </c>
      <c r="F208" s="5">
        <f>VLOOKUP(E208,'Win Methods'!$C$4:$F$4992,4,FALSE)</f>
        <v>0.1</v>
      </c>
      <c r="G208" s="6" t="s">
        <v>211</v>
      </c>
      <c r="H208" s="5">
        <f>VLOOKUP(G208,'Win Methods'!$C$4:$F$4992,4,FALSE)</f>
        <v>1</v>
      </c>
      <c r="I208" s="110" t="s">
        <v>252</v>
      </c>
      <c r="J208" s="5">
        <f>VLOOKUP(I208,'Win Methods'!$C$4:$F$4992,4,FALSE)</f>
        <v>15</v>
      </c>
      <c r="K208" s="6"/>
      <c r="L208" s="5">
        <f>VLOOKUP(K208,'Win Methods'!$C$4:$F$4992,4,FALSE)</f>
        <v>0</v>
      </c>
      <c r="M208" s="6"/>
      <c r="N208" s="5">
        <f>VLOOKUP(M208,'Win Methods'!$C$4:$F$4992,4,FALSE)</f>
        <v>0</v>
      </c>
      <c r="O208" s="6"/>
      <c r="P208" s="5">
        <f>VLOOKUP(O208,'Win Methods'!$C$4:$F$4992,4,FALSE)</f>
        <v>0</v>
      </c>
      <c r="Q208" s="6"/>
      <c r="R208" s="5">
        <f>VLOOKUP(Q208,'Win Methods'!$C$4:$F$4992,4,FALSE)</f>
        <v>0</v>
      </c>
      <c r="S208" s="6"/>
      <c r="T208" s="5">
        <f>VLOOKUP(S208,'Win Methods'!$C$4:$F$4992,4,FALSE)</f>
        <v>0</v>
      </c>
      <c r="U208" s="6"/>
      <c r="V208" s="5">
        <f>VLOOKUP(U208,'Win Methods'!$C$4:$F$4992,4,FALSE)</f>
        <v>0</v>
      </c>
      <c r="W208" s="6"/>
      <c r="X208" s="5">
        <f>VLOOKUP(W208,'Win Methods'!$C$4:$F$4992,4,FALSE)</f>
        <v>0</v>
      </c>
      <c r="Y208" s="5" t="str">
        <f t="shared" si="10"/>
        <v>main-0|main-3|bonusA-1||||||| x 20</v>
      </c>
    </row>
    <row r="209" spans="2:25">
      <c r="B209" s="5">
        <v>206</v>
      </c>
      <c r="C209" s="5">
        <f t="shared" si="11"/>
        <v>57</v>
      </c>
      <c r="D209" s="12">
        <v>20</v>
      </c>
      <c r="E209" s="6" t="s">
        <v>208</v>
      </c>
      <c r="F209" s="5">
        <f>VLOOKUP(E209,'Win Methods'!$C$4:$F$4992,4,FALSE)</f>
        <v>0.1</v>
      </c>
      <c r="G209" s="6" t="s">
        <v>212</v>
      </c>
      <c r="H209" s="5">
        <f>VLOOKUP(G209,'Win Methods'!$C$4:$F$4992,4,FALSE)</f>
        <v>1.5</v>
      </c>
      <c r="I209" s="110" t="s">
        <v>254</v>
      </c>
      <c r="J209" s="5">
        <f>VLOOKUP(I209,'Win Methods'!$C$4:$F$4992,4,FALSE)</f>
        <v>25</v>
      </c>
      <c r="K209" s="6"/>
      <c r="L209" s="5">
        <f>VLOOKUP(K209,'Win Methods'!$C$4:$F$4992,4,FALSE)</f>
        <v>0</v>
      </c>
      <c r="M209" s="6"/>
      <c r="N209" s="5">
        <f>VLOOKUP(M209,'Win Methods'!$C$4:$F$4992,4,FALSE)</f>
        <v>0</v>
      </c>
      <c r="O209" s="6"/>
      <c r="P209" s="5">
        <f>VLOOKUP(O209,'Win Methods'!$C$4:$F$4992,4,FALSE)</f>
        <v>0</v>
      </c>
      <c r="Q209" s="6"/>
      <c r="R209" s="5">
        <f>VLOOKUP(Q209,'Win Methods'!$C$4:$F$4992,4,FALSE)</f>
        <v>0</v>
      </c>
      <c r="S209" s="6"/>
      <c r="T209" s="5">
        <f>VLOOKUP(S209,'Win Methods'!$C$4:$F$4992,4,FALSE)</f>
        <v>0</v>
      </c>
      <c r="U209" s="6"/>
      <c r="V209" s="5">
        <f>VLOOKUP(U209,'Win Methods'!$C$4:$F$4992,4,FALSE)</f>
        <v>0</v>
      </c>
      <c r="W209" s="6"/>
      <c r="X209" s="5">
        <f>VLOOKUP(W209,'Win Methods'!$C$4:$F$4992,4,FALSE)</f>
        <v>0</v>
      </c>
      <c r="Y209" s="5" t="str">
        <f t="shared" si="10"/>
        <v>main-0|main-4|bonusA-3||||||| x 20</v>
      </c>
    </row>
    <row r="210" spans="2:25">
      <c r="B210" s="5">
        <v>207</v>
      </c>
      <c r="C210" s="5">
        <f t="shared" si="11"/>
        <v>50</v>
      </c>
      <c r="D210" s="12">
        <v>20</v>
      </c>
      <c r="E210" s="6" t="s">
        <v>210</v>
      </c>
      <c r="F210" s="5">
        <f>VLOOKUP(E210,'Win Methods'!$C$4:$F$4992,4,FALSE)</f>
        <v>0.5</v>
      </c>
      <c r="G210" s="6" t="s">
        <v>228</v>
      </c>
      <c r="H210" s="5">
        <f>VLOOKUP(G210,'Win Methods'!$C$4:$F$4992,4,FALSE)</f>
        <v>1.5</v>
      </c>
      <c r="I210" s="110" t="s">
        <v>251</v>
      </c>
      <c r="J210" s="5">
        <f>VLOOKUP(I210,'Win Methods'!$C$4:$F$4992,4,FALSE)</f>
        <v>10</v>
      </c>
      <c r="K210" s="6"/>
      <c r="L210" s="5">
        <f>VLOOKUP(K210,'Win Methods'!$C$4:$F$4992,4,FALSE)</f>
        <v>0</v>
      </c>
      <c r="M210" s="6"/>
      <c r="N210" s="5">
        <f>VLOOKUP(M210,'Win Methods'!$C$4:$F$4992,4,FALSE)</f>
        <v>0</v>
      </c>
      <c r="O210" s="6"/>
      <c r="P210" s="5">
        <f>VLOOKUP(O210,'Win Methods'!$C$4:$F$4992,4,FALSE)</f>
        <v>0</v>
      </c>
      <c r="Q210" s="6"/>
      <c r="R210" s="5">
        <f>VLOOKUP(Q210,'Win Methods'!$C$4:$F$4992,4,FALSE)</f>
        <v>0</v>
      </c>
      <c r="S210" s="6"/>
      <c r="T210" s="5">
        <f>VLOOKUP(S210,'Win Methods'!$C$4:$F$4992,4,FALSE)</f>
        <v>0</v>
      </c>
      <c r="U210" s="6"/>
      <c r="V210" s="5">
        <f>VLOOKUP(U210,'Win Methods'!$C$4:$F$4992,4,FALSE)</f>
        <v>0</v>
      </c>
      <c r="W210" s="6"/>
      <c r="X210" s="5">
        <f>VLOOKUP(W210,'Win Methods'!$C$4:$F$4992,4,FALSE)</f>
        <v>0</v>
      </c>
      <c r="Y210" s="5" t="str">
        <f t="shared" si="10"/>
        <v>main-2|main-20|bonusA-0||||||| x 20</v>
      </c>
    </row>
    <row r="211" spans="2:25">
      <c r="B211" s="5">
        <v>208</v>
      </c>
      <c r="C211" s="5">
        <f t="shared" si="11"/>
        <v>90</v>
      </c>
      <c r="D211" s="12">
        <v>20</v>
      </c>
      <c r="E211" s="6" t="s">
        <v>212</v>
      </c>
      <c r="F211" s="5">
        <f>VLOOKUP(E211,'Win Methods'!$C$4:$F$4992,4,FALSE)</f>
        <v>1.5</v>
      </c>
      <c r="G211" s="6" t="s">
        <v>212</v>
      </c>
      <c r="H211" s="5">
        <f>VLOOKUP(G211,'Win Methods'!$C$4:$F$4992,4,FALSE)</f>
        <v>1.5</v>
      </c>
      <c r="I211" s="110" t="s">
        <v>255</v>
      </c>
      <c r="J211" s="5">
        <f>VLOOKUP(I211,'Win Methods'!$C$4:$F$4992,4,FALSE)</f>
        <v>30</v>
      </c>
      <c r="K211" s="6"/>
      <c r="L211" s="5">
        <f>VLOOKUP(K211,'Win Methods'!$C$4:$F$4992,4,FALSE)</f>
        <v>0</v>
      </c>
      <c r="M211" s="6"/>
      <c r="N211" s="5">
        <f>VLOOKUP(M211,'Win Methods'!$C$4:$F$4992,4,FALSE)</f>
        <v>0</v>
      </c>
      <c r="O211" s="6"/>
      <c r="P211" s="5">
        <f>VLOOKUP(O211,'Win Methods'!$C$4:$F$4992,4,FALSE)</f>
        <v>0</v>
      </c>
      <c r="Q211" s="6"/>
      <c r="R211" s="5">
        <f>VLOOKUP(Q211,'Win Methods'!$C$4:$F$4992,4,FALSE)</f>
        <v>0</v>
      </c>
      <c r="S211" s="6"/>
      <c r="T211" s="5">
        <f>VLOOKUP(S211,'Win Methods'!$C$4:$F$4992,4,FALSE)</f>
        <v>0</v>
      </c>
      <c r="U211" s="6"/>
      <c r="V211" s="5">
        <f>VLOOKUP(U211,'Win Methods'!$C$4:$F$4992,4,FALSE)</f>
        <v>0</v>
      </c>
      <c r="W211" s="6"/>
      <c r="X211" s="5">
        <f>VLOOKUP(W211,'Win Methods'!$C$4:$F$4992,4,FALSE)</f>
        <v>0</v>
      </c>
      <c r="Y211" s="5" t="str">
        <f t="shared" si="10"/>
        <v>main-4|main-4|bonusA-4||||||| x 20</v>
      </c>
    </row>
    <row r="212" spans="2:25">
      <c r="B212" s="5">
        <v>209</v>
      </c>
      <c r="C212" s="5">
        <f t="shared" si="11"/>
        <v>80</v>
      </c>
      <c r="D212" s="12">
        <v>20</v>
      </c>
      <c r="E212" s="6" t="s">
        <v>212</v>
      </c>
      <c r="F212" s="5">
        <f>VLOOKUP(E212,'Win Methods'!$C$4:$F$4992,4,FALSE)</f>
        <v>1.5</v>
      </c>
      <c r="G212" s="6" t="s">
        <v>219</v>
      </c>
      <c r="H212" s="5">
        <f>VLOOKUP(G212,'Win Methods'!$C$4:$F$4992,4,FALSE)</f>
        <v>1.5</v>
      </c>
      <c r="I212" s="110" t="s">
        <v>253</v>
      </c>
      <c r="J212" s="5">
        <f>VLOOKUP(I212,'Win Methods'!$C$4:$F$4992,4,FALSE)</f>
        <v>20</v>
      </c>
      <c r="K212" s="6"/>
      <c r="L212" s="5">
        <f>VLOOKUP(K212,'Win Methods'!$C$4:$F$4992,4,FALSE)</f>
        <v>0</v>
      </c>
      <c r="M212" s="6"/>
      <c r="N212" s="5">
        <f>VLOOKUP(M212,'Win Methods'!$C$4:$F$4992,4,FALSE)</f>
        <v>0</v>
      </c>
      <c r="O212" s="6"/>
      <c r="P212" s="5">
        <f>VLOOKUP(O212,'Win Methods'!$C$4:$F$4992,4,FALSE)</f>
        <v>0</v>
      </c>
      <c r="Q212" s="6"/>
      <c r="R212" s="5">
        <f>VLOOKUP(Q212,'Win Methods'!$C$4:$F$4992,4,FALSE)</f>
        <v>0</v>
      </c>
      <c r="S212" s="6"/>
      <c r="T212" s="5">
        <f>VLOOKUP(S212,'Win Methods'!$C$4:$F$4992,4,FALSE)</f>
        <v>0</v>
      </c>
      <c r="U212" s="6"/>
      <c r="V212" s="5">
        <f>VLOOKUP(U212,'Win Methods'!$C$4:$F$4992,4,FALSE)</f>
        <v>0</v>
      </c>
      <c r="W212" s="6"/>
      <c r="X212" s="5">
        <f>VLOOKUP(W212,'Win Methods'!$C$4:$F$4992,4,FALSE)</f>
        <v>0</v>
      </c>
      <c r="Y212" s="5" t="str">
        <f t="shared" si="10"/>
        <v>main-4|main-11|bonusA-2||||||| x 20</v>
      </c>
    </row>
    <row r="213" spans="2:25">
      <c r="B213" s="5">
        <v>210</v>
      </c>
      <c r="C213" s="5">
        <f t="shared" si="11"/>
        <v>85</v>
      </c>
      <c r="D213" s="12">
        <v>20</v>
      </c>
      <c r="E213" s="6" t="s">
        <v>218</v>
      </c>
      <c r="F213" s="5">
        <f>VLOOKUP(E213,'Win Methods'!$C$4:$F$4992,4,FALSE)</f>
        <v>1</v>
      </c>
      <c r="G213" s="6" t="s">
        <v>238</v>
      </c>
      <c r="H213" s="5">
        <f>VLOOKUP(G213,'Win Methods'!$C$4:$F$4992,4,FALSE)</f>
        <v>2</v>
      </c>
      <c r="I213" s="110" t="s">
        <v>254</v>
      </c>
      <c r="J213" s="5">
        <f>VLOOKUP(I213,'Win Methods'!$C$4:$F$4992,4,FALSE)</f>
        <v>25</v>
      </c>
      <c r="K213" s="6"/>
      <c r="L213" s="5">
        <f>VLOOKUP(K213,'Win Methods'!$C$4:$F$4992,4,FALSE)</f>
        <v>0</v>
      </c>
      <c r="M213" s="6"/>
      <c r="N213" s="5">
        <f>VLOOKUP(M213,'Win Methods'!$C$4:$F$4992,4,FALSE)</f>
        <v>0</v>
      </c>
      <c r="O213" s="6"/>
      <c r="P213" s="5">
        <f>VLOOKUP(O213,'Win Methods'!$C$4:$F$4992,4,FALSE)</f>
        <v>0</v>
      </c>
      <c r="Q213" s="6"/>
      <c r="R213" s="5">
        <f>VLOOKUP(Q213,'Win Methods'!$C$4:$F$4992,4,FALSE)</f>
        <v>0</v>
      </c>
      <c r="S213" s="6"/>
      <c r="T213" s="5">
        <f>VLOOKUP(S213,'Win Methods'!$C$4:$F$4992,4,FALSE)</f>
        <v>0</v>
      </c>
      <c r="U213" s="6"/>
      <c r="V213" s="5">
        <f>VLOOKUP(U213,'Win Methods'!$C$4:$F$4992,4,FALSE)</f>
        <v>0</v>
      </c>
      <c r="W213" s="6"/>
      <c r="X213" s="5">
        <f>VLOOKUP(W213,'Win Methods'!$C$4:$F$4992,4,FALSE)</f>
        <v>0</v>
      </c>
      <c r="Y213" s="5" t="str">
        <f t="shared" si="10"/>
        <v>main-10|main-30|bonusA-3||||||| x 20</v>
      </c>
    </row>
    <row r="214" spans="2:25">
      <c r="B214" s="5">
        <v>211</v>
      </c>
      <c r="C214" s="5">
        <f>(F214+H214+J214)*D214 +L214+N214+P214+R214+T214+V214+X214</f>
        <v>39</v>
      </c>
      <c r="D214" s="12">
        <v>20</v>
      </c>
      <c r="E214" s="6" t="s">
        <v>208</v>
      </c>
      <c r="F214" s="5">
        <f>VLOOKUP(E214,'Win Methods'!$C$4:$F$4992,4,FALSE)</f>
        <v>0.1</v>
      </c>
      <c r="G214" s="6" t="s">
        <v>208</v>
      </c>
      <c r="H214" s="5">
        <f>VLOOKUP(G214,'Win Methods'!$C$4:$F$4992,4,FALSE)</f>
        <v>0.1</v>
      </c>
      <c r="I214" s="6" t="s">
        <v>210</v>
      </c>
      <c r="J214" s="5">
        <f>VLOOKUP(I214,'Win Methods'!$C$4:$F$4992,4,FALSE)</f>
        <v>0.5</v>
      </c>
      <c r="K214" s="110" t="s">
        <v>254</v>
      </c>
      <c r="L214" s="5">
        <f>VLOOKUP(K214,'Win Methods'!$C$4:$F$4992,4,FALSE)</f>
        <v>25</v>
      </c>
      <c r="M214" s="6"/>
      <c r="N214" s="5">
        <f>VLOOKUP(M214,'Win Methods'!$C$4:$F$4992,4,FALSE)</f>
        <v>0</v>
      </c>
      <c r="O214" s="6"/>
      <c r="P214" s="5">
        <f>VLOOKUP(O214,'Win Methods'!$C$4:$F$4992,4,FALSE)</f>
        <v>0</v>
      </c>
      <c r="Q214" s="6"/>
      <c r="R214" s="5">
        <f>VLOOKUP(Q214,'Win Methods'!$C$4:$F$4992,4,FALSE)</f>
        <v>0</v>
      </c>
      <c r="S214" s="6"/>
      <c r="T214" s="5">
        <f>VLOOKUP(S214,'Win Methods'!$C$4:$F$4992,4,FALSE)</f>
        <v>0</v>
      </c>
      <c r="U214" s="6"/>
      <c r="V214" s="5">
        <f>VLOOKUP(U214,'Win Methods'!$C$4:$F$4992,4,FALSE)</f>
        <v>0</v>
      </c>
      <c r="W214" s="6"/>
      <c r="X214" s="5">
        <f>VLOOKUP(W214,'Win Methods'!$C$4:$F$4992,4,FALSE)</f>
        <v>0</v>
      </c>
      <c r="Y214" s="5" t="str">
        <f t="shared" si="10"/>
        <v>main-0|main-0|main-2|bonusA-3|||||| x 20</v>
      </c>
    </row>
    <row r="215" spans="2:25">
      <c r="B215" s="5">
        <v>212</v>
      </c>
      <c r="C215" s="5">
        <f>(F215+H215+J215)*D215 +L215+N215+P215+R215+T215+V215+X215</f>
        <v>28</v>
      </c>
      <c r="D215" s="12">
        <v>20</v>
      </c>
      <c r="E215" s="6" t="s">
        <v>209</v>
      </c>
      <c r="F215" s="5">
        <f>VLOOKUP(E215,'Win Methods'!$C$4:$F$4992,4,FALSE)</f>
        <v>0.2</v>
      </c>
      <c r="G215" s="6" t="s">
        <v>209</v>
      </c>
      <c r="H215" s="5">
        <f>VLOOKUP(G215,'Win Methods'!$C$4:$F$4992,4,FALSE)</f>
        <v>0.2</v>
      </c>
      <c r="I215" s="6" t="s">
        <v>210</v>
      </c>
      <c r="J215" s="5">
        <f>VLOOKUP(I215,'Win Methods'!$C$4:$F$4992,4,FALSE)</f>
        <v>0.5</v>
      </c>
      <c r="K215" s="110" t="s">
        <v>251</v>
      </c>
      <c r="L215" s="5">
        <f>VLOOKUP(K215,'Win Methods'!$C$4:$F$4992,4,FALSE)</f>
        <v>10</v>
      </c>
      <c r="M215" s="6"/>
      <c r="N215" s="5">
        <f>VLOOKUP(M215,'Win Methods'!$C$4:$F$4992,4,FALSE)</f>
        <v>0</v>
      </c>
      <c r="O215" s="6"/>
      <c r="P215" s="5">
        <f>VLOOKUP(O215,'Win Methods'!$C$4:$F$4992,4,FALSE)</f>
        <v>0</v>
      </c>
      <c r="Q215" s="6"/>
      <c r="R215" s="5">
        <f>VLOOKUP(Q215,'Win Methods'!$C$4:$F$4992,4,FALSE)</f>
        <v>0</v>
      </c>
      <c r="S215" s="6"/>
      <c r="T215" s="5">
        <f>VLOOKUP(S215,'Win Methods'!$C$4:$F$4992,4,FALSE)</f>
        <v>0</v>
      </c>
      <c r="U215" s="6"/>
      <c r="V215" s="5">
        <f>VLOOKUP(U215,'Win Methods'!$C$4:$F$4992,4,FALSE)</f>
        <v>0</v>
      </c>
      <c r="W215" s="6"/>
      <c r="X215" s="5">
        <f>VLOOKUP(W215,'Win Methods'!$C$4:$F$4992,4,FALSE)</f>
        <v>0</v>
      </c>
      <c r="Y215" s="5" t="str">
        <f t="shared" si="10"/>
        <v>main-1|main-1|main-2|bonusA-0|||||| x 20</v>
      </c>
    </row>
    <row r="216" spans="2:25">
      <c r="B216" s="5">
        <v>213</v>
      </c>
      <c r="C216" s="5">
        <f>(F216+H216+J216)*D216 +L216+N216+P216+R216+T216+V216+X216</f>
        <v>80</v>
      </c>
      <c r="D216" s="12">
        <v>20</v>
      </c>
      <c r="E216" s="6" t="s">
        <v>210</v>
      </c>
      <c r="F216" s="5">
        <f>VLOOKUP(E216,'Win Methods'!$C$4:$F$4992,4,FALSE)</f>
        <v>0.5</v>
      </c>
      <c r="G216" s="6" t="s">
        <v>211</v>
      </c>
      <c r="H216" s="5">
        <f>VLOOKUP(G216,'Win Methods'!$C$4:$F$4992,4,FALSE)</f>
        <v>1</v>
      </c>
      <c r="I216" s="6" t="s">
        <v>218</v>
      </c>
      <c r="J216" s="5">
        <f>VLOOKUP(I216,'Win Methods'!$C$4:$F$4992,4,FALSE)</f>
        <v>1</v>
      </c>
      <c r="K216" s="110" t="s">
        <v>255</v>
      </c>
      <c r="L216" s="5">
        <f>VLOOKUP(K216,'Win Methods'!$C$4:$F$4992,4,FALSE)</f>
        <v>30</v>
      </c>
      <c r="M216" s="6"/>
      <c r="N216" s="5">
        <f>VLOOKUP(M216,'Win Methods'!$C$4:$F$4992,4,FALSE)</f>
        <v>0</v>
      </c>
      <c r="O216" s="6"/>
      <c r="P216" s="5">
        <f>VLOOKUP(O216,'Win Methods'!$C$4:$F$4992,4,FALSE)</f>
        <v>0</v>
      </c>
      <c r="Q216" s="6"/>
      <c r="R216" s="5">
        <f>VLOOKUP(Q216,'Win Methods'!$C$4:$F$4992,4,FALSE)</f>
        <v>0</v>
      </c>
      <c r="S216" s="6"/>
      <c r="T216" s="5">
        <f>VLOOKUP(S216,'Win Methods'!$C$4:$F$4992,4,FALSE)</f>
        <v>0</v>
      </c>
      <c r="U216" s="6"/>
      <c r="V216" s="5">
        <f>VLOOKUP(U216,'Win Methods'!$C$4:$F$4992,4,FALSE)</f>
        <v>0</v>
      </c>
      <c r="W216" s="6"/>
      <c r="X216" s="5">
        <f>VLOOKUP(W216,'Win Methods'!$C$4:$F$4992,4,FALSE)</f>
        <v>0</v>
      </c>
      <c r="Y216" s="5" t="str">
        <f t="shared" si="10"/>
        <v>main-2|main-3|main-10|bonusA-4|||||| x 20</v>
      </c>
    </row>
    <row r="217" spans="2:25">
      <c r="B217" s="5">
        <v>214</v>
      </c>
      <c r="C217" s="5">
        <f>(F217+H217+J217)*D217 +L217+N217+P217+R217+T217+V217+X217</f>
        <v>64</v>
      </c>
      <c r="D217" s="12">
        <v>20</v>
      </c>
      <c r="E217" s="6" t="s">
        <v>208</v>
      </c>
      <c r="F217" s="5">
        <f>VLOOKUP(E217,'Win Methods'!$C$4:$F$4992,4,FALSE)</f>
        <v>0.1</v>
      </c>
      <c r="G217" s="6" t="s">
        <v>208</v>
      </c>
      <c r="H217" s="5">
        <f>VLOOKUP(G217,'Win Methods'!$C$4:$F$4992,4,FALSE)</f>
        <v>0.1</v>
      </c>
      <c r="I217" s="6" t="s">
        <v>220</v>
      </c>
      <c r="J217" s="5">
        <f>VLOOKUP(I217,'Win Methods'!$C$4:$F$4992,4,FALSE)</f>
        <v>2</v>
      </c>
      <c r="K217" s="110" t="s">
        <v>253</v>
      </c>
      <c r="L217" s="5">
        <f>VLOOKUP(K217,'Win Methods'!$C$4:$F$4992,4,FALSE)</f>
        <v>20</v>
      </c>
      <c r="M217" s="6"/>
      <c r="N217" s="5">
        <f>VLOOKUP(M217,'Win Methods'!$C$4:$F$4992,4,FALSE)</f>
        <v>0</v>
      </c>
      <c r="O217" s="6"/>
      <c r="P217" s="5">
        <f>VLOOKUP(O217,'Win Methods'!$C$4:$F$4992,4,FALSE)</f>
        <v>0</v>
      </c>
      <c r="Q217" s="6"/>
      <c r="R217" s="5">
        <f>VLOOKUP(Q217,'Win Methods'!$C$4:$F$4992,4,FALSE)</f>
        <v>0</v>
      </c>
      <c r="S217" s="6"/>
      <c r="T217" s="5">
        <f>VLOOKUP(S217,'Win Methods'!$C$4:$F$4992,4,FALSE)</f>
        <v>0</v>
      </c>
      <c r="U217" s="6"/>
      <c r="V217" s="5">
        <f>VLOOKUP(U217,'Win Methods'!$C$4:$F$4992,4,FALSE)</f>
        <v>0</v>
      </c>
      <c r="W217" s="6"/>
      <c r="X217" s="5">
        <f>VLOOKUP(W217,'Win Methods'!$C$4:$F$4992,4,FALSE)</f>
        <v>0</v>
      </c>
      <c r="Y217" s="5" t="str">
        <f t="shared" si="10"/>
        <v>main-0|main-0|main-12|bonusA-2|||||| x 20</v>
      </c>
    </row>
    <row r="218" spans="2:25">
      <c r="B218" s="5">
        <v>215</v>
      </c>
      <c r="C218" s="5">
        <f>(F218+H218+J218)*D218 +L218+N218+P218+R218+T218+V218+X218</f>
        <v>58</v>
      </c>
      <c r="D218" s="12">
        <v>20</v>
      </c>
      <c r="E218" s="6" t="s">
        <v>208</v>
      </c>
      <c r="F218" s="5">
        <f>VLOOKUP(E218,'Win Methods'!$C$4:$F$4992,4,FALSE)</f>
        <v>0.1</v>
      </c>
      <c r="G218" s="6" t="s">
        <v>208</v>
      </c>
      <c r="H218" s="5">
        <f>VLOOKUP(G218,'Win Methods'!$C$4:$F$4992,4,FALSE)</f>
        <v>0.1</v>
      </c>
      <c r="I218" s="6" t="s">
        <v>209</v>
      </c>
      <c r="J218" s="5">
        <f>VLOOKUP(I218,'Win Methods'!$C$4:$F$4992,4,FALSE)</f>
        <v>0.2</v>
      </c>
      <c r="K218" s="110" t="s">
        <v>256</v>
      </c>
      <c r="L218" s="5">
        <f>VLOOKUP(K218,'Win Methods'!$C$4:$F$4992,4,FALSE)</f>
        <v>50</v>
      </c>
      <c r="M218" s="6"/>
      <c r="N218" s="5">
        <f>VLOOKUP(M218,'Win Methods'!$C$4:$F$4992,4,FALSE)</f>
        <v>0</v>
      </c>
      <c r="O218" s="6"/>
      <c r="P218" s="5">
        <f>VLOOKUP(O218,'Win Methods'!$C$4:$F$4992,4,FALSE)</f>
        <v>0</v>
      </c>
      <c r="Q218" s="6"/>
      <c r="R218" s="5">
        <f>VLOOKUP(Q218,'Win Methods'!$C$4:$F$4992,4,FALSE)</f>
        <v>0</v>
      </c>
      <c r="S218" s="6"/>
      <c r="T218" s="5">
        <f>VLOOKUP(S218,'Win Methods'!$C$4:$F$4992,4,FALSE)</f>
        <v>0</v>
      </c>
      <c r="U218" s="6"/>
      <c r="V218" s="5">
        <f>VLOOKUP(U218,'Win Methods'!$C$4:$F$4992,4,FALSE)</f>
        <v>0</v>
      </c>
      <c r="W218" s="6"/>
      <c r="X218" s="5">
        <f>VLOOKUP(W218,'Win Methods'!$C$4:$F$4992,4,FALSE)</f>
        <v>0</v>
      </c>
      <c r="Y218" s="5" t="str">
        <f t="shared" si="10"/>
        <v>main-0|main-0|main-1|bonusA-5|||||| x 20</v>
      </c>
    </row>
    <row r="219" spans="2:25">
      <c r="B219" s="5">
        <v>216</v>
      </c>
      <c r="C219" s="5">
        <f t="shared" ref="C219:C224" si="12">(F219+H219+J219+L219)*D219+N219+P219+R219+T219+V219+X219</f>
        <v>56</v>
      </c>
      <c r="D219" s="12">
        <v>20</v>
      </c>
      <c r="E219" s="6" t="s">
        <v>208</v>
      </c>
      <c r="F219" s="5">
        <f>VLOOKUP(E219,'Win Methods'!$C$4:$F$4992,4,FALSE)</f>
        <v>0.1</v>
      </c>
      <c r="G219" s="6" t="s">
        <v>209</v>
      </c>
      <c r="H219" s="5">
        <f>VLOOKUP(G219,'Win Methods'!$C$4:$F$4992,4,FALSE)</f>
        <v>0.2</v>
      </c>
      <c r="I219" s="6" t="s">
        <v>210</v>
      </c>
      <c r="J219" s="5">
        <f>VLOOKUP(I219,'Win Methods'!$C$4:$F$4992,4,FALSE)</f>
        <v>0.5</v>
      </c>
      <c r="K219" s="6" t="s">
        <v>210</v>
      </c>
      <c r="L219" s="5">
        <f>VLOOKUP(K219,'Win Methods'!$C$4:$F$4992,4,FALSE)</f>
        <v>0.5</v>
      </c>
      <c r="M219" s="110" t="s">
        <v>255</v>
      </c>
      <c r="N219" s="5">
        <f>VLOOKUP(M219,'Win Methods'!$C$4:$F$4992,4,FALSE)</f>
        <v>30</v>
      </c>
      <c r="O219" s="6"/>
      <c r="P219" s="5">
        <f>VLOOKUP(O219,'Win Methods'!$C$4:$F$4992,4,FALSE)</f>
        <v>0</v>
      </c>
      <c r="Q219" s="6"/>
      <c r="R219" s="5">
        <f>VLOOKUP(Q219,'Win Methods'!$C$4:$F$4992,4,FALSE)</f>
        <v>0</v>
      </c>
      <c r="S219" s="6"/>
      <c r="T219" s="5">
        <f>VLOOKUP(S219,'Win Methods'!$C$4:$F$4992,4,FALSE)</f>
        <v>0</v>
      </c>
      <c r="U219" s="6"/>
      <c r="V219" s="5">
        <f>VLOOKUP(U219,'Win Methods'!$C$4:$F$4992,4,FALSE)</f>
        <v>0</v>
      </c>
      <c r="W219" s="6"/>
      <c r="X219" s="5">
        <f>VLOOKUP(W219,'Win Methods'!$C$4:$F$4992,4,FALSE)</f>
        <v>0</v>
      </c>
      <c r="Y219" s="5" t="str">
        <f t="shared" si="10"/>
        <v>main-0|main-1|main-2|main-2|bonusA-4||||| x 20</v>
      </c>
    </row>
    <row r="220" spans="2:25">
      <c r="B220" s="5">
        <v>217</v>
      </c>
      <c r="C220" s="5">
        <f t="shared" si="12"/>
        <v>55</v>
      </c>
      <c r="D220" s="12">
        <v>20</v>
      </c>
      <c r="E220" s="6" t="s">
        <v>208</v>
      </c>
      <c r="F220" s="5">
        <f>VLOOKUP(E220,'Win Methods'!$C$4:$F$4992,4,FALSE)</f>
        <v>0.1</v>
      </c>
      <c r="G220" s="6" t="s">
        <v>209</v>
      </c>
      <c r="H220" s="5">
        <f>VLOOKUP(G220,'Win Methods'!$C$4:$F$4992,4,FALSE)</f>
        <v>0.2</v>
      </c>
      <c r="I220" s="6" t="s">
        <v>209</v>
      </c>
      <c r="J220" s="5">
        <f>VLOOKUP(I220,'Win Methods'!$C$4:$F$4992,4,FALSE)</f>
        <v>0.2</v>
      </c>
      <c r="K220" s="6" t="s">
        <v>212</v>
      </c>
      <c r="L220" s="5">
        <f>VLOOKUP(K220,'Win Methods'!$C$4:$F$4992,4,FALSE)</f>
        <v>1.5</v>
      </c>
      <c r="M220" s="110" t="s">
        <v>252</v>
      </c>
      <c r="N220" s="5">
        <f>VLOOKUP(M220,'Win Methods'!$C$4:$F$4992,4,FALSE)</f>
        <v>15</v>
      </c>
      <c r="O220" s="6"/>
      <c r="P220" s="5">
        <f>VLOOKUP(O220,'Win Methods'!$C$4:$F$4992,4,FALSE)</f>
        <v>0</v>
      </c>
      <c r="Q220" s="6"/>
      <c r="R220" s="5">
        <f>VLOOKUP(Q220,'Win Methods'!$C$4:$F$4992,4,FALSE)</f>
        <v>0</v>
      </c>
      <c r="S220" s="6"/>
      <c r="T220" s="5">
        <f>VLOOKUP(S220,'Win Methods'!$C$4:$F$4992,4,FALSE)</f>
        <v>0</v>
      </c>
      <c r="U220" s="6"/>
      <c r="V220" s="5">
        <f>VLOOKUP(U220,'Win Methods'!$C$4:$F$4992,4,FALSE)</f>
        <v>0</v>
      </c>
      <c r="W220" s="6"/>
      <c r="X220" s="5">
        <f>VLOOKUP(W220,'Win Methods'!$C$4:$F$4992,4,FALSE)</f>
        <v>0</v>
      </c>
      <c r="Y220" s="5" t="str">
        <f t="shared" si="10"/>
        <v>main-0|main-1|main-1|main-4|bonusA-1||||| x 20</v>
      </c>
    </row>
    <row r="221" spans="2:25">
      <c r="B221" s="5">
        <v>218</v>
      </c>
      <c r="C221" s="5">
        <f t="shared" si="12"/>
        <v>53</v>
      </c>
      <c r="D221" s="12">
        <v>20</v>
      </c>
      <c r="E221" s="6" t="s">
        <v>208</v>
      </c>
      <c r="F221" s="5">
        <f>VLOOKUP(E221,'Win Methods'!$C$4:$F$4992,4,FALSE)</f>
        <v>0.1</v>
      </c>
      <c r="G221" s="6" t="s">
        <v>208</v>
      </c>
      <c r="H221" s="5">
        <f>VLOOKUP(G221,'Win Methods'!$C$4:$F$4992,4,FALSE)</f>
        <v>0.1</v>
      </c>
      <c r="I221" s="6" t="s">
        <v>209</v>
      </c>
      <c r="J221" s="5">
        <f>VLOOKUP(I221,'Win Methods'!$C$4:$F$4992,4,FALSE)</f>
        <v>0.2</v>
      </c>
      <c r="K221" s="6" t="s">
        <v>218</v>
      </c>
      <c r="L221" s="5">
        <f>VLOOKUP(K221,'Win Methods'!$C$4:$F$4992,4,FALSE)</f>
        <v>1</v>
      </c>
      <c r="M221" s="110" t="s">
        <v>254</v>
      </c>
      <c r="N221" s="5">
        <f>VLOOKUP(M221,'Win Methods'!$C$4:$F$4992,4,FALSE)</f>
        <v>25</v>
      </c>
      <c r="O221" s="6"/>
      <c r="P221" s="5">
        <f>VLOOKUP(O221,'Win Methods'!$C$4:$F$4992,4,FALSE)</f>
        <v>0</v>
      </c>
      <c r="Q221" s="6"/>
      <c r="R221" s="5">
        <f>VLOOKUP(Q221,'Win Methods'!$C$4:$F$4992,4,FALSE)</f>
        <v>0</v>
      </c>
      <c r="S221" s="6"/>
      <c r="T221" s="5">
        <f>VLOOKUP(S221,'Win Methods'!$C$4:$F$4992,4,FALSE)</f>
        <v>0</v>
      </c>
      <c r="U221" s="6"/>
      <c r="V221" s="5">
        <f>VLOOKUP(U221,'Win Methods'!$C$4:$F$4992,4,FALSE)</f>
        <v>0</v>
      </c>
      <c r="W221" s="6"/>
      <c r="X221" s="5">
        <f>VLOOKUP(W221,'Win Methods'!$C$4:$F$4992,4,FALSE)</f>
        <v>0</v>
      </c>
      <c r="Y221" s="5" t="str">
        <f t="shared" si="10"/>
        <v>main-0|main-0|main-1|main-10|bonusA-3||||| x 20</v>
      </c>
    </row>
    <row r="222" spans="2:25">
      <c r="B222" s="5">
        <v>219</v>
      </c>
      <c r="C222" s="5">
        <f t="shared" si="12"/>
        <v>20</v>
      </c>
      <c r="D222" s="12">
        <v>20</v>
      </c>
      <c r="E222" s="6" t="s">
        <v>208</v>
      </c>
      <c r="F222" s="5">
        <f>VLOOKUP(E222,'Win Methods'!$C$4:$F$4992,4,FALSE)</f>
        <v>0.1</v>
      </c>
      <c r="G222" s="6" t="s">
        <v>208</v>
      </c>
      <c r="H222" s="5">
        <f>VLOOKUP(G222,'Win Methods'!$C$4:$F$4992,4,FALSE)</f>
        <v>0.1</v>
      </c>
      <c r="I222" s="6" t="s">
        <v>208</v>
      </c>
      <c r="J222" s="5">
        <f>VLOOKUP(I222,'Win Methods'!$C$4:$F$4992,4,FALSE)</f>
        <v>0.1</v>
      </c>
      <c r="K222" s="6" t="s">
        <v>209</v>
      </c>
      <c r="L222" s="5">
        <f>VLOOKUP(K222,'Win Methods'!$C$4:$F$4992,4,FALSE)</f>
        <v>0.2</v>
      </c>
      <c r="M222" s="110" t="s">
        <v>251</v>
      </c>
      <c r="N222" s="5">
        <f>VLOOKUP(M222,'Win Methods'!$C$4:$F$4992,4,FALSE)</f>
        <v>10</v>
      </c>
      <c r="O222" s="6"/>
      <c r="P222" s="5">
        <f>VLOOKUP(O222,'Win Methods'!$C$4:$F$4992,4,FALSE)</f>
        <v>0</v>
      </c>
      <c r="Q222" s="6"/>
      <c r="R222" s="5">
        <f>VLOOKUP(Q222,'Win Methods'!$C$4:$F$4992,4,FALSE)</f>
        <v>0</v>
      </c>
      <c r="S222" s="6"/>
      <c r="T222" s="5">
        <f>VLOOKUP(S222,'Win Methods'!$C$4:$F$4992,4,FALSE)</f>
        <v>0</v>
      </c>
      <c r="U222" s="6"/>
      <c r="V222" s="5">
        <f>VLOOKUP(U222,'Win Methods'!$C$4:$F$4992,4,FALSE)</f>
        <v>0</v>
      </c>
      <c r="W222" s="6"/>
      <c r="X222" s="5">
        <f>VLOOKUP(W222,'Win Methods'!$C$4:$F$4992,4,FALSE)</f>
        <v>0</v>
      </c>
      <c r="Y222" s="5" t="str">
        <f t="shared" si="10"/>
        <v>main-0|main-0|main-0|main-1|bonusA-0||||| x 20</v>
      </c>
    </row>
    <row r="223" spans="2:25">
      <c r="B223" s="5">
        <v>220</v>
      </c>
      <c r="C223" s="5">
        <f t="shared" si="12"/>
        <v>42</v>
      </c>
      <c r="D223" s="12">
        <v>20</v>
      </c>
      <c r="E223" s="6" t="s">
        <v>208</v>
      </c>
      <c r="F223" s="5">
        <f>VLOOKUP(E223,'Win Methods'!$C$4:$F$4992,4,FALSE)</f>
        <v>0.1</v>
      </c>
      <c r="G223" s="6" t="s">
        <v>208</v>
      </c>
      <c r="H223" s="5">
        <f>VLOOKUP(G223,'Win Methods'!$C$4:$F$4992,4,FALSE)</f>
        <v>0.1</v>
      </c>
      <c r="I223" s="6" t="s">
        <v>209</v>
      </c>
      <c r="J223" s="5">
        <f>VLOOKUP(I223,'Win Methods'!$C$4:$F$4992,4,FALSE)</f>
        <v>0.2</v>
      </c>
      <c r="K223" s="6" t="s">
        <v>209</v>
      </c>
      <c r="L223" s="5">
        <f>VLOOKUP(K223,'Win Methods'!$C$4:$F$4992,4,FALSE)</f>
        <v>0.2</v>
      </c>
      <c r="M223" s="110" t="s">
        <v>255</v>
      </c>
      <c r="N223" s="5">
        <f>VLOOKUP(M223,'Win Methods'!$C$4:$F$4992,4,FALSE)</f>
        <v>30</v>
      </c>
      <c r="O223" s="6"/>
      <c r="P223" s="5">
        <f>VLOOKUP(O223,'Win Methods'!$C$4:$F$4992,4,FALSE)</f>
        <v>0</v>
      </c>
      <c r="Q223" s="6"/>
      <c r="R223" s="5">
        <f>VLOOKUP(Q223,'Win Methods'!$C$4:$F$4992,4,FALSE)</f>
        <v>0</v>
      </c>
      <c r="S223" s="6"/>
      <c r="T223" s="5">
        <f>VLOOKUP(S223,'Win Methods'!$C$4:$F$4992,4,FALSE)</f>
        <v>0</v>
      </c>
      <c r="U223" s="6"/>
      <c r="V223" s="5">
        <f>VLOOKUP(U223,'Win Methods'!$C$4:$F$4992,4,FALSE)</f>
        <v>0</v>
      </c>
      <c r="W223" s="6"/>
      <c r="X223" s="5">
        <f>VLOOKUP(W223,'Win Methods'!$C$4:$F$4992,4,FALSE)</f>
        <v>0</v>
      </c>
      <c r="Y223" s="5" t="str">
        <f t="shared" si="10"/>
        <v>main-0|main-0|main-1|main-1|bonusA-4||||| x 20</v>
      </c>
    </row>
    <row r="224" spans="2:25">
      <c r="B224" s="5">
        <v>221</v>
      </c>
      <c r="C224" s="5">
        <f t="shared" si="12"/>
        <v>68</v>
      </c>
      <c r="D224" s="12">
        <v>20</v>
      </c>
      <c r="E224" s="6" t="s">
        <v>208</v>
      </c>
      <c r="F224" s="5">
        <f>VLOOKUP(E224,'Win Methods'!$C$4:$F$4992,4,FALSE)</f>
        <v>0.1</v>
      </c>
      <c r="G224" s="6" t="s">
        <v>208</v>
      </c>
      <c r="H224" s="5">
        <f>VLOOKUP(G224,'Win Methods'!$C$4:$F$4992,4,FALSE)</f>
        <v>0.1</v>
      </c>
      <c r="I224" s="6" t="s">
        <v>209</v>
      </c>
      <c r="J224" s="5">
        <f>VLOOKUP(I224,'Win Methods'!$C$4:$F$4992,4,FALSE)</f>
        <v>0.2</v>
      </c>
      <c r="K224" s="6" t="s">
        <v>238</v>
      </c>
      <c r="L224" s="5">
        <f>VLOOKUP(K224,'Win Methods'!$C$4:$F$4992,4,FALSE)</f>
        <v>2</v>
      </c>
      <c r="M224" s="110" t="s">
        <v>253</v>
      </c>
      <c r="N224" s="5">
        <f>VLOOKUP(M224,'Win Methods'!$C$4:$F$4992,4,FALSE)</f>
        <v>20</v>
      </c>
      <c r="O224" s="6"/>
      <c r="P224" s="5">
        <f>VLOOKUP(O224,'Win Methods'!$C$4:$F$4992,4,FALSE)</f>
        <v>0</v>
      </c>
      <c r="Q224" s="6"/>
      <c r="R224" s="5">
        <f>VLOOKUP(Q224,'Win Methods'!$C$4:$F$4992,4,FALSE)</f>
        <v>0</v>
      </c>
      <c r="S224" s="6"/>
      <c r="T224" s="5">
        <f>VLOOKUP(S224,'Win Methods'!$C$4:$F$4992,4,FALSE)</f>
        <v>0</v>
      </c>
      <c r="U224" s="6"/>
      <c r="V224" s="5">
        <f>VLOOKUP(U224,'Win Methods'!$C$4:$F$4992,4,FALSE)</f>
        <v>0</v>
      </c>
      <c r="W224" s="6"/>
      <c r="X224" s="5">
        <f>VLOOKUP(W224,'Win Methods'!$C$4:$F$4992,4,FALSE)</f>
        <v>0</v>
      </c>
      <c r="Y224" s="5" t="str">
        <f t="shared" si="10"/>
        <v>main-0|main-0|main-1|main-30|bonusA-2||||| x 20</v>
      </c>
    </row>
    <row r="225" spans="2:25">
      <c r="B225" s="5">
        <v>222</v>
      </c>
      <c r="C225" s="5">
        <f>(F225+H225+J225+L225+N225)*D225+P225+R225+T225+V225+X225</f>
        <v>52</v>
      </c>
      <c r="D225" s="12">
        <v>20</v>
      </c>
      <c r="E225" s="6" t="s">
        <v>208</v>
      </c>
      <c r="F225" s="5">
        <f>VLOOKUP(E225,'Win Methods'!$C$4:$F$4992,4,FALSE)</f>
        <v>0.1</v>
      </c>
      <c r="G225" s="6" t="s">
        <v>208</v>
      </c>
      <c r="H225" s="5">
        <f>VLOOKUP(G225,'Win Methods'!$C$4:$F$4992,4,FALSE)</f>
        <v>0.1</v>
      </c>
      <c r="I225" s="6" t="s">
        <v>209</v>
      </c>
      <c r="J225" s="5">
        <f>VLOOKUP(I225,'Win Methods'!$C$4:$F$4992,4,FALSE)</f>
        <v>0.2</v>
      </c>
      <c r="K225" s="6" t="s">
        <v>209</v>
      </c>
      <c r="L225" s="5">
        <f>VLOOKUP(K225,'Win Methods'!$C$4:$F$4992,4,FALSE)</f>
        <v>0.2</v>
      </c>
      <c r="M225" s="6" t="s">
        <v>210</v>
      </c>
      <c r="N225" s="5">
        <f>VLOOKUP(M225,'Win Methods'!$C$4:$F$4992,4,FALSE)</f>
        <v>0.5</v>
      </c>
      <c r="O225" s="110" t="s">
        <v>255</v>
      </c>
      <c r="P225" s="5">
        <f>VLOOKUP(O225,'Win Methods'!$C$4:$F$4992,4,FALSE)</f>
        <v>30</v>
      </c>
      <c r="Q225" s="6"/>
      <c r="R225" s="5">
        <f>VLOOKUP(Q225,'Win Methods'!$C$4:$F$4992,4,FALSE)</f>
        <v>0</v>
      </c>
      <c r="S225" s="6"/>
      <c r="T225" s="5">
        <f>VLOOKUP(S225,'Win Methods'!$C$4:$F$4992,4,FALSE)</f>
        <v>0</v>
      </c>
      <c r="U225" s="6"/>
      <c r="V225" s="5">
        <f>VLOOKUP(U225,'Win Methods'!$C$4:$F$4992,4,FALSE)</f>
        <v>0</v>
      </c>
      <c r="W225" s="6"/>
      <c r="X225" s="5">
        <f>VLOOKUP(W225,'Win Methods'!$C$4:$F$4992,4,FALSE)</f>
        <v>0</v>
      </c>
      <c r="Y225" s="5" t="str">
        <f t="shared" si="10"/>
        <v>main-0|main-0|main-1|main-1|main-2|bonusA-4|||| x 20</v>
      </c>
    </row>
    <row r="226" spans="2:25">
      <c r="B226" s="5">
        <v>223</v>
      </c>
      <c r="C226" s="5">
        <f>(F226+H226+J226+L226+N226)*D226+P226+R226+T226+V226+X226</f>
        <v>78</v>
      </c>
      <c r="D226" s="12">
        <v>20</v>
      </c>
      <c r="E226" s="6" t="s">
        <v>208</v>
      </c>
      <c r="F226" s="5">
        <f>VLOOKUP(E226,'Win Methods'!$C$4:$F$4992,4,FALSE)</f>
        <v>0.1</v>
      </c>
      <c r="G226" s="6" t="s">
        <v>208</v>
      </c>
      <c r="H226" s="5">
        <f>VLOOKUP(G226,'Win Methods'!$C$4:$F$4992,4,FALSE)</f>
        <v>0.1</v>
      </c>
      <c r="I226" s="6" t="s">
        <v>209</v>
      </c>
      <c r="J226" s="5">
        <f>VLOOKUP(I226,'Win Methods'!$C$4:$F$4992,4,FALSE)</f>
        <v>0.2</v>
      </c>
      <c r="K226" s="6" t="s">
        <v>218</v>
      </c>
      <c r="L226" s="5">
        <f>VLOOKUP(K226,'Win Methods'!$C$4:$F$4992,4,FALSE)</f>
        <v>1</v>
      </c>
      <c r="M226" s="6" t="s">
        <v>228</v>
      </c>
      <c r="N226" s="5">
        <f>VLOOKUP(M226,'Win Methods'!$C$4:$F$4992,4,FALSE)</f>
        <v>1.5</v>
      </c>
      <c r="O226" s="110" t="s">
        <v>253</v>
      </c>
      <c r="P226" s="5">
        <f>VLOOKUP(O226,'Win Methods'!$C$4:$F$4992,4,FALSE)</f>
        <v>20</v>
      </c>
      <c r="Q226" s="6"/>
      <c r="R226" s="5">
        <f>VLOOKUP(Q226,'Win Methods'!$C$4:$F$4992,4,FALSE)</f>
        <v>0</v>
      </c>
      <c r="S226" s="6"/>
      <c r="T226" s="5">
        <f>VLOOKUP(S226,'Win Methods'!$C$4:$F$4992,4,FALSE)</f>
        <v>0</v>
      </c>
      <c r="U226" s="6"/>
      <c r="V226" s="5">
        <f>VLOOKUP(U226,'Win Methods'!$C$4:$F$4992,4,FALSE)</f>
        <v>0</v>
      </c>
      <c r="W226" s="6"/>
      <c r="X226" s="5">
        <f>VLOOKUP(W226,'Win Methods'!$C$4:$F$4992,4,FALSE)</f>
        <v>0</v>
      </c>
      <c r="Y226" s="5" t="str">
        <f t="shared" si="10"/>
        <v>main-0|main-0|main-1|main-10|main-20|bonusA-2|||| x 20</v>
      </c>
    </row>
    <row r="227" spans="2:25">
      <c r="B227" s="5">
        <v>224</v>
      </c>
      <c r="C227" s="5">
        <f t="shared" ref="C227:C258" si="13">(F227+H227+J227+L227+N227+P227+R227+T227+V227+X227)*D227</f>
        <v>16.3</v>
      </c>
      <c r="D227" s="4">
        <v>1</v>
      </c>
      <c r="E227" s="113" t="s">
        <v>264</v>
      </c>
      <c r="F227" s="5">
        <f>VLOOKUP(E227,'Win Methods'!$C$4:$F$4992,4,FALSE)</f>
        <v>16.3</v>
      </c>
      <c r="G227" s="6"/>
      <c r="H227" s="5">
        <f>VLOOKUP(G227,'Win Methods'!$C$4:$F$4992,4,FALSE)</f>
        <v>0</v>
      </c>
      <c r="I227" s="6"/>
      <c r="J227" s="5">
        <f>VLOOKUP(I227,'Win Methods'!$C$4:$F$4992,4,FALSE)</f>
        <v>0</v>
      </c>
      <c r="K227" s="6"/>
      <c r="L227" s="5">
        <f>VLOOKUP(K227,'Win Methods'!$C$4:$F$4992,4,FALSE)</f>
        <v>0</v>
      </c>
      <c r="M227" s="6"/>
      <c r="N227" s="5">
        <f>VLOOKUP(M227,'Win Methods'!$C$4:$F$4992,4,FALSE)</f>
        <v>0</v>
      </c>
      <c r="O227" s="6"/>
      <c r="P227" s="5">
        <f>VLOOKUP(O227,'Win Methods'!$C$4:$F$4992,4,FALSE)</f>
        <v>0</v>
      </c>
      <c r="Q227" s="6"/>
      <c r="R227" s="5">
        <f>VLOOKUP(Q227,'Win Methods'!$C$4:$F$4992,4,FALSE)</f>
        <v>0</v>
      </c>
      <c r="S227" s="6"/>
      <c r="T227" s="5">
        <f>VLOOKUP(S227,'Win Methods'!$C$4:$F$4992,4,FALSE)</f>
        <v>0</v>
      </c>
      <c r="U227" s="6"/>
      <c r="V227" s="5">
        <f>VLOOKUP(U227,'Win Methods'!$C$4:$F$4992,4,FALSE)</f>
        <v>0</v>
      </c>
      <c r="W227" s="6"/>
      <c r="X227" s="5">
        <f>VLOOKUP(W227,'Win Methods'!$C$4:$F$4992,4,FALSE)</f>
        <v>0</v>
      </c>
      <c r="Y227" s="5" t="str">
        <f t="shared" si="10"/>
        <v>freeplayA-0||||||||| x 1</v>
      </c>
    </row>
    <row r="228" spans="2:25">
      <c r="B228" s="5">
        <v>225</v>
      </c>
      <c r="C228" s="5">
        <f t="shared" si="13"/>
        <v>24.7</v>
      </c>
      <c r="D228" s="4">
        <v>1</v>
      </c>
      <c r="E228" s="113" t="s">
        <v>265</v>
      </c>
      <c r="F228" s="5">
        <f>VLOOKUP(E228,'Win Methods'!$C$4:$F$4992,4,FALSE)</f>
        <v>24.7</v>
      </c>
      <c r="G228" s="6"/>
      <c r="H228" s="5">
        <f>VLOOKUP(G228,'Win Methods'!$C$4:$F$4992,4,FALSE)</f>
        <v>0</v>
      </c>
      <c r="I228" s="6"/>
      <c r="J228" s="5">
        <f>VLOOKUP(I228,'Win Methods'!$C$4:$F$4992,4,FALSE)</f>
        <v>0</v>
      </c>
      <c r="K228" s="6"/>
      <c r="L228" s="5">
        <f>VLOOKUP(K228,'Win Methods'!$C$4:$F$4992,4,FALSE)</f>
        <v>0</v>
      </c>
      <c r="M228" s="6"/>
      <c r="N228" s="5">
        <f>VLOOKUP(M228,'Win Methods'!$C$4:$F$4992,4,FALSE)</f>
        <v>0</v>
      </c>
      <c r="O228" s="6"/>
      <c r="P228" s="5">
        <f>VLOOKUP(O228,'Win Methods'!$C$4:$F$4992,4,FALSE)</f>
        <v>0</v>
      </c>
      <c r="Q228" s="6"/>
      <c r="R228" s="5">
        <f>VLOOKUP(Q228,'Win Methods'!$C$4:$F$4992,4,FALSE)</f>
        <v>0</v>
      </c>
      <c r="S228" s="6"/>
      <c r="T228" s="5">
        <f>VLOOKUP(S228,'Win Methods'!$C$4:$F$4992,4,FALSE)</f>
        <v>0</v>
      </c>
      <c r="U228" s="6"/>
      <c r="V228" s="5">
        <f>VLOOKUP(U228,'Win Methods'!$C$4:$F$4992,4,FALSE)</f>
        <v>0</v>
      </c>
      <c r="W228" s="6"/>
      <c r="X228" s="5">
        <f>VLOOKUP(W228,'Win Methods'!$C$4:$F$4992,4,FALSE)</f>
        <v>0</v>
      </c>
      <c r="Y228" s="5" t="str">
        <f t="shared" si="10"/>
        <v>freeplayA-1||||||||| x 1</v>
      </c>
    </row>
    <row r="229" spans="2:25">
      <c r="B229" s="5">
        <v>226</v>
      </c>
      <c r="C229" s="5">
        <f t="shared" si="13"/>
        <v>11.399999999999999</v>
      </c>
      <c r="D229" s="4">
        <v>1</v>
      </c>
      <c r="E229" s="113" t="s">
        <v>266</v>
      </c>
      <c r="F229" s="5">
        <f>VLOOKUP(E229,'Win Methods'!$C$4:$F$4992,4,FALSE)</f>
        <v>11.399999999999999</v>
      </c>
      <c r="G229" s="6"/>
      <c r="H229" s="5">
        <f>VLOOKUP(G229,'Win Methods'!$C$4:$F$4992,4,FALSE)</f>
        <v>0</v>
      </c>
      <c r="I229" s="6"/>
      <c r="J229" s="5">
        <f>VLOOKUP(I229,'Win Methods'!$C$4:$F$4992,4,FALSE)</f>
        <v>0</v>
      </c>
      <c r="K229" s="6"/>
      <c r="L229" s="5">
        <f>VLOOKUP(K229,'Win Methods'!$C$4:$F$4992,4,FALSE)</f>
        <v>0</v>
      </c>
      <c r="M229" s="6"/>
      <c r="N229" s="5">
        <f>VLOOKUP(M229,'Win Methods'!$C$4:$F$4992,4,FALSE)</f>
        <v>0</v>
      </c>
      <c r="O229" s="6"/>
      <c r="P229" s="5">
        <f>VLOOKUP(O229,'Win Methods'!$C$4:$F$4992,4,FALSE)</f>
        <v>0</v>
      </c>
      <c r="Q229" s="6"/>
      <c r="R229" s="5">
        <f>VLOOKUP(Q229,'Win Methods'!$C$4:$F$4992,4,FALSE)</f>
        <v>0</v>
      </c>
      <c r="S229" s="6"/>
      <c r="T229" s="5">
        <f>VLOOKUP(S229,'Win Methods'!$C$4:$F$4992,4,FALSE)</f>
        <v>0</v>
      </c>
      <c r="U229" s="6"/>
      <c r="V229" s="5">
        <f>VLOOKUP(U229,'Win Methods'!$C$4:$F$4992,4,FALSE)</f>
        <v>0</v>
      </c>
      <c r="W229" s="6"/>
      <c r="X229" s="5">
        <f>VLOOKUP(W229,'Win Methods'!$C$4:$F$4992,4,FALSE)</f>
        <v>0</v>
      </c>
      <c r="Y229" s="5" t="str">
        <f t="shared" si="10"/>
        <v>freeplayA-2||||||||| x 1</v>
      </c>
    </row>
    <row r="230" spans="2:25">
      <c r="B230" s="5">
        <v>227</v>
      </c>
      <c r="C230" s="5">
        <f t="shared" si="13"/>
        <v>35</v>
      </c>
      <c r="D230" s="4">
        <v>1</v>
      </c>
      <c r="E230" s="113" t="s">
        <v>267</v>
      </c>
      <c r="F230" s="5">
        <f>VLOOKUP(E230,'Win Methods'!$C$4:$F$4992,4,FALSE)</f>
        <v>35</v>
      </c>
      <c r="G230" s="6"/>
      <c r="H230" s="5">
        <f>VLOOKUP(G230,'Win Methods'!$C$4:$F$4992,4,FALSE)</f>
        <v>0</v>
      </c>
      <c r="I230" s="6"/>
      <c r="J230" s="5">
        <f>VLOOKUP(I230,'Win Methods'!$C$4:$F$4992,4,FALSE)</f>
        <v>0</v>
      </c>
      <c r="K230" s="6"/>
      <c r="L230" s="5">
        <f>VLOOKUP(K230,'Win Methods'!$C$4:$F$4992,4,FALSE)</f>
        <v>0</v>
      </c>
      <c r="M230" s="6"/>
      <c r="N230" s="5">
        <f>VLOOKUP(M230,'Win Methods'!$C$4:$F$4992,4,FALSE)</f>
        <v>0</v>
      </c>
      <c r="O230" s="6"/>
      <c r="P230" s="5">
        <f>VLOOKUP(O230,'Win Methods'!$C$4:$F$4992,4,FALSE)</f>
        <v>0</v>
      </c>
      <c r="Q230" s="6"/>
      <c r="R230" s="5">
        <f>VLOOKUP(Q230,'Win Methods'!$C$4:$F$4992,4,FALSE)</f>
        <v>0</v>
      </c>
      <c r="S230" s="6"/>
      <c r="T230" s="5">
        <f>VLOOKUP(S230,'Win Methods'!$C$4:$F$4992,4,FALSE)</f>
        <v>0</v>
      </c>
      <c r="U230" s="6"/>
      <c r="V230" s="5">
        <f>VLOOKUP(U230,'Win Methods'!$C$4:$F$4992,4,FALSE)</f>
        <v>0</v>
      </c>
      <c r="W230" s="6"/>
      <c r="X230" s="5">
        <f>VLOOKUP(W230,'Win Methods'!$C$4:$F$4992,4,FALSE)</f>
        <v>0</v>
      </c>
      <c r="Y230" s="5" t="str">
        <f t="shared" si="10"/>
        <v>freeplayA-3||||||||| x 1</v>
      </c>
    </row>
    <row r="231" spans="2:25">
      <c r="B231" s="5">
        <v>228</v>
      </c>
      <c r="C231" s="5">
        <f t="shared" si="13"/>
        <v>18.600000000000001</v>
      </c>
      <c r="D231" s="4">
        <v>1</v>
      </c>
      <c r="E231" s="113" t="s">
        <v>268</v>
      </c>
      <c r="F231" s="5">
        <f>VLOOKUP(E231,'Win Methods'!$C$4:$F$4992,4,FALSE)</f>
        <v>18.600000000000001</v>
      </c>
      <c r="G231" s="6"/>
      <c r="H231" s="5">
        <f>VLOOKUP(G231,'Win Methods'!$C$4:$F$4992,4,FALSE)</f>
        <v>0</v>
      </c>
      <c r="I231" s="6"/>
      <c r="J231" s="5">
        <f>VLOOKUP(I231,'Win Methods'!$C$4:$F$4992,4,FALSE)</f>
        <v>0</v>
      </c>
      <c r="K231" s="6"/>
      <c r="L231" s="5">
        <f>VLOOKUP(K231,'Win Methods'!$C$4:$F$4992,4,FALSE)</f>
        <v>0</v>
      </c>
      <c r="M231" s="6"/>
      <c r="N231" s="5">
        <f>VLOOKUP(M231,'Win Methods'!$C$4:$F$4992,4,FALSE)</f>
        <v>0</v>
      </c>
      <c r="O231" s="6"/>
      <c r="P231" s="5">
        <f>VLOOKUP(O231,'Win Methods'!$C$4:$F$4992,4,FALSE)</f>
        <v>0</v>
      </c>
      <c r="Q231" s="6"/>
      <c r="R231" s="5">
        <f>VLOOKUP(Q231,'Win Methods'!$C$4:$F$4992,4,FALSE)</f>
        <v>0</v>
      </c>
      <c r="S231" s="6"/>
      <c r="T231" s="5">
        <f>VLOOKUP(S231,'Win Methods'!$C$4:$F$4992,4,FALSE)</f>
        <v>0</v>
      </c>
      <c r="U231" s="6"/>
      <c r="V231" s="5">
        <f>VLOOKUP(U231,'Win Methods'!$C$4:$F$4992,4,FALSE)</f>
        <v>0</v>
      </c>
      <c r="W231" s="6"/>
      <c r="X231" s="5">
        <f>VLOOKUP(W231,'Win Methods'!$C$4:$F$4992,4,FALSE)</f>
        <v>0</v>
      </c>
      <c r="Y231" s="5" t="str">
        <f t="shared" si="10"/>
        <v>freeplayA-4||||||||| x 1</v>
      </c>
    </row>
    <row r="232" spans="2:25">
      <c r="B232" s="5">
        <v>229</v>
      </c>
      <c r="C232" s="5">
        <f t="shared" si="13"/>
        <v>25.299999999999997</v>
      </c>
      <c r="D232" s="4">
        <v>1</v>
      </c>
      <c r="E232" s="113" t="s">
        <v>269</v>
      </c>
      <c r="F232" s="5">
        <f>VLOOKUP(E232,'Win Methods'!$C$4:$F$4992,4,FALSE)</f>
        <v>25.299999999999997</v>
      </c>
      <c r="G232" s="6"/>
      <c r="H232" s="5">
        <f>VLOOKUP(G232,'Win Methods'!$C$4:$F$4992,4,FALSE)</f>
        <v>0</v>
      </c>
      <c r="I232" s="6"/>
      <c r="J232" s="5">
        <f>VLOOKUP(I232,'Win Methods'!$C$4:$F$4992,4,FALSE)</f>
        <v>0</v>
      </c>
      <c r="K232" s="6"/>
      <c r="L232" s="5">
        <f>VLOOKUP(K232,'Win Methods'!$C$4:$F$4992,4,FALSE)</f>
        <v>0</v>
      </c>
      <c r="M232" s="6"/>
      <c r="N232" s="5">
        <f>VLOOKUP(M232,'Win Methods'!$C$4:$F$4992,4,FALSE)</f>
        <v>0</v>
      </c>
      <c r="O232" s="6"/>
      <c r="P232" s="5">
        <f>VLOOKUP(O232,'Win Methods'!$C$4:$F$4992,4,FALSE)</f>
        <v>0</v>
      </c>
      <c r="Q232" s="6"/>
      <c r="R232" s="5">
        <f>VLOOKUP(Q232,'Win Methods'!$C$4:$F$4992,4,FALSE)</f>
        <v>0</v>
      </c>
      <c r="S232" s="6"/>
      <c r="T232" s="5">
        <f>VLOOKUP(S232,'Win Methods'!$C$4:$F$4992,4,FALSE)</f>
        <v>0</v>
      </c>
      <c r="U232" s="6"/>
      <c r="V232" s="5">
        <f>VLOOKUP(U232,'Win Methods'!$C$4:$F$4992,4,FALSE)</f>
        <v>0</v>
      </c>
      <c r="W232" s="6"/>
      <c r="X232" s="5">
        <f>VLOOKUP(W232,'Win Methods'!$C$4:$F$4992,4,FALSE)</f>
        <v>0</v>
      </c>
      <c r="Y232" s="5" t="str">
        <f t="shared" si="10"/>
        <v>freeplayA-5||||||||| x 1</v>
      </c>
    </row>
    <row r="233" spans="2:25">
      <c r="B233" s="5">
        <v>230</v>
      </c>
      <c r="C233" s="5">
        <f t="shared" si="13"/>
        <v>29</v>
      </c>
      <c r="D233" s="4">
        <v>1</v>
      </c>
      <c r="E233" s="113" t="s">
        <v>270</v>
      </c>
      <c r="F233" s="5">
        <f>VLOOKUP(E233,'Win Methods'!$C$4:$F$4992,4,FALSE)</f>
        <v>29</v>
      </c>
      <c r="G233" s="6"/>
      <c r="H233" s="5">
        <f>VLOOKUP(G233,'Win Methods'!$C$4:$F$4992,4,FALSE)</f>
        <v>0</v>
      </c>
      <c r="I233" s="6"/>
      <c r="J233" s="5">
        <f>VLOOKUP(I233,'Win Methods'!$C$4:$F$4992,4,FALSE)</f>
        <v>0</v>
      </c>
      <c r="K233" s="6"/>
      <c r="L233" s="5">
        <f>VLOOKUP(K233,'Win Methods'!$C$4:$F$4992,4,FALSE)</f>
        <v>0</v>
      </c>
      <c r="M233" s="6"/>
      <c r="N233" s="5">
        <f>VLOOKUP(M233,'Win Methods'!$C$4:$F$4992,4,FALSE)</f>
        <v>0</v>
      </c>
      <c r="O233" s="6"/>
      <c r="P233" s="5">
        <f>VLOOKUP(O233,'Win Methods'!$C$4:$F$4992,4,FALSE)</f>
        <v>0</v>
      </c>
      <c r="Q233" s="6"/>
      <c r="R233" s="5">
        <f>VLOOKUP(Q233,'Win Methods'!$C$4:$F$4992,4,FALSE)</f>
        <v>0</v>
      </c>
      <c r="S233" s="6"/>
      <c r="T233" s="5">
        <f>VLOOKUP(S233,'Win Methods'!$C$4:$F$4992,4,FALSE)</f>
        <v>0</v>
      </c>
      <c r="U233" s="6"/>
      <c r="V233" s="5">
        <f>VLOOKUP(U233,'Win Methods'!$C$4:$F$4992,4,FALSE)</f>
        <v>0</v>
      </c>
      <c r="W233" s="6"/>
      <c r="X233" s="5">
        <f>VLOOKUP(W233,'Win Methods'!$C$4:$F$4992,4,FALSE)</f>
        <v>0</v>
      </c>
      <c r="Y233" s="5" t="str">
        <f t="shared" si="10"/>
        <v>freeplayA-6||||||||| x 1</v>
      </c>
    </row>
    <row r="234" spans="2:25">
      <c r="B234" s="5">
        <v>231</v>
      </c>
      <c r="C234" s="5">
        <f t="shared" si="13"/>
        <v>41.9</v>
      </c>
      <c r="D234" s="4">
        <v>1</v>
      </c>
      <c r="E234" s="113" t="s">
        <v>271</v>
      </c>
      <c r="F234" s="5">
        <f>VLOOKUP(E234,'Win Methods'!$C$4:$F$4992,4,FALSE)</f>
        <v>41.9</v>
      </c>
      <c r="G234" s="6"/>
      <c r="H234" s="5">
        <f>VLOOKUP(G234,'Win Methods'!$C$4:$F$4992,4,FALSE)</f>
        <v>0</v>
      </c>
      <c r="I234" s="6"/>
      <c r="J234" s="5">
        <f>VLOOKUP(I234,'Win Methods'!$C$4:$F$4992,4,FALSE)</f>
        <v>0</v>
      </c>
      <c r="K234" s="6"/>
      <c r="L234" s="5">
        <f>VLOOKUP(K234,'Win Methods'!$C$4:$F$4992,4,FALSE)</f>
        <v>0</v>
      </c>
      <c r="M234" s="6"/>
      <c r="N234" s="5">
        <f>VLOOKUP(M234,'Win Methods'!$C$4:$F$4992,4,FALSE)</f>
        <v>0</v>
      </c>
      <c r="O234" s="6"/>
      <c r="P234" s="5">
        <f>VLOOKUP(O234,'Win Methods'!$C$4:$F$4992,4,FALSE)</f>
        <v>0</v>
      </c>
      <c r="Q234" s="6"/>
      <c r="R234" s="5">
        <f>VLOOKUP(Q234,'Win Methods'!$C$4:$F$4992,4,FALSE)</f>
        <v>0</v>
      </c>
      <c r="S234" s="6"/>
      <c r="T234" s="5">
        <f>VLOOKUP(S234,'Win Methods'!$C$4:$F$4992,4,FALSE)</f>
        <v>0</v>
      </c>
      <c r="U234" s="6"/>
      <c r="V234" s="5">
        <f>VLOOKUP(U234,'Win Methods'!$C$4:$F$4992,4,FALSE)</f>
        <v>0</v>
      </c>
      <c r="W234" s="6"/>
      <c r="X234" s="5">
        <f>VLOOKUP(W234,'Win Methods'!$C$4:$F$4992,4,FALSE)</f>
        <v>0</v>
      </c>
      <c r="Y234" s="5" t="str">
        <f t="shared" si="10"/>
        <v>freeplayA-7||||||||| x 1</v>
      </c>
    </row>
    <row r="235" spans="2:25">
      <c r="B235" s="5">
        <v>232</v>
      </c>
      <c r="C235" s="5">
        <f t="shared" si="13"/>
        <v>27</v>
      </c>
      <c r="D235" s="4">
        <v>1</v>
      </c>
      <c r="E235" s="113" t="s">
        <v>272</v>
      </c>
      <c r="F235" s="5">
        <f>VLOOKUP(E235,'Win Methods'!$C$4:$F$4992,4,FALSE)</f>
        <v>27</v>
      </c>
      <c r="G235" s="6"/>
      <c r="H235" s="5">
        <f>VLOOKUP(G235,'Win Methods'!$C$4:$F$4992,4,FALSE)</f>
        <v>0</v>
      </c>
      <c r="I235" s="6"/>
      <c r="J235" s="5">
        <f>VLOOKUP(I235,'Win Methods'!$C$4:$F$4992,4,FALSE)</f>
        <v>0</v>
      </c>
      <c r="K235" s="6"/>
      <c r="L235" s="5">
        <f>VLOOKUP(K235,'Win Methods'!$C$4:$F$4992,4,FALSE)</f>
        <v>0</v>
      </c>
      <c r="M235" s="6"/>
      <c r="N235" s="5">
        <f>VLOOKUP(M235,'Win Methods'!$C$4:$F$4992,4,FALSE)</f>
        <v>0</v>
      </c>
      <c r="O235" s="6"/>
      <c r="P235" s="5">
        <f>VLOOKUP(O235,'Win Methods'!$C$4:$F$4992,4,FALSE)</f>
        <v>0</v>
      </c>
      <c r="Q235" s="6"/>
      <c r="R235" s="5">
        <f>VLOOKUP(Q235,'Win Methods'!$C$4:$F$4992,4,FALSE)</f>
        <v>0</v>
      </c>
      <c r="S235" s="6"/>
      <c r="T235" s="5">
        <f>VLOOKUP(S235,'Win Methods'!$C$4:$F$4992,4,FALSE)</f>
        <v>0</v>
      </c>
      <c r="U235" s="6"/>
      <c r="V235" s="5">
        <f>VLOOKUP(U235,'Win Methods'!$C$4:$F$4992,4,FALSE)</f>
        <v>0</v>
      </c>
      <c r="W235" s="6"/>
      <c r="X235" s="5">
        <f>VLOOKUP(W235,'Win Methods'!$C$4:$F$4992,4,FALSE)</f>
        <v>0</v>
      </c>
      <c r="Y235" s="5" t="str">
        <f t="shared" si="10"/>
        <v>freeplayA-8||||||||| x 1</v>
      </c>
    </row>
    <row r="236" spans="2:25">
      <c r="B236" s="5">
        <v>233</v>
      </c>
      <c r="C236" s="5">
        <f t="shared" si="13"/>
        <v>44.099999999999994</v>
      </c>
      <c r="D236" s="4">
        <v>1</v>
      </c>
      <c r="E236" s="113" t="s">
        <v>273</v>
      </c>
      <c r="F236" s="5">
        <f>VLOOKUP(E236,'Win Methods'!$C$4:$F$4992,4,FALSE)</f>
        <v>44.099999999999994</v>
      </c>
      <c r="G236" s="6"/>
      <c r="H236" s="5">
        <f>VLOOKUP(G236,'Win Methods'!$C$4:$F$4992,4,FALSE)</f>
        <v>0</v>
      </c>
      <c r="I236" s="6"/>
      <c r="J236" s="5">
        <f>VLOOKUP(I236,'Win Methods'!$C$4:$F$4992,4,FALSE)</f>
        <v>0</v>
      </c>
      <c r="K236" s="6"/>
      <c r="L236" s="5">
        <f>VLOOKUP(K236,'Win Methods'!$C$4:$F$4992,4,FALSE)</f>
        <v>0</v>
      </c>
      <c r="M236" s="6"/>
      <c r="N236" s="5">
        <f>VLOOKUP(M236,'Win Methods'!$C$4:$F$4992,4,FALSE)</f>
        <v>0</v>
      </c>
      <c r="O236" s="6"/>
      <c r="P236" s="5">
        <f>VLOOKUP(O236,'Win Methods'!$C$4:$F$4992,4,FALSE)</f>
        <v>0</v>
      </c>
      <c r="Q236" s="6"/>
      <c r="R236" s="5">
        <f>VLOOKUP(Q236,'Win Methods'!$C$4:$F$4992,4,FALSE)</f>
        <v>0</v>
      </c>
      <c r="S236" s="6"/>
      <c r="T236" s="5">
        <f>VLOOKUP(S236,'Win Methods'!$C$4:$F$4992,4,FALSE)</f>
        <v>0</v>
      </c>
      <c r="U236" s="6"/>
      <c r="V236" s="5">
        <f>VLOOKUP(U236,'Win Methods'!$C$4:$F$4992,4,FALSE)</f>
        <v>0</v>
      </c>
      <c r="W236" s="6"/>
      <c r="X236" s="5">
        <f>VLOOKUP(W236,'Win Methods'!$C$4:$F$4992,4,FALSE)</f>
        <v>0</v>
      </c>
      <c r="Y236" s="5" t="str">
        <f t="shared" si="10"/>
        <v>freeplayA-9||||||||| x 1</v>
      </c>
    </row>
    <row r="237" spans="2:25">
      <c r="B237" s="5">
        <v>234</v>
      </c>
      <c r="C237" s="5">
        <f t="shared" si="13"/>
        <v>16</v>
      </c>
      <c r="D237" s="4">
        <v>1</v>
      </c>
      <c r="E237" s="113" t="s">
        <v>274</v>
      </c>
      <c r="F237" s="5">
        <f>VLOOKUP(E237,'Win Methods'!$C$4:$F$4992,4,FALSE)</f>
        <v>16</v>
      </c>
      <c r="G237" s="6"/>
      <c r="H237" s="5">
        <f>VLOOKUP(G237,'Win Methods'!$C$4:$F$4992,4,FALSE)</f>
        <v>0</v>
      </c>
      <c r="I237" s="6"/>
      <c r="J237" s="5">
        <f>VLOOKUP(I237,'Win Methods'!$C$4:$F$4992,4,FALSE)</f>
        <v>0</v>
      </c>
      <c r="K237" s="6"/>
      <c r="L237" s="5">
        <f>VLOOKUP(K237,'Win Methods'!$C$4:$F$4992,4,FALSE)</f>
        <v>0</v>
      </c>
      <c r="M237" s="6"/>
      <c r="N237" s="5">
        <f>VLOOKUP(M237,'Win Methods'!$C$4:$F$4992,4,FALSE)</f>
        <v>0</v>
      </c>
      <c r="O237" s="6"/>
      <c r="P237" s="5">
        <f>VLOOKUP(O237,'Win Methods'!$C$4:$F$4992,4,FALSE)</f>
        <v>0</v>
      </c>
      <c r="Q237" s="6"/>
      <c r="R237" s="5">
        <f>VLOOKUP(Q237,'Win Methods'!$C$4:$F$4992,4,FALSE)</f>
        <v>0</v>
      </c>
      <c r="S237" s="6"/>
      <c r="T237" s="5">
        <f>VLOOKUP(S237,'Win Methods'!$C$4:$F$4992,4,FALSE)</f>
        <v>0</v>
      </c>
      <c r="U237" s="6"/>
      <c r="V237" s="5">
        <f>VLOOKUP(U237,'Win Methods'!$C$4:$F$4992,4,FALSE)</f>
        <v>0</v>
      </c>
      <c r="W237" s="6"/>
      <c r="X237" s="5">
        <f>VLOOKUP(W237,'Win Methods'!$C$4:$F$4992,4,FALSE)</f>
        <v>0</v>
      </c>
      <c r="Y237" s="5" t="str">
        <f t="shared" si="10"/>
        <v>freeplayA-10||||||||| x 1</v>
      </c>
    </row>
    <row r="238" spans="2:25">
      <c r="B238" s="5">
        <v>235</v>
      </c>
      <c r="C238" s="5">
        <f t="shared" si="13"/>
        <v>25.400000000000002</v>
      </c>
      <c r="D238" s="4">
        <v>1</v>
      </c>
      <c r="E238" s="113" t="s">
        <v>275</v>
      </c>
      <c r="F238" s="5">
        <f>VLOOKUP(E238,'Win Methods'!$C$4:$F$4992,4,FALSE)</f>
        <v>25.400000000000002</v>
      </c>
      <c r="G238" s="6"/>
      <c r="H238" s="5">
        <f>VLOOKUP(G238,'Win Methods'!$C$4:$F$4992,4,FALSE)</f>
        <v>0</v>
      </c>
      <c r="I238" s="6"/>
      <c r="J238" s="5">
        <f>VLOOKUP(I238,'Win Methods'!$C$4:$F$4992,4,FALSE)</f>
        <v>0</v>
      </c>
      <c r="K238" s="6"/>
      <c r="L238" s="5">
        <f>VLOOKUP(K238,'Win Methods'!$C$4:$F$4992,4,FALSE)</f>
        <v>0</v>
      </c>
      <c r="M238" s="6"/>
      <c r="N238" s="5">
        <f>VLOOKUP(M238,'Win Methods'!$C$4:$F$4992,4,FALSE)</f>
        <v>0</v>
      </c>
      <c r="O238" s="6"/>
      <c r="P238" s="5">
        <f>VLOOKUP(O238,'Win Methods'!$C$4:$F$4992,4,FALSE)</f>
        <v>0</v>
      </c>
      <c r="Q238" s="6"/>
      <c r="R238" s="5">
        <f>VLOOKUP(Q238,'Win Methods'!$C$4:$F$4992,4,FALSE)</f>
        <v>0</v>
      </c>
      <c r="S238" s="6"/>
      <c r="T238" s="5">
        <f>VLOOKUP(S238,'Win Methods'!$C$4:$F$4992,4,FALSE)</f>
        <v>0</v>
      </c>
      <c r="U238" s="6"/>
      <c r="V238" s="5">
        <f>VLOOKUP(U238,'Win Methods'!$C$4:$F$4992,4,FALSE)</f>
        <v>0</v>
      </c>
      <c r="W238" s="6"/>
      <c r="X238" s="5">
        <f>VLOOKUP(W238,'Win Methods'!$C$4:$F$4992,4,FALSE)</f>
        <v>0</v>
      </c>
      <c r="Y238" s="5" t="str">
        <f t="shared" si="10"/>
        <v>freeplayA-11||||||||| x 1</v>
      </c>
    </row>
    <row r="239" spans="2:25">
      <c r="B239" s="5">
        <v>236</v>
      </c>
      <c r="C239" s="5">
        <f t="shared" si="13"/>
        <v>34.900000000000006</v>
      </c>
      <c r="D239" s="4">
        <v>1</v>
      </c>
      <c r="E239" s="113" t="s">
        <v>276</v>
      </c>
      <c r="F239" s="5">
        <f>VLOOKUP(E239,'Win Methods'!$C$4:$F$4992,4,FALSE)</f>
        <v>34.900000000000006</v>
      </c>
      <c r="G239" s="6"/>
      <c r="H239" s="5">
        <f>VLOOKUP(G239,'Win Methods'!$C$4:$F$4992,4,FALSE)</f>
        <v>0</v>
      </c>
      <c r="I239" s="6"/>
      <c r="J239" s="5">
        <f>VLOOKUP(I239,'Win Methods'!$C$4:$F$4992,4,FALSE)</f>
        <v>0</v>
      </c>
      <c r="K239" s="6"/>
      <c r="L239" s="5">
        <f>VLOOKUP(K239,'Win Methods'!$C$4:$F$4992,4,FALSE)</f>
        <v>0</v>
      </c>
      <c r="M239" s="6"/>
      <c r="N239" s="5">
        <f>VLOOKUP(M239,'Win Methods'!$C$4:$F$4992,4,FALSE)</f>
        <v>0</v>
      </c>
      <c r="O239" s="6"/>
      <c r="P239" s="5">
        <f>VLOOKUP(O239,'Win Methods'!$C$4:$F$4992,4,FALSE)</f>
        <v>0</v>
      </c>
      <c r="Q239" s="6"/>
      <c r="R239" s="5">
        <f>VLOOKUP(Q239,'Win Methods'!$C$4:$F$4992,4,FALSE)</f>
        <v>0</v>
      </c>
      <c r="S239" s="6"/>
      <c r="T239" s="5">
        <f>VLOOKUP(S239,'Win Methods'!$C$4:$F$4992,4,FALSE)</f>
        <v>0</v>
      </c>
      <c r="U239" s="6"/>
      <c r="V239" s="5">
        <f>VLOOKUP(U239,'Win Methods'!$C$4:$F$4992,4,FALSE)</f>
        <v>0</v>
      </c>
      <c r="W239" s="6"/>
      <c r="X239" s="5">
        <f>VLOOKUP(W239,'Win Methods'!$C$4:$F$4992,4,FALSE)</f>
        <v>0</v>
      </c>
      <c r="Y239" s="5" t="str">
        <f t="shared" si="10"/>
        <v>freeplayA-12||||||||| x 1</v>
      </c>
    </row>
    <row r="240" spans="2:25">
      <c r="B240" s="5">
        <v>237</v>
      </c>
      <c r="C240" s="5">
        <f t="shared" si="13"/>
        <v>23.3</v>
      </c>
      <c r="D240" s="4">
        <v>1</v>
      </c>
      <c r="E240" s="113" t="s">
        <v>277</v>
      </c>
      <c r="F240" s="5">
        <f>VLOOKUP(E240,'Win Methods'!$C$4:$F$4992,4,FALSE)</f>
        <v>23.3</v>
      </c>
      <c r="G240" s="6"/>
      <c r="H240" s="5">
        <f>VLOOKUP(G240,'Win Methods'!$C$4:$F$4992,4,FALSE)</f>
        <v>0</v>
      </c>
      <c r="I240" s="6"/>
      <c r="J240" s="5">
        <f>VLOOKUP(I240,'Win Methods'!$C$4:$F$4992,4,FALSE)</f>
        <v>0</v>
      </c>
      <c r="K240" s="6"/>
      <c r="L240" s="5">
        <f>VLOOKUP(K240,'Win Methods'!$C$4:$F$4992,4,FALSE)</f>
        <v>0</v>
      </c>
      <c r="M240" s="6"/>
      <c r="N240" s="5">
        <f>VLOOKUP(M240,'Win Methods'!$C$4:$F$4992,4,FALSE)</f>
        <v>0</v>
      </c>
      <c r="O240" s="6"/>
      <c r="P240" s="5">
        <f>VLOOKUP(O240,'Win Methods'!$C$4:$F$4992,4,FALSE)</f>
        <v>0</v>
      </c>
      <c r="Q240" s="6"/>
      <c r="R240" s="5">
        <f>VLOOKUP(Q240,'Win Methods'!$C$4:$F$4992,4,FALSE)</f>
        <v>0</v>
      </c>
      <c r="S240" s="6"/>
      <c r="T240" s="5">
        <f>VLOOKUP(S240,'Win Methods'!$C$4:$F$4992,4,FALSE)</f>
        <v>0</v>
      </c>
      <c r="U240" s="6"/>
      <c r="V240" s="5">
        <f>VLOOKUP(U240,'Win Methods'!$C$4:$F$4992,4,FALSE)</f>
        <v>0</v>
      </c>
      <c r="W240" s="6"/>
      <c r="X240" s="5">
        <f>VLOOKUP(W240,'Win Methods'!$C$4:$F$4992,4,FALSE)</f>
        <v>0</v>
      </c>
      <c r="Y240" s="5" t="str">
        <f t="shared" si="10"/>
        <v>freeplayA-13||||||||| x 1</v>
      </c>
    </row>
    <row r="241" spans="2:25">
      <c r="B241" s="5">
        <v>238</v>
      </c>
      <c r="C241" s="5">
        <f t="shared" si="13"/>
        <v>17.999999999999996</v>
      </c>
      <c r="D241" s="4">
        <v>1</v>
      </c>
      <c r="E241" s="113" t="s">
        <v>278</v>
      </c>
      <c r="F241" s="5">
        <f>VLOOKUP(E241,'Win Methods'!$C$4:$F$4992,4,FALSE)</f>
        <v>17.999999999999996</v>
      </c>
      <c r="G241" s="6"/>
      <c r="H241" s="5">
        <f>VLOOKUP(G241,'Win Methods'!$C$4:$F$4992,4,FALSE)</f>
        <v>0</v>
      </c>
      <c r="I241" s="6"/>
      <c r="J241" s="5">
        <f>VLOOKUP(I241,'Win Methods'!$C$4:$F$4992,4,FALSE)</f>
        <v>0</v>
      </c>
      <c r="K241" s="6"/>
      <c r="L241" s="5">
        <f>VLOOKUP(K241,'Win Methods'!$C$4:$F$4992,4,FALSE)</f>
        <v>0</v>
      </c>
      <c r="M241" s="6"/>
      <c r="N241" s="5">
        <f>VLOOKUP(M241,'Win Methods'!$C$4:$F$4992,4,FALSE)</f>
        <v>0</v>
      </c>
      <c r="O241" s="6"/>
      <c r="P241" s="5">
        <f>VLOOKUP(O241,'Win Methods'!$C$4:$F$4992,4,FALSE)</f>
        <v>0</v>
      </c>
      <c r="Q241" s="6"/>
      <c r="R241" s="5">
        <f>VLOOKUP(Q241,'Win Methods'!$C$4:$F$4992,4,FALSE)</f>
        <v>0</v>
      </c>
      <c r="S241" s="6"/>
      <c r="T241" s="5">
        <f>VLOOKUP(S241,'Win Methods'!$C$4:$F$4992,4,FALSE)</f>
        <v>0</v>
      </c>
      <c r="U241" s="6"/>
      <c r="V241" s="5">
        <f>VLOOKUP(U241,'Win Methods'!$C$4:$F$4992,4,FALSE)</f>
        <v>0</v>
      </c>
      <c r="W241" s="6"/>
      <c r="X241" s="5">
        <f>VLOOKUP(W241,'Win Methods'!$C$4:$F$4992,4,FALSE)</f>
        <v>0</v>
      </c>
      <c r="Y241" s="5" t="str">
        <f t="shared" si="10"/>
        <v>freeplayA-14||||||||| x 1</v>
      </c>
    </row>
    <row r="242" spans="2:25">
      <c r="B242" s="5">
        <v>239</v>
      </c>
      <c r="C242" s="5">
        <f t="shared" si="13"/>
        <v>21.3</v>
      </c>
      <c r="D242" s="4">
        <v>1</v>
      </c>
      <c r="E242" s="113" t="s">
        <v>279</v>
      </c>
      <c r="F242" s="5">
        <f>VLOOKUP(E242,'Win Methods'!$C$4:$F$4992,4,FALSE)</f>
        <v>21.3</v>
      </c>
      <c r="G242" s="6"/>
      <c r="H242" s="5">
        <f>VLOOKUP(G242,'Win Methods'!$C$4:$F$4992,4,FALSE)</f>
        <v>0</v>
      </c>
      <c r="I242" s="6"/>
      <c r="J242" s="5">
        <f>VLOOKUP(I242,'Win Methods'!$C$4:$F$4992,4,FALSE)</f>
        <v>0</v>
      </c>
      <c r="K242" s="6"/>
      <c r="L242" s="5">
        <f>VLOOKUP(K242,'Win Methods'!$C$4:$F$4992,4,FALSE)</f>
        <v>0</v>
      </c>
      <c r="M242" s="6"/>
      <c r="N242" s="5">
        <f>VLOOKUP(M242,'Win Methods'!$C$4:$F$4992,4,FALSE)</f>
        <v>0</v>
      </c>
      <c r="O242" s="6"/>
      <c r="P242" s="5">
        <f>VLOOKUP(O242,'Win Methods'!$C$4:$F$4992,4,FALSE)</f>
        <v>0</v>
      </c>
      <c r="Q242" s="6"/>
      <c r="R242" s="5">
        <f>VLOOKUP(Q242,'Win Methods'!$C$4:$F$4992,4,FALSE)</f>
        <v>0</v>
      </c>
      <c r="S242" s="6"/>
      <c r="T242" s="5">
        <f>VLOOKUP(S242,'Win Methods'!$C$4:$F$4992,4,FALSE)</f>
        <v>0</v>
      </c>
      <c r="U242" s="6"/>
      <c r="V242" s="5">
        <f>VLOOKUP(U242,'Win Methods'!$C$4:$F$4992,4,FALSE)</f>
        <v>0</v>
      </c>
      <c r="W242" s="6"/>
      <c r="X242" s="5">
        <f>VLOOKUP(W242,'Win Methods'!$C$4:$F$4992,4,FALSE)</f>
        <v>0</v>
      </c>
      <c r="Y242" s="5" t="str">
        <f t="shared" si="10"/>
        <v>freeplayA-15||||||||| x 1</v>
      </c>
    </row>
    <row r="243" spans="2:25">
      <c r="B243" s="5">
        <v>240</v>
      </c>
      <c r="C243" s="5">
        <f t="shared" si="13"/>
        <v>37.299999999999997</v>
      </c>
      <c r="D243" s="4">
        <v>1</v>
      </c>
      <c r="E243" s="113" t="s">
        <v>280</v>
      </c>
      <c r="F243" s="5">
        <f>VLOOKUP(E243,'Win Methods'!$C$4:$F$4992,4,FALSE)</f>
        <v>37.299999999999997</v>
      </c>
      <c r="G243" s="6"/>
      <c r="H243" s="5">
        <f>VLOOKUP(G243,'Win Methods'!$C$4:$F$4992,4,FALSE)</f>
        <v>0</v>
      </c>
      <c r="I243" s="6"/>
      <c r="J243" s="5">
        <f>VLOOKUP(I243,'Win Methods'!$C$4:$F$4992,4,FALSE)</f>
        <v>0</v>
      </c>
      <c r="K243" s="6"/>
      <c r="L243" s="5">
        <f>VLOOKUP(K243,'Win Methods'!$C$4:$F$4992,4,FALSE)</f>
        <v>0</v>
      </c>
      <c r="M243" s="6"/>
      <c r="N243" s="5">
        <f>VLOOKUP(M243,'Win Methods'!$C$4:$F$4992,4,FALSE)</f>
        <v>0</v>
      </c>
      <c r="O243" s="6"/>
      <c r="P243" s="5">
        <f>VLOOKUP(O243,'Win Methods'!$C$4:$F$4992,4,FALSE)</f>
        <v>0</v>
      </c>
      <c r="Q243" s="6"/>
      <c r="R243" s="5">
        <f>VLOOKUP(Q243,'Win Methods'!$C$4:$F$4992,4,FALSE)</f>
        <v>0</v>
      </c>
      <c r="S243" s="6"/>
      <c r="T243" s="5">
        <f>VLOOKUP(S243,'Win Methods'!$C$4:$F$4992,4,FALSE)</f>
        <v>0</v>
      </c>
      <c r="U243" s="6"/>
      <c r="V243" s="5">
        <f>VLOOKUP(U243,'Win Methods'!$C$4:$F$4992,4,FALSE)</f>
        <v>0</v>
      </c>
      <c r="W243" s="6"/>
      <c r="X243" s="5">
        <f>VLOOKUP(W243,'Win Methods'!$C$4:$F$4992,4,FALSE)</f>
        <v>0</v>
      </c>
      <c r="Y243" s="5" t="str">
        <f t="shared" si="10"/>
        <v>freeplayA-16||||||||| x 1</v>
      </c>
    </row>
    <row r="244" spans="2:25">
      <c r="B244" s="5">
        <v>241</v>
      </c>
      <c r="C244" s="5">
        <f t="shared" si="13"/>
        <v>26.7</v>
      </c>
      <c r="D244" s="4">
        <v>1</v>
      </c>
      <c r="E244" s="113" t="s">
        <v>281</v>
      </c>
      <c r="F244" s="5">
        <f>VLOOKUP(E244,'Win Methods'!$C$4:$F$4992,4,FALSE)</f>
        <v>26.7</v>
      </c>
      <c r="G244" s="6"/>
      <c r="H244" s="5">
        <f>VLOOKUP(G244,'Win Methods'!$C$4:$F$4992,4,FALSE)</f>
        <v>0</v>
      </c>
      <c r="I244" s="6"/>
      <c r="J244" s="5">
        <f>VLOOKUP(I244,'Win Methods'!$C$4:$F$4992,4,FALSE)</f>
        <v>0</v>
      </c>
      <c r="K244" s="6"/>
      <c r="L244" s="5">
        <f>VLOOKUP(K244,'Win Methods'!$C$4:$F$4992,4,FALSE)</f>
        <v>0</v>
      </c>
      <c r="M244" s="6"/>
      <c r="N244" s="5">
        <f>VLOOKUP(M244,'Win Methods'!$C$4:$F$4992,4,FALSE)</f>
        <v>0</v>
      </c>
      <c r="O244" s="6"/>
      <c r="P244" s="5">
        <f>VLOOKUP(O244,'Win Methods'!$C$4:$F$4992,4,FALSE)</f>
        <v>0</v>
      </c>
      <c r="Q244" s="6"/>
      <c r="R244" s="5">
        <f>VLOOKUP(Q244,'Win Methods'!$C$4:$F$4992,4,FALSE)</f>
        <v>0</v>
      </c>
      <c r="S244" s="6"/>
      <c r="T244" s="5">
        <f>VLOOKUP(S244,'Win Methods'!$C$4:$F$4992,4,FALSE)</f>
        <v>0</v>
      </c>
      <c r="U244" s="6"/>
      <c r="V244" s="5">
        <f>VLOOKUP(U244,'Win Methods'!$C$4:$F$4992,4,FALSE)</f>
        <v>0</v>
      </c>
      <c r="W244" s="6"/>
      <c r="X244" s="5">
        <f>VLOOKUP(W244,'Win Methods'!$C$4:$F$4992,4,FALSE)</f>
        <v>0</v>
      </c>
      <c r="Y244" s="5" t="str">
        <f t="shared" si="10"/>
        <v>freeplayA-17||||||||| x 1</v>
      </c>
    </row>
    <row r="245" spans="2:25">
      <c r="B245" s="5">
        <v>242</v>
      </c>
      <c r="C245" s="5">
        <f t="shared" si="13"/>
        <v>40.9</v>
      </c>
      <c r="D245" s="4">
        <v>1</v>
      </c>
      <c r="E245" s="113" t="s">
        <v>282</v>
      </c>
      <c r="F245" s="5">
        <f>VLOOKUP(E245,'Win Methods'!$C$4:$F$4992,4,FALSE)</f>
        <v>40.9</v>
      </c>
      <c r="G245" s="6"/>
      <c r="H245" s="5">
        <f>VLOOKUP(G245,'Win Methods'!$C$4:$F$4992,4,FALSE)</f>
        <v>0</v>
      </c>
      <c r="I245" s="6"/>
      <c r="J245" s="5">
        <f>VLOOKUP(I245,'Win Methods'!$C$4:$F$4992,4,FALSE)</f>
        <v>0</v>
      </c>
      <c r="K245" s="6"/>
      <c r="L245" s="5">
        <f>VLOOKUP(K245,'Win Methods'!$C$4:$F$4992,4,FALSE)</f>
        <v>0</v>
      </c>
      <c r="M245" s="6"/>
      <c r="N245" s="5">
        <f>VLOOKUP(M245,'Win Methods'!$C$4:$F$4992,4,FALSE)</f>
        <v>0</v>
      </c>
      <c r="O245" s="6"/>
      <c r="P245" s="5">
        <f>VLOOKUP(O245,'Win Methods'!$C$4:$F$4992,4,FALSE)</f>
        <v>0</v>
      </c>
      <c r="Q245" s="6"/>
      <c r="R245" s="5">
        <f>VLOOKUP(Q245,'Win Methods'!$C$4:$F$4992,4,FALSE)</f>
        <v>0</v>
      </c>
      <c r="S245" s="6"/>
      <c r="T245" s="5">
        <f>VLOOKUP(S245,'Win Methods'!$C$4:$F$4992,4,FALSE)</f>
        <v>0</v>
      </c>
      <c r="U245" s="6"/>
      <c r="V245" s="5">
        <f>VLOOKUP(U245,'Win Methods'!$C$4:$F$4992,4,FALSE)</f>
        <v>0</v>
      </c>
      <c r="W245" s="6"/>
      <c r="X245" s="5">
        <f>VLOOKUP(W245,'Win Methods'!$C$4:$F$4992,4,FALSE)</f>
        <v>0</v>
      </c>
      <c r="Y245" s="5" t="str">
        <f t="shared" si="10"/>
        <v>freeplayA-18||||||||| x 1</v>
      </c>
    </row>
    <row r="246" spans="2:25">
      <c r="B246" s="5">
        <v>243</v>
      </c>
      <c r="C246" s="5">
        <f t="shared" si="13"/>
        <v>48.900000000000006</v>
      </c>
      <c r="D246" s="4">
        <v>1</v>
      </c>
      <c r="E246" s="113" t="s">
        <v>283</v>
      </c>
      <c r="F246" s="5">
        <f>VLOOKUP(E246,'Win Methods'!$C$4:$F$4992,4,FALSE)</f>
        <v>48.900000000000006</v>
      </c>
      <c r="G246" s="6"/>
      <c r="H246" s="5">
        <f>VLOOKUP(G246,'Win Methods'!$C$4:$F$4992,4,FALSE)</f>
        <v>0</v>
      </c>
      <c r="I246" s="6"/>
      <c r="J246" s="5">
        <f>VLOOKUP(I246,'Win Methods'!$C$4:$F$4992,4,FALSE)</f>
        <v>0</v>
      </c>
      <c r="K246" s="6"/>
      <c r="L246" s="5">
        <f>VLOOKUP(K246,'Win Methods'!$C$4:$F$4992,4,FALSE)</f>
        <v>0</v>
      </c>
      <c r="M246" s="6"/>
      <c r="N246" s="5">
        <f>VLOOKUP(M246,'Win Methods'!$C$4:$F$4992,4,FALSE)</f>
        <v>0</v>
      </c>
      <c r="O246" s="6"/>
      <c r="P246" s="5">
        <f>VLOOKUP(O246,'Win Methods'!$C$4:$F$4992,4,FALSE)</f>
        <v>0</v>
      </c>
      <c r="Q246" s="6"/>
      <c r="R246" s="5">
        <f>VLOOKUP(Q246,'Win Methods'!$C$4:$F$4992,4,FALSE)</f>
        <v>0</v>
      </c>
      <c r="S246" s="6"/>
      <c r="T246" s="5">
        <f>VLOOKUP(S246,'Win Methods'!$C$4:$F$4992,4,FALSE)</f>
        <v>0</v>
      </c>
      <c r="U246" s="6"/>
      <c r="V246" s="5">
        <f>VLOOKUP(U246,'Win Methods'!$C$4:$F$4992,4,FALSE)</f>
        <v>0</v>
      </c>
      <c r="W246" s="6"/>
      <c r="X246" s="5">
        <f>VLOOKUP(W246,'Win Methods'!$C$4:$F$4992,4,FALSE)</f>
        <v>0</v>
      </c>
      <c r="Y246" s="5" t="str">
        <f t="shared" si="10"/>
        <v>freeplayA-19||||||||| x 1</v>
      </c>
    </row>
    <row r="247" spans="2:25">
      <c r="B247" s="5">
        <v>244</v>
      </c>
      <c r="C247" s="5">
        <f t="shared" si="13"/>
        <v>66.900000000000006</v>
      </c>
      <c r="D247" s="4">
        <v>1</v>
      </c>
      <c r="E247" s="113" t="s">
        <v>284</v>
      </c>
      <c r="F247" s="5">
        <f>VLOOKUP(E247,'Win Methods'!$C$4:$F$4992,4,FALSE)</f>
        <v>66.900000000000006</v>
      </c>
      <c r="G247" s="6"/>
      <c r="H247" s="5">
        <f>VLOOKUP(G247,'Win Methods'!$C$4:$F$4992,4,FALSE)</f>
        <v>0</v>
      </c>
      <c r="I247" s="6"/>
      <c r="J247" s="5">
        <f>VLOOKUP(I247,'Win Methods'!$C$4:$F$4992,4,FALSE)</f>
        <v>0</v>
      </c>
      <c r="K247" s="6"/>
      <c r="L247" s="5">
        <f>VLOOKUP(K247,'Win Methods'!$C$4:$F$4992,4,FALSE)</f>
        <v>0</v>
      </c>
      <c r="M247" s="6"/>
      <c r="N247" s="5">
        <f>VLOOKUP(M247,'Win Methods'!$C$4:$F$4992,4,FALSE)</f>
        <v>0</v>
      </c>
      <c r="O247" s="6"/>
      <c r="P247" s="5">
        <f>VLOOKUP(O247,'Win Methods'!$C$4:$F$4992,4,FALSE)</f>
        <v>0</v>
      </c>
      <c r="Q247" s="6"/>
      <c r="R247" s="5">
        <f>VLOOKUP(Q247,'Win Methods'!$C$4:$F$4992,4,FALSE)</f>
        <v>0</v>
      </c>
      <c r="S247" s="6"/>
      <c r="T247" s="5">
        <f>VLOOKUP(S247,'Win Methods'!$C$4:$F$4992,4,FALSE)</f>
        <v>0</v>
      </c>
      <c r="U247" s="6"/>
      <c r="V247" s="5">
        <f>VLOOKUP(U247,'Win Methods'!$C$4:$F$4992,4,FALSE)</f>
        <v>0</v>
      </c>
      <c r="W247" s="6"/>
      <c r="X247" s="5">
        <f>VLOOKUP(W247,'Win Methods'!$C$4:$F$4992,4,FALSE)</f>
        <v>0</v>
      </c>
      <c r="Y247" s="5" t="str">
        <f t="shared" si="10"/>
        <v>freeplayA-20||||||||| x 1</v>
      </c>
    </row>
    <row r="248" spans="2:25">
      <c r="B248" s="5">
        <v>245</v>
      </c>
      <c r="C248" s="5">
        <f t="shared" si="13"/>
        <v>59.9</v>
      </c>
      <c r="D248" s="4">
        <v>1</v>
      </c>
      <c r="E248" s="113" t="s">
        <v>285</v>
      </c>
      <c r="F248" s="5">
        <f>VLOOKUP(E248,'Win Methods'!$C$4:$F$4992,4,FALSE)</f>
        <v>59.9</v>
      </c>
      <c r="G248" s="6"/>
      <c r="H248" s="5">
        <f>VLOOKUP(G248,'Win Methods'!$C$4:$F$4992,4,FALSE)</f>
        <v>0</v>
      </c>
      <c r="I248" s="6"/>
      <c r="J248" s="5">
        <f>VLOOKUP(I248,'Win Methods'!$C$4:$F$4992,4,FALSE)</f>
        <v>0</v>
      </c>
      <c r="K248" s="6"/>
      <c r="L248" s="5">
        <f>VLOOKUP(K248,'Win Methods'!$C$4:$F$4992,4,FALSE)</f>
        <v>0</v>
      </c>
      <c r="M248" s="6"/>
      <c r="N248" s="5">
        <f>VLOOKUP(M248,'Win Methods'!$C$4:$F$4992,4,FALSE)</f>
        <v>0</v>
      </c>
      <c r="O248" s="6"/>
      <c r="P248" s="5">
        <f>VLOOKUP(O248,'Win Methods'!$C$4:$F$4992,4,FALSE)</f>
        <v>0</v>
      </c>
      <c r="Q248" s="6"/>
      <c r="R248" s="5">
        <f>VLOOKUP(Q248,'Win Methods'!$C$4:$F$4992,4,FALSE)</f>
        <v>0</v>
      </c>
      <c r="S248" s="6"/>
      <c r="T248" s="5">
        <f>VLOOKUP(S248,'Win Methods'!$C$4:$F$4992,4,FALSE)</f>
        <v>0</v>
      </c>
      <c r="U248" s="6"/>
      <c r="V248" s="5">
        <f>VLOOKUP(U248,'Win Methods'!$C$4:$F$4992,4,FALSE)</f>
        <v>0</v>
      </c>
      <c r="W248" s="6"/>
      <c r="X248" s="5">
        <f>VLOOKUP(W248,'Win Methods'!$C$4:$F$4992,4,FALSE)</f>
        <v>0</v>
      </c>
      <c r="Y248" s="5" t="str">
        <f t="shared" si="10"/>
        <v>freeplayA-21||||||||| x 1</v>
      </c>
    </row>
    <row r="249" spans="2:25">
      <c r="B249" s="5">
        <v>246</v>
      </c>
      <c r="C249" s="5">
        <f t="shared" si="13"/>
        <v>65.599999999999994</v>
      </c>
      <c r="D249" s="4">
        <v>1</v>
      </c>
      <c r="E249" s="113" t="s">
        <v>286</v>
      </c>
      <c r="F249" s="5">
        <f>VLOOKUP(E249,'Win Methods'!$C$4:$F$4992,4,FALSE)</f>
        <v>65.599999999999994</v>
      </c>
      <c r="G249" s="6"/>
      <c r="H249" s="5">
        <f>VLOOKUP(G249,'Win Methods'!$C$4:$F$4992,4,FALSE)</f>
        <v>0</v>
      </c>
      <c r="I249" s="6"/>
      <c r="J249" s="5">
        <f>VLOOKUP(I249,'Win Methods'!$C$4:$F$4992,4,FALSE)</f>
        <v>0</v>
      </c>
      <c r="K249" s="6"/>
      <c r="L249" s="5">
        <f>VLOOKUP(K249,'Win Methods'!$C$4:$F$4992,4,FALSE)</f>
        <v>0</v>
      </c>
      <c r="M249" s="6"/>
      <c r="N249" s="5">
        <f>VLOOKUP(M249,'Win Methods'!$C$4:$F$4992,4,FALSE)</f>
        <v>0</v>
      </c>
      <c r="O249" s="6"/>
      <c r="P249" s="5">
        <f>VLOOKUP(O249,'Win Methods'!$C$4:$F$4992,4,FALSE)</f>
        <v>0</v>
      </c>
      <c r="Q249" s="6"/>
      <c r="R249" s="5">
        <f>VLOOKUP(Q249,'Win Methods'!$C$4:$F$4992,4,FALSE)</f>
        <v>0</v>
      </c>
      <c r="S249" s="6"/>
      <c r="T249" s="5">
        <f>VLOOKUP(S249,'Win Methods'!$C$4:$F$4992,4,FALSE)</f>
        <v>0</v>
      </c>
      <c r="U249" s="6"/>
      <c r="V249" s="5">
        <f>VLOOKUP(U249,'Win Methods'!$C$4:$F$4992,4,FALSE)</f>
        <v>0</v>
      </c>
      <c r="W249" s="6"/>
      <c r="X249" s="5">
        <f>VLOOKUP(W249,'Win Methods'!$C$4:$F$4992,4,FALSE)</f>
        <v>0</v>
      </c>
      <c r="Y249" s="5" t="str">
        <f t="shared" si="10"/>
        <v>freeplayA-22||||||||| x 1</v>
      </c>
    </row>
    <row r="250" spans="2:25">
      <c r="B250" s="5">
        <v>247</v>
      </c>
      <c r="C250" s="5">
        <f t="shared" si="13"/>
        <v>66.5</v>
      </c>
      <c r="D250" s="4">
        <v>1</v>
      </c>
      <c r="E250" s="113" t="s">
        <v>287</v>
      </c>
      <c r="F250" s="5">
        <f>VLOOKUP(E250,'Win Methods'!$C$4:$F$4992,4,FALSE)</f>
        <v>66.5</v>
      </c>
      <c r="G250" s="6"/>
      <c r="H250" s="5">
        <f>VLOOKUP(G250,'Win Methods'!$C$4:$F$4992,4,FALSE)</f>
        <v>0</v>
      </c>
      <c r="I250" s="6"/>
      <c r="J250" s="5">
        <f>VLOOKUP(I250,'Win Methods'!$C$4:$F$4992,4,FALSE)</f>
        <v>0</v>
      </c>
      <c r="K250" s="6"/>
      <c r="L250" s="5">
        <f>VLOOKUP(K250,'Win Methods'!$C$4:$F$4992,4,FALSE)</f>
        <v>0</v>
      </c>
      <c r="M250" s="6"/>
      <c r="N250" s="5">
        <f>VLOOKUP(M250,'Win Methods'!$C$4:$F$4992,4,FALSE)</f>
        <v>0</v>
      </c>
      <c r="O250" s="6"/>
      <c r="P250" s="5">
        <f>VLOOKUP(O250,'Win Methods'!$C$4:$F$4992,4,FALSE)</f>
        <v>0</v>
      </c>
      <c r="Q250" s="6"/>
      <c r="R250" s="5">
        <f>VLOOKUP(Q250,'Win Methods'!$C$4:$F$4992,4,FALSE)</f>
        <v>0</v>
      </c>
      <c r="S250" s="6"/>
      <c r="T250" s="5">
        <f>VLOOKUP(S250,'Win Methods'!$C$4:$F$4992,4,FALSE)</f>
        <v>0</v>
      </c>
      <c r="U250" s="6"/>
      <c r="V250" s="5">
        <f>VLOOKUP(U250,'Win Methods'!$C$4:$F$4992,4,FALSE)</f>
        <v>0</v>
      </c>
      <c r="W250" s="6"/>
      <c r="X250" s="5">
        <f>VLOOKUP(W250,'Win Methods'!$C$4:$F$4992,4,FALSE)</f>
        <v>0</v>
      </c>
      <c r="Y250" s="5" t="str">
        <f t="shared" si="10"/>
        <v>freeplayA-23||||||||| x 1</v>
      </c>
    </row>
    <row r="251" spans="2:25">
      <c r="B251" s="5">
        <v>248</v>
      </c>
      <c r="C251" s="5">
        <f t="shared" si="13"/>
        <v>87.9</v>
      </c>
      <c r="D251" s="4">
        <v>1</v>
      </c>
      <c r="E251" s="113" t="s">
        <v>288</v>
      </c>
      <c r="F251" s="5">
        <f>VLOOKUP(E251,'Win Methods'!$C$4:$F$4992,4,FALSE)</f>
        <v>87.9</v>
      </c>
      <c r="G251" s="6"/>
      <c r="H251" s="5">
        <f>VLOOKUP(G251,'Win Methods'!$C$4:$F$4992,4,FALSE)</f>
        <v>0</v>
      </c>
      <c r="I251" s="6"/>
      <c r="J251" s="5">
        <f>VLOOKUP(I251,'Win Methods'!$C$4:$F$4992,4,FALSE)</f>
        <v>0</v>
      </c>
      <c r="K251" s="6"/>
      <c r="L251" s="5">
        <f>VLOOKUP(K251,'Win Methods'!$C$4:$F$4992,4,FALSE)</f>
        <v>0</v>
      </c>
      <c r="M251" s="6"/>
      <c r="N251" s="5">
        <f>VLOOKUP(M251,'Win Methods'!$C$4:$F$4992,4,FALSE)</f>
        <v>0</v>
      </c>
      <c r="O251" s="6"/>
      <c r="P251" s="5">
        <f>VLOOKUP(O251,'Win Methods'!$C$4:$F$4992,4,FALSE)</f>
        <v>0</v>
      </c>
      <c r="Q251" s="6"/>
      <c r="R251" s="5">
        <f>VLOOKUP(Q251,'Win Methods'!$C$4:$F$4992,4,FALSE)</f>
        <v>0</v>
      </c>
      <c r="S251" s="6"/>
      <c r="T251" s="5">
        <f>VLOOKUP(S251,'Win Methods'!$C$4:$F$4992,4,FALSE)</f>
        <v>0</v>
      </c>
      <c r="U251" s="6"/>
      <c r="V251" s="5">
        <f>VLOOKUP(U251,'Win Methods'!$C$4:$F$4992,4,FALSE)</f>
        <v>0</v>
      </c>
      <c r="W251" s="6"/>
      <c r="X251" s="5">
        <f>VLOOKUP(W251,'Win Methods'!$C$4:$F$4992,4,FALSE)</f>
        <v>0</v>
      </c>
      <c r="Y251" s="5" t="str">
        <f t="shared" si="10"/>
        <v>freeplayA-24||||||||| x 1</v>
      </c>
    </row>
    <row r="252" spans="2:25">
      <c r="B252" s="5">
        <v>249</v>
      </c>
      <c r="C252" s="5">
        <f t="shared" si="13"/>
        <v>58.6</v>
      </c>
      <c r="D252" s="4">
        <v>1</v>
      </c>
      <c r="E252" s="113" t="s">
        <v>289</v>
      </c>
      <c r="F252" s="5">
        <f>VLOOKUP(E252,'Win Methods'!$C$4:$F$4992,4,FALSE)</f>
        <v>58.6</v>
      </c>
      <c r="G252" s="6"/>
      <c r="H252" s="5">
        <f>VLOOKUP(G252,'Win Methods'!$C$4:$F$4992,4,FALSE)</f>
        <v>0</v>
      </c>
      <c r="I252" s="6"/>
      <c r="J252" s="5">
        <f>VLOOKUP(I252,'Win Methods'!$C$4:$F$4992,4,FALSE)</f>
        <v>0</v>
      </c>
      <c r="K252" s="6"/>
      <c r="L252" s="5">
        <f>VLOOKUP(K252,'Win Methods'!$C$4:$F$4992,4,FALSE)</f>
        <v>0</v>
      </c>
      <c r="M252" s="6"/>
      <c r="N252" s="5">
        <f>VLOOKUP(M252,'Win Methods'!$C$4:$F$4992,4,FALSE)</f>
        <v>0</v>
      </c>
      <c r="O252" s="6"/>
      <c r="P252" s="5">
        <f>VLOOKUP(O252,'Win Methods'!$C$4:$F$4992,4,FALSE)</f>
        <v>0</v>
      </c>
      <c r="Q252" s="6"/>
      <c r="R252" s="5">
        <f>VLOOKUP(Q252,'Win Methods'!$C$4:$F$4992,4,FALSE)</f>
        <v>0</v>
      </c>
      <c r="S252" s="6"/>
      <c r="T252" s="5">
        <f>VLOOKUP(S252,'Win Methods'!$C$4:$F$4992,4,FALSE)</f>
        <v>0</v>
      </c>
      <c r="U252" s="6"/>
      <c r="V252" s="5">
        <f>VLOOKUP(U252,'Win Methods'!$C$4:$F$4992,4,FALSE)</f>
        <v>0</v>
      </c>
      <c r="W252" s="6"/>
      <c r="X252" s="5">
        <f>VLOOKUP(W252,'Win Methods'!$C$4:$F$4992,4,FALSE)</f>
        <v>0</v>
      </c>
      <c r="Y252" s="5" t="str">
        <f t="shared" si="10"/>
        <v>freeplayA-25||||||||| x 1</v>
      </c>
    </row>
    <row r="253" spans="2:25">
      <c r="B253" s="5">
        <v>250</v>
      </c>
      <c r="C253" s="5">
        <f t="shared" si="13"/>
        <v>72.800000000000011</v>
      </c>
      <c r="D253" s="4">
        <v>1</v>
      </c>
      <c r="E253" s="113" t="s">
        <v>290</v>
      </c>
      <c r="F253" s="5">
        <f>VLOOKUP(E253,'Win Methods'!$C$4:$F$4992,4,FALSE)</f>
        <v>72.800000000000011</v>
      </c>
      <c r="G253" s="6"/>
      <c r="H253" s="5">
        <f>VLOOKUP(G253,'Win Methods'!$C$4:$F$4992,4,FALSE)</f>
        <v>0</v>
      </c>
      <c r="I253" s="6"/>
      <c r="J253" s="5">
        <f>VLOOKUP(I253,'Win Methods'!$C$4:$F$4992,4,FALSE)</f>
        <v>0</v>
      </c>
      <c r="K253" s="6"/>
      <c r="L253" s="5">
        <f>VLOOKUP(K253,'Win Methods'!$C$4:$F$4992,4,FALSE)</f>
        <v>0</v>
      </c>
      <c r="M253" s="6"/>
      <c r="N253" s="5">
        <f>VLOOKUP(M253,'Win Methods'!$C$4:$F$4992,4,FALSE)</f>
        <v>0</v>
      </c>
      <c r="O253" s="6"/>
      <c r="P253" s="5">
        <f>VLOOKUP(O253,'Win Methods'!$C$4:$F$4992,4,FALSE)</f>
        <v>0</v>
      </c>
      <c r="Q253" s="6"/>
      <c r="R253" s="5">
        <f>VLOOKUP(Q253,'Win Methods'!$C$4:$F$4992,4,FALSE)</f>
        <v>0</v>
      </c>
      <c r="S253" s="6"/>
      <c r="T253" s="5">
        <f>VLOOKUP(S253,'Win Methods'!$C$4:$F$4992,4,FALSE)</f>
        <v>0</v>
      </c>
      <c r="U253" s="6"/>
      <c r="V253" s="5">
        <f>VLOOKUP(U253,'Win Methods'!$C$4:$F$4992,4,FALSE)</f>
        <v>0</v>
      </c>
      <c r="W253" s="6"/>
      <c r="X253" s="5">
        <f>VLOOKUP(W253,'Win Methods'!$C$4:$F$4992,4,FALSE)</f>
        <v>0</v>
      </c>
      <c r="Y253" s="5" t="str">
        <f t="shared" si="10"/>
        <v>freeplayA-26||||||||| x 1</v>
      </c>
    </row>
    <row r="254" spans="2:25">
      <c r="B254" s="5">
        <v>251</v>
      </c>
      <c r="C254" s="5">
        <f t="shared" si="13"/>
        <v>56</v>
      </c>
      <c r="D254" s="4">
        <v>1</v>
      </c>
      <c r="E254" s="113" t="s">
        <v>291</v>
      </c>
      <c r="F254" s="5">
        <f>VLOOKUP(E254,'Win Methods'!$C$4:$F$4992,4,FALSE)</f>
        <v>56</v>
      </c>
      <c r="G254" s="6"/>
      <c r="H254" s="5">
        <f>VLOOKUP(G254,'Win Methods'!$C$4:$F$4992,4,FALSE)</f>
        <v>0</v>
      </c>
      <c r="I254" s="6"/>
      <c r="J254" s="5">
        <f>VLOOKUP(I254,'Win Methods'!$C$4:$F$4992,4,FALSE)</f>
        <v>0</v>
      </c>
      <c r="K254" s="6"/>
      <c r="L254" s="5">
        <f>VLOOKUP(K254,'Win Methods'!$C$4:$F$4992,4,FALSE)</f>
        <v>0</v>
      </c>
      <c r="M254" s="6"/>
      <c r="N254" s="5">
        <f>VLOOKUP(M254,'Win Methods'!$C$4:$F$4992,4,FALSE)</f>
        <v>0</v>
      </c>
      <c r="O254" s="6"/>
      <c r="P254" s="5">
        <f>VLOOKUP(O254,'Win Methods'!$C$4:$F$4992,4,FALSE)</f>
        <v>0</v>
      </c>
      <c r="Q254" s="6"/>
      <c r="R254" s="5">
        <f>VLOOKUP(Q254,'Win Methods'!$C$4:$F$4992,4,FALSE)</f>
        <v>0</v>
      </c>
      <c r="S254" s="6"/>
      <c r="T254" s="5">
        <f>VLOOKUP(S254,'Win Methods'!$C$4:$F$4992,4,FALSE)</f>
        <v>0</v>
      </c>
      <c r="U254" s="6"/>
      <c r="V254" s="5">
        <f>VLOOKUP(U254,'Win Methods'!$C$4:$F$4992,4,FALSE)</f>
        <v>0</v>
      </c>
      <c r="W254" s="6"/>
      <c r="X254" s="5">
        <f>VLOOKUP(W254,'Win Methods'!$C$4:$F$4992,4,FALSE)</f>
        <v>0</v>
      </c>
      <c r="Y254" s="5" t="str">
        <f t="shared" si="10"/>
        <v>freeplayA-27||||||||| x 1</v>
      </c>
    </row>
    <row r="255" spans="2:25">
      <c r="B255" s="5">
        <v>252</v>
      </c>
      <c r="C255" s="5">
        <f t="shared" si="13"/>
        <v>44.1</v>
      </c>
      <c r="D255" s="4">
        <v>1</v>
      </c>
      <c r="E255" s="113" t="s">
        <v>292</v>
      </c>
      <c r="F255" s="5">
        <f>VLOOKUP(E255,'Win Methods'!$C$4:$F$4992,4,FALSE)</f>
        <v>44.1</v>
      </c>
      <c r="G255" s="6"/>
      <c r="H255" s="5">
        <f>VLOOKUP(G255,'Win Methods'!$C$4:$F$4992,4,FALSE)</f>
        <v>0</v>
      </c>
      <c r="I255" s="6"/>
      <c r="J255" s="5">
        <f>VLOOKUP(I255,'Win Methods'!$C$4:$F$4992,4,FALSE)</f>
        <v>0</v>
      </c>
      <c r="K255" s="6"/>
      <c r="L255" s="5">
        <f>VLOOKUP(K255,'Win Methods'!$C$4:$F$4992,4,FALSE)</f>
        <v>0</v>
      </c>
      <c r="M255" s="6"/>
      <c r="N255" s="5">
        <f>VLOOKUP(M255,'Win Methods'!$C$4:$F$4992,4,FALSE)</f>
        <v>0</v>
      </c>
      <c r="O255" s="6"/>
      <c r="P255" s="5">
        <f>VLOOKUP(O255,'Win Methods'!$C$4:$F$4992,4,FALSE)</f>
        <v>0</v>
      </c>
      <c r="Q255" s="6"/>
      <c r="R255" s="5">
        <f>VLOOKUP(Q255,'Win Methods'!$C$4:$F$4992,4,FALSE)</f>
        <v>0</v>
      </c>
      <c r="S255" s="6"/>
      <c r="T255" s="5">
        <f>VLOOKUP(S255,'Win Methods'!$C$4:$F$4992,4,FALSE)</f>
        <v>0</v>
      </c>
      <c r="U255" s="6"/>
      <c r="V255" s="5">
        <f>VLOOKUP(U255,'Win Methods'!$C$4:$F$4992,4,FALSE)</f>
        <v>0</v>
      </c>
      <c r="W255" s="6"/>
      <c r="X255" s="5">
        <f>VLOOKUP(W255,'Win Methods'!$C$4:$F$4992,4,FALSE)</f>
        <v>0</v>
      </c>
      <c r="Y255" s="5" t="str">
        <f t="shared" si="10"/>
        <v>freeplayA-28||||||||| x 1</v>
      </c>
    </row>
    <row r="256" spans="2:25">
      <c r="B256" s="5">
        <v>253</v>
      </c>
      <c r="C256" s="5">
        <f t="shared" si="13"/>
        <v>81.5</v>
      </c>
      <c r="D256" s="4">
        <v>1</v>
      </c>
      <c r="E256" s="113" t="s">
        <v>293</v>
      </c>
      <c r="F256" s="5">
        <f>VLOOKUP(E256,'Win Methods'!$C$4:$F$4992,4,FALSE)</f>
        <v>81.5</v>
      </c>
      <c r="G256" s="6"/>
      <c r="H256" s="5">
        <f>VLOOKUP(G256,'Win Methods'!$C$4:$F$4992,4,FALSE)</f>
        <v>0</v>
      </c>
      <c r="I256" s="6"/>
      <c r="J256" s="5">
        <f>VLOOKUP(I256,'Win Methods'!$C$4:$F$4992,4,FALSE)</f>
        <v>0</v>
      </c>
      <c r="K256" s="6"/>
      <c r="L256" s="5">
        <f>VLOOKUP(K256,'Win Methods'!$C$4:$F$4992,4,FALSE)</f>
        <v>0</v>
      </c>
      <c r="M256" s="6"/>
      <c r="N256" s="5">
        <f>VLOOKUP(M256,'Win Methods'!$C$4:$F$4992,4,FALSE)</f>
        <v>0</v>
      </c>
      <c r="O256" s="6"/>
      <c r="P256" s="5">
        <f>VLOOKUP(O256,'Win Methods'!$C$4:$F$4992,4,FALSE)</f>
        <v>0</v>
      </c>
      <c r="Q256" s="6"/>
      <c r="R256" s="5">
        <f>VLOOKUP(Q256,'Win Methods'!$C$4:$F$4992,4,FALSE)</f>
        <v>0</v>
      </c>
      <c r="S256" s="6"/>
      <c r="T256" s="5">
        <f>VLOOKUP(S256,'Win Methods'!$C$4:$F$4992,4,FALSE)</f>
        <v>0</v>
      </c>
      <c r="U256" s="6"/>
      <c r="V256" s="5">
        <f>VLOOKUP(U256,'Win Methods'!$C$4:$F$4992,4,FALSE)</f>
        <v>0</v>
      </c>
      <c r="W256" s="6"/>
      <c r="X256" s="5">
        <f>VLOOKUP(W256,'Win Methods'!$C$4:$F$4992,4,FALSE)</f>
        <v>0</v>
      </c>
      <c r="Y256" s="5" t="str">
        <f t="shared" si="10"/>
        <v>freeplayA-29||||||||| x 1</v>
      </c>
    </row>
    <row r="257" spans="2:25">
      <c r="B257" s="5">
        <v>254</v>
      </c>
      <c r="C257" s="5">
        <f t="shared" si="13"/>
        <v>46.9</v>
      </c>
      <c r="D257" s="4">
        <v>1</v>
      </c>
      <c r="E257" s="113" t="s">
        <v>294</v>
      </c>
      <c r="F257" s="5">
        <f>VLOOKUP(E257,'Win Methods'!$C$4:$F$4992,4,FALSE)</f>
        <v>46.9</v>
      </c>
      <c r="G257" s="6"/>
      <c r="H257" s="5">
        <f>VLOOKUP(G257,'Win Methods'!$C$4:$F$4992,4,FALSE)</f>
        <v>0</v>
      </c>
      <c r="I257" s="6"/>
      <c r="J257" s="5">
        <f>VLOOKUP(I257,'Win Methods'!$C$4:$F$4992,4,FALSE)</f>
        <v>0</v>
      </c>
      <c r="K257" s="6"/>
      <c r="L257" s="5">
        <f>VLOOKUP(K257,'Win Methods'!$C$4:$F$4992,4,FALSE)</f>
        <v>0</v>
      </c>
      <c r="M257" s="6"/>
      <c r="N257" s="5">
        <f>VLOOKUP(M257,'Win Methods'!$C$4:$F$4992,4,FALSE)</f>
        <v>0</v>
      </c>
      <c r="O257" s="6"/>
      <c r="P257" s="5">
        <f>VLOOKUP(O257,'Win Methods'!$C$4:$F$4992,4,FALSE)</f>
        <v>0</v>
      </c>
      <c r="Q257" s="6"/>
      <c r="R257" s="5">
        <f>VLOOKUP(Q257,'Win Methods'!$C$4:$F$4992,4,FALSE)</f>
        <v>0</v>
      </c>
      <c r="S257" s="6"/>
      <c r="T257" s="5">
        <f>VLOOKUP(S257,'Win Methods'!$C$4:$F$4992,4,FALSE)</f>
        <v>0</v>
      </c>
      <c r="U257" s="6"/>
      <c r="V257" s="5">
        <f>VLOOKUP(U257,'Win Methods'!$C$4:$F$4992,4,FALSE)</f>
        <v>0</v>
      </c>
      <c r="W257" s="6"/>
      <c r="X257" s="5">
        <f>VLOOKUP(W257,'Win Methods'!$C$4:$F$4992,4,FALSE)</f>
        <v>0</v>
      </c>
      <c r="Y257" s="5" t="str">
        <f t="shared" si="10"/>
        <v>freeplayA-30||||||||| x 1</v>
      </c>
    </row>
    <row r="258" spans="2:25">
      <c r="B258" s="5">
        <v>255</v>
      </c>
      <c r="C258" s="5">
        <f t="shared" si="13"/>
        <v>12.399999999999999</v>
      </c>
      <c r="D258" s="4">
        <v>1</v>
      </c>
      <c r="E258" s="6" t="s">
        <v>218</v>
      </c>
      <c r="F258" s="5">
        <f>VLOOKUP(E258,'Win Methods'!$C$4:$F$4992,4,FALSE)</f>
        <v>1</v>
      </c>
      <c r="G258" s="113" t="s">
        <v>266</v>
      </c>
      <c r="H258" s="5">
        <f>VLOOKUP(G258,'Win Methods'!$C$4:$F$4992,4,FALSE)</f>
        <v>11.399999999999999</v>
      </c>
      <c r="I258" s="6"/>
      <c r="J258" s="5">
        <f>VLOOKUP(I258,'Win Methods'!$C$4:$F$4992,4,FALSE)</f>
        <v>0</v>
      </c>
      <c r="K258" s="6"/>
      <c r="L258" s="5">
        <f>VLOOKUP(K258,'Win Methods'!$C$4:$F$4992,4,FALSE)</f>
        <v>0</v>
      </c>
      <c r="M258" s="6"/>
      <c r="N258" s="5">
        <f>VLOOKUP(M258,'Win Methods'!$C$4:$F$4992,4,FALSE)</f>
        <v>0</v>
      </c>
      <c r="O258" s="6"/>
      <c r="P258" s="5">
        <f>VLOOKUP(O258,'Win Methods'!$C$4:$F$4992,4,FALSE)</f>
        <v>0</v>
      </c>
      <c r="Q258" s="6"/>
      <c r="R258" s="5">
        <f>VLOOKUP(Q258,'Win Methods'!$C$4:$F$4992,4,FALSE)</f>
        <v>0</v>
      </c>
      <c r="S258" s="6"/>
      <c r="T258" s="5">
        <f>VLOOKUP(S258,'Win Methods'!$C$4:$F$4992,4,FALSE)</f>
        <v>0</v>
      </c>
      <c r="U258" s="6"/>
      <c r="V258" s="5">
        <f>VLOOKUP(U258,'Win Methods'!$C$4:$F$4992,4,FALSE)</f>
        <v>0</v>
      </c>
      <c r="W258" s="6"/>
      <c r="X258" s="5">
        <f>VLOOKUP(W258,'Win Methods'!$C$4:$F$4992,4,FALSE)</f>
        <v>0</v>
      </c>
      <c r="Y258" s="5" t="str">
        <f t="shared" si="10"/>
        <v>main-10|freeplayA-2|||||||| x 1</v>
      </c>
    </row>
    <row r="259" spans="2:25">
      <c r="B259" s="5">
        <v>256</v>
      </c>
      <c r="C259" s="5">
        <f t="shared" ref="C259:C290" si="14">(F259+H259+J259+L259+N259+P259+R259+T259+V259+X259)*D259</f>
        <v>35.1</v>
      </c>
      <c r="D259" s="4">
        <v>1</v>
      </c>
      <c r="E259" s="6" t="s">
        <v>208</v>
      </c>
      <c r="F259" s="5">
        <f>VLOOKUP(E259,'Win Methods'!$C$4:$F$4992,4,FALSE)</f>
        <v>0.1</v>
      </c>
      <c r="G259" s="113" t="s">
        <v>267</v>
      </c>
      <c r="H259" s="5">
        <f>VLOOKUP(G259,'Win Methods'!$C$4:$F$4992,4,FALSE)</f>
        <v>35</v>
      </c>
      <c r="I259" s="6"/>
      <c r="J259" s="5">
        <f>VLOOKUP(I259,'Win Methods'!$C$4:$F$4992,4,FALSE)</f>
        <v>0</v>
      </c>
      <c r="K259" s="6"/>
      <c r="L259" s="5">
        <f>VLOOKUP(K259,'Win Methods'!$C$4:$F$4992,4,FALSE)</f>
        <v>0</v>
      </c>
      <c r="M259" s="6"/>
      <c r="N259" s="5">
        <f>VLOOKUP(M259,'Win Methods'!$C$4:$F$4992,4,FALSE)</f>
        <v>0</v>
      </c>
      <c r="O259" s="6"/>
      <c r="P259" s="5">
        <f>VLOOKUP(O259,'Win Methods'!$C$4:$F$4992,4,FALSE)</f>
        <v>0</v>
      </c>
      <c r="Q259" s="6"/>
      <c r="R259" s="5">
        <f>VLOOKUP(Q259,'Win Methods'!$C$4:$F$4992,4,FALSE)</f>
        <v>0</v>
      </c>
      <c r="S259" s="6"/>
      <c r="T259" s="5">
        <f>VLOOKUP(S259,'Win Methods'!$C$4:$F$4992,4,FALSE)</f>
        <v>0</v>
      </c>
      <c r="U259" s="6"/>
      <c r="V259" s="5">
        <f>VLOOKUP(U259,'Win Methods'!$C$4:$F$4992,4,FALSE)</f>
        <v>0</v>
      </c>
      <c r="W259" s="6"/>
      <c r="X259" s="5">
        <f>VLOOKUP(W259,'Win Methods'!$C$4:$F$4992,4,FALSE)</f>
        <v>0</v>
      </c>
      <c r="Y259" s="5" t="str">
        <f t="shared" ref="Y259:Y322" si="15">E259&amp;"|"&amp;G259&amp;"|"&amp;I259&amp;"|"&amp;K259&amp;"|"&amp;M259&amp;"|"&amp;O259&amp;"|"&amp;Q259&amp;"|"&amp;S259&amp;"|"&amp;U259&amp;"|"&amp;W259 &amp;" x "&amp;D259</f>
        <v>main-0|freeplayA-3|||||||| x 1</v>
      </c>
    </row>
    <row r="260" spans="2:25">
      <c r="B260" s="5">
        <v>257</v>
      </c>
      <c r="C260" s="5">
        <f t="shared" si="14"/>
        <v>20.100000000000001</v>
      </c>
      <c r="D260" s="4">
        <v>1</v>
      </c>
      <c r="E260" s="6" t="s">
        <v>219</v>
      </c>
      <c r="F260" s="5">
        <f>VLOOKUP(E260,'Win Methods'!$C$4:$F$4992,4,FALSE)</f>
        <v>1.5</v>
      </c>
      <c r="G260" s="113" t="s">
        <v>268</v>
      </c>
      <c r="H260" s="5">
        <f>VLOOKUP(G260,'Win Methods'!$C$4:$F$4992,4,FALSE)</f>
        <v>18.600000000000001</v>
      </c>
      <c r="I260" s="6"/>
      <c r="J260" s="5">
        <f>VLOOKUP(I260,'Win Methods'!$C$4:$F$4992,4,FALSE)</f>
        <v>0</v>
      </c>
      <c r="K260" s="6"/>
      <c r="L260" s="5">
        <f>VLOOKUP(K260,'Win Methods'!$C$4:$F$4992,4,FALSE)</f>
        <v>0</v>
      </c>
      <c r="M260" s="6"/>
      <c r="N260" s="5">
        <f>VLOOKUP(M260,'Win Methods'!$C$4:$F$4992,4,FALSE)</f>
        <v>0</v>
      </c>
      <c r="O260" s="6"/>
      <c r="P260" s="5">
        <f>VLOOKUP(O260,'Win Methods'!$C$4:$F$4992,4,FALSE)</f>
        <v>0</v>
      </c>
      <c r="Q260" s="6"/>
      <c r="R260" s="5">
        <f>VLOOKUP(Q260,'Win Methods'!$C$4:$F$4992,4,FALSE)</f>
        <v>0</v>
      </c>
      <c r="S260" s="6"/>
      <c r="T260" s="5">
        <f>VLOOKUP(S260,'Win Methods'!$C$4:$F$4992,4,FALSE)</f>
        <v>0</v>
      </c>
      <c r="U260" s="6"/>
      <c r="V260" s="5">
        <f>VLOOKUP(U260,'Win Methods'!$C$4:$F$4992,4,FALSE)</f>
        <v>0</v>
      </c>
      <c r="W260" s="6"/>
      <c r="X260" s="5">
        <f>VLOOKUP(W260,'Win Methods'!$C$4:$F$4992,4,FALSE)</f>
        <v>0</v>
      </c>
      <c r="Y260" s="5" t="str">
        <f t="shared" si="15"/>
        <v>main-11|freeplayA-4|||||||| x 1</v>
      </c>
    </row>
    <row r="261" spans="2:25">
      <c r="B261" s="5">
        <v>258</v>
      </c>
      <c r="C261" s="5">
        <f t="shared" si="14"/>
        <v>27.299999999999997</v>
      </c>
      <c r="D261" s="4">
        <v>1</v>
      </c>
      <c r="E261" s="6" t="s">
        <v>238</v>
      </c>
      <c r="F261" s="5">
        <f>VLOOKUP(E261,'Win Methods'!$C$4:$F$4992,4,FALSE)</f>
        <v>2</v>
      </c>
      <c r="G261" s="113" t="s">
        <v>269</v>
      </c>
      <c r="H261" s="5">
        <f>VLOOKUP(G261,'Win Methods'!$C$4:$F$4992,4,FALSE)</f>
        <v>25.299999999999997</v>
      </c>
      <c r="I261" s="6"/>
      <c r="J261" s="5">
        <f>VLOOKUP(I261,'Win Methods'!$C$4:$F$4992,4,FALSE)</f>
        <v>0</v>
      </c>
      <c r="K261" s="6"/>
      <c r="L261" s="5">
        <f>VLOOKUP(K261,'Win Methods'!$C$4:$F$4992,4,FALSE)</f>
        <v>0</v>
      </c>
      <c r="M261" s="6"/>
      <c r="N261" s="5">
        <f>VLOOKUP(M261,'Win Methods'!$C$4:$F$4992,4,FALSE)</f>
        <v>0</v>
      </c>
      <c r="O261" s="6"/>
      <c r="P261" s="5">
        <f>VLOOKUP(O261,'Win Methods'!$C$4:$F$4992,4,FALSE)</f>
        <v>0</v>
      </c>
      <c r="Q261" s="6"/>
      <c r="R261" s="5">
        <f>VLOOKUP(Q261,'Win Methods'!$C$4:$F$4992,4,FALSE)</f>
        <v>0</v>
      </c>
      <c r="S261" s="6"/>
      <c r="T261" s="5">
        <f>VLOOKUP(S261,'Win Methods'!$C$4:$F$4992,4,FALSE)</f>
        <v>0</v>
      </c>
      <c r="U261" s="6"/>
      <c r="V261" s="5">
        <f>VLOOKUP(U261,'Win Methods'!$C$4:$F$4992,4,FALSE)</f>
        <v>0</v>
      </c>
      <c r="W261" s="6"/>
      <c r="X261" s="5">
        <f>VLOOKUP(W261,'Win Methods'!$C$4:$F$4992,4,FALSE)</f>
        <v>0</v>
      </c>
      <c r="Y261" s="5" t="str">
        <f t="shared" si="15"/>
        <v>main-30|freeplayA-5|||||||| x 1</v>
      </c>
    </row>
    <row r="262" spans="2:25">
      <c r="B262" s="5">
        <v>259</v>
      </c>
      <c r="C262" s="5">
        <f t="shared" si="14"/>
        <v>29.2</v>
      </c>
      <c r="D262" s="4">
        <v>1</v>
      </c>
      <c r="E262" s="6" t="s">
        <v>209</v>
      </c>
      <c r="F262" s="5">
        <f>VLOOKUP(E262,'Win Methods'!$C$4:$F$4992,4,FALSE)</f>
        <v>0.2</v>
      </c>
      <c r="G262" s="113" t="s">
        <v>270</v>
      </c>
      <c r="H262" s="5">
        <f>VLOOKUP(G262,'Win Methods'!$C$4:$F$4992,4,FALSE)</f>
        <v>29</v>
      </c>
      <c r="I262" s="6"/>
      <c r="J262" s="5">
        <f>VLOOKUP(I262,'Win Methods'!$C$4:$F$4992,4,FALSE)</f>
        <v>0</v>
      </c>
      <c r="K262" s="6"/>
      <c r="L262" s="5">
        <f>VLOOKUP(K262,'Win Methods'!$C$4:$F$4992,4,FALSE)</f>
        <v>0</v>
      </c>
      <c r="M262" s="6"/>
      <c r="N262" s="5">
        <f>VLOOKUP(M262,'Win Methods'!$C$4:$F$4992,4,FALSE)</f>
        <v>0</v>
      </c>
      <c r="O262" s="6"/>
      <c r="P262" s="5">
        <f>VLOOKUP(O262,'Win Methods'!$C$4:$F$4992,4,FALSE)</f>
        <v>0</v>
      </c>
      <c r="Q262" s="6"/>
      <c r="R262" s="5">
        <f>VLOOKUP(Q262,'Win Methods'!$C$4:$F$4992,4,FALSE)</f>
        <v>0</v>
      </c>
      <c r="S262" s="6"/>
      <c r="T262" s="5">
        <f>VLOOKUP(S262,'Win Methods'!$C$4:$F$4992,4,FALSE)</f>
        <v>0</v>
      </c>
      <c r="U262" s="6"/>
      <c r="V262" s="5">
        <f>VLOOKUP(U262,'Win Methods'!$C$4:$F$4992,4,FALSE)</f>
        <v>0</v>
      </c>
      <c r="W262" s="6"/>
      <c r="X262" s="5">
        <f>VLOOKUP(W262,'Win Methods'!$C$4:$F$4992,4,FALSE)</f>
        <v>0</v>
      </c>
      <c r="Y262" s="5" t="str">
        <f t="shared" si="15"/>
        <v>main-1|freeplayA-6|||||||| x 1</v>
      </c>
    </row>
    <row r="263" spans="2:25">
      <c r="B263" s="5">
        <v>260</v>
      </c>
      <c r="C263" s="5">
        <f t="shared" si="14"/>
        <v>43.4</v>
      </c>
      <c r="D263" s="4">
        <v>1</v>
      </c>
      <c r="E263" s="6" t="s">
        <v>212</v>
      </c>
      <c r="F263" s="5">
        <f>VLOOKUP(E263,'Win Methods'!$C$4:$F$4992,4,FALSE)</f>
        <v>1.5</v>
      </c>
      <c r="G263" s="113" t="s">
        <v>271</v>
      </c>
      <c r="H263" s="5">
        <f>VLOOKUP(G263,'Win Methods'!$C$4:$F$4992,4,FALSE)</f>
        <v>41.9</v>
      </c>
      <c r="I263" s="6"/>
      <c r="J263" s="5">
        <f>VLOOKUP(I263,'Win Methods'!$C$4:$F$4992,4,FALSE)</f>
        <v>0</v>
      </c>
      <c r="K263" s="6"/>
      <c r="L263" s="5">
        <f>VLOOKUP(K263,'Win Methods'!$C$4:$F$4992,4,FALSE)</f>
        <v>0</v>
      </c>
      <c r="M263" s="6"/>
      <c r="N263" s="5">
        <f>VLOOKUP(M263,'Win Methods'!$C$4:$F$4992,4,FALSE)</f>
        <v>0</v>
      </c>
      <c r="O263" s="6"/>
      <c r="P263" s="5">
        <f>VLOOKUP(O263,'Win Methods'!$C$4:$F$4992,4,FALSE)</f>
        <v>0</v>
      </c>
      <c r="Q263" s="6"/>
      <c r="R263" s="5">
        <f>VLOOKUP(Q263,'Win Methods'!$C$4:$F$4992,4,FALSE)</f>
        <v>0</v>
      </c>
      <c r="S263" s="6"/>
      <c r="T263" s="5">
        <f>VLOOKUP(S263,'Win Methods'!$C$4:$F$4992,4,FALSE)</f>
        <v>0</v>
      </c>
      <c r="U263" s="6"/>
      <c r="V263" s="5">
        <f>VLOOKUP(U263,'Win Methods'!$C$4:$F$4992,4,FALSE)</f>
        <v>0</v>
      </c>
      <c r="W263" s="6"/>
      <c r="X263" s="5">
        <f>VLOOKUP(W263,'Win Methods'!$C$4:$F$4992,4,FALSE)</f>
        <v>0</v>
      </c>
      <c r="Y263" s="5" t="str">
        <f t="shared" si="15"/>
        <v>main-4|freeplayA-7|||||||| x 1</v>
      </c>
    </row>
    <row r="264" spans="2:25">
      <c r="B264" s="5">
        <v>261</v>
      </c>
      <c r="C264" s="5">
        <f t="shared" si="14"/>
        <v>29</v>
      </c>
      <c r="D264" s="4">
        <v>1</v>
      </c>
      <c r="E264" s="6" t="s">
        <v>220</v>
      </c>
      <c r="F264" s="5">
        <f>VLOOKUP(E264,'Win Methods'!$C$4:$F$4992,4,FALSE)</f>
        <v>2</v>
      </c>
      <c r="G264" s="113" t="s">
        <v>272</v>
      </c>
      <c r="H264" s="5">
        <f>VLOOKUP(G264,'Win Methods'!$C$4:$F$4992,4,FALSE)</f>
        <v>27</v>
      </c>
      <c r="I264" s="6"/>
      <c r="J264" s="5">
        <f>VLOOKUP(I264,'Win Methods'!$C$4:$F$4992,4,FALSE)</f>
        <v>0</v>
      </c>
      <c r="K264" s="6"/>
      <c r="L264" s="5">
        <f>VLOOKUP(K264,'Win Methods'!$C$4:$F$4992,4,FALSE)</f>
        <v>0</v>
      </c>
      <c r="M264" s="6"/>
      <c r="N264" s="5">
        <f>VLOOKUP(M264,'Win Methods'!$C$4:$F$4992,4,FALSE)</f>
        <v>0</v>
      </c>
      <c r="O264" s="6"/>
      <c r="P264" s="5">
        <f>VLOOKUP(O264,'Win Methods'!$C$4:$F$4992,4,FALSE)</f>
        <v>0</v>
      </c>
      <c r="Q264" s="6"/>
      <c r="R264" s="5">
        <f>VLOOKUP(Q264,'Win Methods'!$C$4:$F$4992,4,FALSE)</f>
        <v>0</v>
      </c>
      <c r="S264" s="6"/>
      <c r="T264" s="5">
        <f>VLOOKUP(S264,'Win Methods'!$C$4:$F$4992,4,FALSE)</f>
        <v>0</v>
      </c>
      <c r="U264" s="6"/>
      <c r="V264" s="5">
        <f>VLOOKUP(U264,'Win Methods'!$C$4:$F$4992,4,FALSE)</f>
        <v>0</v>
      </c>
      <c r="W264" s="6"/>
      <c r="X264" s="5">
        <f>VLOOKUP(W264,'Win Methods'!$C$4:$F$4992,4,FALSE)</f>
        <v>0</v>
      </c>
      <c r="Y264" s="5" t="str">
        <f t="shared" si="15"/>
        <v>main-12|freeplayA-8|||||||| x 1</v>
      </c>
    </row>
    <row r="265" spans="2:25">
      <c r="B265" s="5">
        <v>262</v>
      </c>
      <c r="C265" s="5">
        <f t="shared" si="14"/>
        <v>49.099999999999994</v>
      </c>
      <c r="D265" s="4">
        <v>1</v>
      </c>
      <c r="E265" s="6" t="s">
        <v>216</v>
      </c>
      <c r="F265" s="5">
        <f>VLOOKUP(E265,'Win Methods'!$C$4:$F$4992,4,FALSE)</f>
        <v>5</v>
      </c>
      <c r="G265" s="113" t="s">
        <v>273</v>
      </c>
      <c r="H265" s="5">
        <f>VLOOKUP(G265,'Win Methods'!$C$4:$F$4992,4,FALSE)</f>
        <v>44.099999999999994</v>
      </c>
      <c r="I265" s="6"/>
      <c r="J265" s="5">
        <f>VLOOKUP(I265,'Win Methods'!$C$4:$F$4992,4,FALSE)</f>
        <v>0</v>
      </c>
      <c r="K265" s="6"/>
      <c r="L265" s="5">
        <f>VLOOKUP(K265,'Win Methods'!$C$4:$F$4992,4,FALSE)</f>
        <v>0</v>
      </c>
      <c r="M265" s="6"/>
      <c r="N265" s="5">
        <f>VLOOKUP(M265,'Win Methods'!$C$4:$F$4992,4,FALSE)</f>
        <v>0</v>
      </c>
      <c r="O265" s="6"/>
      <c r="P265" s="5">
        <f>VLOOKUP(O265,'Win Methods'!$C$4:$F$4992,4,FALSE)</f>
        <v>0</v>
      </c>
      <c r="Q265" s="6"/>
      <c r="R265" s="5">
        <f>VLOOKUP(Q265,'Win Methods'!$C$4:$F$4992,4,FALSE)</f>
        <v>0</v>
      </c>
      <c r="S265" s="6"/>
      <c r="T265" s="5">
        <f>VLOOKUP(S265,'Win Methods'!$C$4:$F$4992,4,FALSE)</f>
        <v>0</v>
      </c>
      <c r="U265" s="6"/>
      <c r="V265" s="5">
        <f>VLOOKUP(U265,'Win Methods'!$C$4:$F$4992,4,FALSE)</f>
        <v>0</v>
      </c>
      <c r="W265" s="6"/>
      <c r="X265" s="5">
        <f>VLOOKUP(W265,'Win Methods'!$C$4:$F$4992,4,FALSE)</f>
        <v>0</v>
      </c>
      <c r="Y265" s="5" t="str">
        <f t="shared" si="15"/>
        <v>main-8|freeplayA-9|||||||| x 1</v>
      </c>
    </row>
    <row r="266" spans="2:25">
      <c r="B266" s="5">
        <v>263</v>
      </c>
      <c r="C266" s="5">
        <f t="shared" si="14"/>
        <v>21</v>
      </c>
      <c r="D266" s="4">
        <v>1</v>
      </c>
      <c r="E266" s="6" t="s">
        <v>230</v>
      </c>
      <c r="F266" s="5">
        <f>VLOOKUP(E266,'Win Methods'!$C$4:$F$4992,4,FALSE)</f>
        <v>5</v>
      </c>
      <c r="G266" s="113" t="s">
        <v>274</v>
      </c>
      <c r="H266" s="5">
        <f>VLOOKUP(G266,'Win Methods'!$C$4:$F$4992,4,FALSE)</f>
        <v>16</v>
      </c>
      <c r="I266" s="6"/>
      <c r="J266" s="5">
        <f>VLOOKUP(I266,'Win Methods'!$C$4:$F$4992,4,FALSE)</f>
        <v>0</v>
      </c>
      <c r="K266" s="6"/>
      <c r="L266" s="5">
        <f>VLOOKUP(K266,'Win Methods'!$C$4:$F$4992,4,FALSE)</f>
        <v>0</v>
      </c>
      <c r="M266" s="6"/>
      <c r="N266" s="5">
        <f>VLOOKUP(M266,'Win Methods'!$C$4:$F$4992,4,FALSE)</f>
        <v>0</v>
      </c>
      <c r="O266" s="6"/>
      <c r="P266" s="5">
        <f>VLOOKUP(O266,'Win Methods'!$C$4:$F$4992,4,FALSE)</f>
        <v>0</v>
      </c>
      <c r="Q266" s="6"/>
      <c r="R266" s="5">
        <f>VLOOKUP(Q266,'Win Methods'!$C$4:$F$4992,4,FALSE)</f>
        <v>0</v>
      </c>
      <c r="S266" s="6"/>
      <c r="T266" s="5">
        <f>VLOOKUP(S266,'Win Methods'!$C$4:$F$4992,4,FALSE)</f>
        <v>0</v>
      </c>
      <c r="U266" s="6"/>
      <c r="V266" s="5">
        <f>VLOOKUP(U266,'Win Methods'!$C$4:$F$4992,4,FALSE)</f>
        <v>0</v>
      </c>
      <c r="W266" s="6"/>
      <c r="X266" s="5">
        <f>VLOOKUP(W266,'Win Methods'!$C$4:$F$4992,4,FALSE)</f>
        <v>0</v>
      </c>
      <c r="Y266" s="5" t="str">
        <f t="shared" si="15"/>
        <v>main-22|freeplayA-10|||||||| x 1</v>
      </c>
    </row>
    <row r="267" spans="2:25">
      <c r="B267" s="5">
        <v>264</v>
      </c>
      <c r="C267" s="5">
        <f t="shared" si="14"/>
        <v>30.400000000000002</v>
      </c>
      <c r="D267" s="4">
        <v>1</v>
      </c>
      <c r="E267" s="6" t="s">
        <v>239</v>
      </c>
      <c r="F267" s="5">
        <f>VLOOKUP(E267,'Win Methods'!$C$4:$F$4992,4,FALSE)</f>
        <v>5</v>
      </c>
      <c r="G267" s="113" t="s">
        <v>275</v>
      </c>
      <c r="H267" s="5">
        <f>VLOOKUP(G267,'Win Methods'!$C$4:$F$4992,4,FALSE)</f>
        <v>25.400000000000002</v>
      </c>
      <c r="I267" s="6"/>
      <c r="J267" s="5">
        <f>VLOOKUP(I267,'Win Methods'!$C$4:$F$4992,4,FALSE)</f>
        <v>0</v>
      </c>
      <c r="K267" s="6"/>
      <c r="L267" s="5">
        <f>VLOOKUP(K267,'Win Methods'!$C$4:$F$4992,4,FALSE)</f>
        <v>0</v>
      </c>
      <c r="M267" s="6"/>
      <c r="N267" s="5">
        <f>VLOOKUP(M267,'Win Methods'!$C$4:$F$4992,4,FALSE)</f>
        <v>0</v>
      </c>
      <c r="O267" s="6"/>
      <c r="P267" s="5">
        <f>VLOOKUP(O267,'Win Methods'!$C$4:$F$4992,4,FALSE)</f>
        <v>0</v>
      </c>
      <c r="Q267" s="6"/>
      <c r="R267" s="5">
        <f>VLOOKUP(Q267,'Win Methods'!$C$4:$F$4992,4,FALSE)</f>
        <v>0</v>
      </c>
      <c r="S267" s="6"/>
      <c r="T267" s="5">
        <f>VLOOKUP(S267,'Win Methods'!$C$4:$F$4992,4,FALSE)</f>
        <v>0</v>
      </c>
      <c r="U267" s="6"/>
      <c r="V267" s="5">
        <f>VLOOKUP(U267,'Win Methods'!$C$4:$F$4992,4,FALSE)</f>
        <v>0</v>
      </c>
      <c r="W267" s="6"/>
      <c r="X267" s="5">
        <f>VLOOKUP(W267,'Win Methods'!$C$4:$F$4992,4,FALSE)</f>
        <v>0</v>
      </c>
      <c r="Y267" s="5" t="str">
        <f t="shared" si="15"/>
        <v>main-31|freeplayA-11|||||||| x 1</v>
      </c>
    </row>
    <row r="268" spans="2:25">
      <c r="B268" s="5">
        <v>265</v>
      </c>
      <c r="C268" s="5">
        <f t="shared" si="14"/>
        <v>35.400000000000006</v>
      </c>
      <c r="D268" s="4">
        <v>1</v>
      </c>
      <c r="E268" s="6" t="s">
        <v>210</v>
      </c>
      <c r="F268" s="5">
        <f>VLOOKUP(E268,'Win Methods'!$C$4:$F$4992,4,FALSE)</f>
        <v>0.5</v>
      </c>
      <c r="G268" s="113" t="s">
        <v>276</v>
      </c>
      <c r="H268" s="5">
        <f>VLOOKUP(G268,'Win Methods'!$C$4:$F$4992,4,FALSE)</f>
        <v>34.900000000000006</v>
      </c>
      <c r="I268" s="6"/>
      <c r="J268" s="5">
        <f>VLOOKUP(I268,'Win Methods'!$C$4:$F$4992,4,FALSE)</f>
        <v>0</v>
      </c>
      <c r="K268" s="6"/>
      <c r="L268" s="5">
        <f>VLOOKUP(K268,'Win Methods'!$C$4:$F$4992,4,FALSE)</f>
        <v>0</v>
      </c>
      <c r="M268" s="6"/>
      <c r="N268" s="5">
        <f>VLOOKUP(M268,'Win Methods'!$C$4:$F$4992,4,FALSE)</f>
        <v>0</v>
      </c>
      <c r="O268" s="6"/>
      <c r="P268" s="5">
        <f>VLOOKUP(O268,'Win Methods'!$C$4:$F$4992,4,FALSE)</f>
        <v>0</v>
      </c>
      <c r="Q268" s="6"/>
      <c r="R268" s="5">
        <f>VLOOKUP(Q268,'Win Methods'!$C$4:$F$4992,4,FALSE)</f>
        <v>0</v>
      </c>
      <c r="S268" s="6"/>
      <c r="T268" s="5">
        <f>VLOOKUP(S268,'Win Methods'!$C$4:$F$4992,4,FALSE)</f>
        <v>0</v>
      </c>
      <c r="U268" s="6"/>
      <c r="V268" s="5">
        <f>VLOOKUP(U268,'Win Methods'!$C$4:$F$4992,4,FALSE)</f>
        <v>0</v>
      </c>
      <c r="W268" s="6"/>
      <c r="X268" s="5">
        <f>VLOOKUP(W268,'Win Methods'!$C$4:$F$4992,4,FALSE)</f>
        <v>0</v>
      </c>
      <c r="Y268" s="5" t="str">
        <f t="shared" si="15"/>
        <v>main-2|freeplayA-12|||||||| x 1</v>
      </c>
    </row>
    <row r="269" spans="2:25">
      <c r="B269" s="5">
        <v>266</v>
      </c>
      <c r="C269" s="5">
        <f t="shared" si="14"/>
        <v>25.3</v>
      </c>
      <c r="D269" s="4">
        <v>1</v>
      </c>
      <c r="E269" s="6" t="s">
        <v>229</v>
      </c>
      <c r="F269" s="5">
        <f>VLOOKUP(E269,'Win Methods'!$C$4:$F$4992,4,FALSE)</f>
        <v>2</v>
      </c>
      <c r="G269" s="113" t="s">
        <v>277</v>
      </c>
      <c r="H269" s="5">
        <f>VLOOKUP(G269,'Win Methods'!$C$4:$F$4992,4,FALSE)</f>
        <v>23.3</v>
      </c>
      <c r="I269" s="6"/>
      <c r="J269" s="5">
        <f>VLOOKUP(I269,'Win Methods'!$C$4:$F$4992,4,FALSE)</f>
        <v>0</v>
      </c>
      <c r="K269" s="6"/>
      <c r="L269" s="5">
        <f>VLOOKUP(K269,'Win Methods'!$C$4:$F$4992,4,FALSE)</f>
        <v>0</v>
      </c>
      <c r="M269" s="6"/>
      <c r="N269" s="5">
        <f>VLOOKUP(M269,'Win Methods'!$C$4:$F$4992,4,FALSE)</f>
        <v>0</v>
      </c>
      <c r="O269" s="6"/>
      <c r="P269" s="5">
        <f>VLOOKUP(O269,'Win Methods'!$C$4:$F$4992,4,FALSE)</f>
        <v>0</v>
      </c>
      <c r="Q269" s="6"/>
      <c r="R269" s="5">
        <f>VLOOKUP(Q269,'Win Methods'!$C$4:$F$4992,4,FALSE)</f>
        <v>0</v>
      </c>
      <c r="S269" s="6"/>
      <c r="T269" s="5">
        <f>VLOOKUP(S269,'Win Methods'!$C$4:$F$4992,4,FALSE)</f>
        <v>0</v>
      </c>
      <c r="U269" s="6"/>
      <c r="V269" s="5">
        <f>VLOOKUP(U269,'Win Methods'!$C$4:$F$4992,4,FALSE)</f>
        <v>0</v>
      </c>
      <c r="W269" s="6"/>
      <c r="X269" s="5">
        <f>VLOOKUP(W269,'Win Methods'!$C$4:$F$4992,4,FALSE)</f>
        <v>0</v>
      </c>
      <c r="Y269" s="5" t="str">
        <f t="shared" si="15"/>
        <v>main-21|freeplayA-13|||||||| x 1</v>
      </c>
    </row>
    <row r="270" spans="2:25">
      <c r="B270" s="5">
        <v>267</v>
      </c>
      <c r="C270" s="5">
        <f t="shared" si="14"/>
        <v>19.3</v>
      </c>
      <c r="D270" s="4">
        <v>1</v>
      </c>
      <c r="E270" s="6" t="s">
        <v>215</v>
      </c>
      <c r="F270" s="5">
        <f>VLOOKUP(E270,'Win Methods'!$C$4:$F$4992,4,FALSE)</f>
        <v>3</v>
      </c>
      <c r="G270" s="113" t="s">
        <v>264</v>
      </c>
      <c r="H270" s="5">
        <f>VLOOKUP(G270,'Win Methods'!$C$4:$F$4992,4,FALSE)</f>
        <v>16.3</v>
      </c>
      <c r="I270" s="6"/>
      <c r="J270" s="5">
        <f>VLOOKUP(I270,'Win Methods'!$C$4:$F$4992,4,FALSE)</f>
        <v>0</v>
      </c>
      <c r="K270" s="6"/>
      <c r="L270" s="5">
        <f>VLOOKUP(K270,'Win Methods'!$C$4:$F$4992,4,FALSE)</f>
        <v>0</v>
      </c>
      <c r="M270" s="6"/>
      <c r="N270" s="5">
        <f>VLOOKUP(M270,'Win Methods'!$C$4:$F$4992,4,FALSE)</f>
        <v>0</v>
      </c>
      <c r="O270" s="6"/>
      <c r="P270" s="5">
        <f>VLOOKUP(O270,'Win Methods'!$C$4:$F$4992,4,FALSE)</f>
        <v>0</v>
      </c>
      <c r="Q270" s="6"/>
      <c r="R270" s="5">
        <f>VLOOKUP(Q270,'Win Methods'!$C$4:$F$4992,4,FALSE)</f>
        <v>0</v>
      </c>
      <c r="S270" s="6"/>
      <c r="T270" s="5">
        <f>VLOOKUP(S270,'Win Methods'!$C$4:$F$4992,4,FALSE)</f>
        <v>0</v>
      </c>
      <c r="U270" s="6"/>
      <c r="V270" s="5">
        <f>VLOOKUP(U270,'Win Methods'!$C$4:$F$4992,4,FALSE)</f>
        <v>0</v>
      </c>
      <c r="W270" s="6"/>
      <c r="X270" s="5">
        <f>VLOOKUP(W270,'Win Methods'!$C$4:$F$4992,4,FALSE)</f>
        <v>0</v>
      </c>
      <c r="Y270" s="5" t="str">
        <f t="shared" si="15"/>
        <v>main-7|freeplayA-0|||||||| x 1</v>
      </c>
    </row>
    <row r="271" spans="2:25">
      <c r="B271" s="5">
        <v>268</v>
      </c>
      <c r="C271" s="5">
        <f t="shared" si="14"/>
        <v>34.700000000000003</v>
      </c>
      <c r="D271" s="4">
        <v>1</v>
      </c>
      <c r="E271" s="6" t="s">
        <v>217</v>
      </c>
      <c r="F271" s="5">
        <f>VLOOKUP(E271,'Win Methods'!$C$4:$F$4992,4,FALSE)</f>
        <v>10</v>
      </c>
      <c r="G271" s="113" t="s">
        <v>265</v>
      </c>
      <c r="H271" s="5">
        <f>VLOOKUP(G271,'Win Methods'!$C$4:$F$4992,4,FALSE)</f>
        <v>24.7</v>
      </c>
      <c r="I271" s="6"/>
      <c r="J271" s="5">
        <f>VLOOKUP(I271,'Win Methods'!$C$4:$F$4992,4,FALSE)</f>
        <v>0</v>
      </c>
      <c r="K271" s="6"/>
      <c r="L271" s="5">
        <f>VLOOKUP(K271,'Win Methods'!$C$4:$F$4992,4,FALSE)</f>
        <v>0</v>
      </c>
      <c r="M271" s="6"/>
      <c r="N271" s="5">
        <f>VLOOKUP(M271,'Win Methods'!$C$4:$F$4992,4,FALSE)</f>
        <v>0</v>
      </c>
      <c r="O271" s="6"/>
      <c r="P271" s="5">
        <f>VLOOKUP(O271,'Win Methods'!$C$4:$F$4992,4,FALSE)</f>
        <v>0</v>
      </c>
      <c r="Q271" s="6"/>
      <c r="R271" s="5">
        <f>VLOOKUP(Q271,'Win Methods'!$C$4:$F$4992,4,FALSE)</f>
        <v>0</v>
      </c>
      <c r="S271" s="6"/>
      <c r="T271" s="5">
        <f>VLOOKUP(S271,'Win Methods'!$C$4:$F$4992,4,FALSE)</f>
        <v>0</v>
      </c>
      <c r="U271" s="6"/>
      <c r="V271" s="5">
        <f>VLOOKUP(U271,'Win Methods'!$C$4:$F$4992,4,FALSE)</f>
        <v>0</v>
      </c>
      <c r="W271" s="6"/>
      <c r="X271" s="5">
        <f>VLOOKUP(W271,'Win Methods'!$C$4:$F$4992,4,FALSE)</f>
        <v>0</v>
      </c>
      <c r="Y271" s="5" t="str">
        <f t="shared" si="15"/>
        <v>main-9|freeplayA-1|||||||| x 1</v>
      </c>
    </row>
    <row r="272" spans="2:25">
      <c r="B272" s="5">
        <v>269</v>
      </c>
      <c r="C272" s="5">
        <f t="shared" si="14"/>
        <v>21.4</v>
      </c>
      <c r="D272" s="4">
        <v>1</v>
      </c>
      <c r="E272" s="6" t="s">
        <v>231</v>
      </c>
      <c r="F272" s="5">
        <f>VLOOKUP(E272,'Win Methods'!$C$4:$F$4992,4,FALSE)</f>
        <v>10</v>
      </c>
      <c r="G272" s="113" t="s">
        <v>266</v>
      </c>
      <c r="H272" s="5">
        <f>VLOOKUP(G272,'Win Methods'!$C$4:$F$4992,4,FALSE)</f>
        <v>11.399999999999999</v>
      </c>
      <c r="I272" s="6"/>
      <c r="J272" s="5">
        <f>VLOOKUP(I272,'Win Methods'!$C$4:$F$4992,4,FALSE)</f>
        <v>0</v>
      </c>
      <c r="K272" s="6"/>
      <c r="L272" s="5">
        <f>VLOOKUP(K272,'Win Methods'!$C$4:$F$4992,4,FALSE)</f>
        <v>0</v>
      </c>
      <c r="M272" s="6"/>
      <c r="N272" s="5">
        <f>VLOOKUP(M272,'Win Methods'!$C$4:$F$4992,4,FALSE)</f>
        <v>0</v>
      </c>
      <c r="O272" s="6"/>
      <c r="P272" s="5">
        <f>VLOOKUP(O272,'Win Methods'!$C$4:$F$4992,4,FALSE)</f>
        <v>0</v>
      </c>
      <c r="Q272" s="6"/>
      <c r="R272" s="5">
        <f>VLOOKUP(Q272,'Win Methods'!$C$4:$F$4992,4,FALSE)</f>
        <v>0</v>
      </c>
      <c r="S272" s="6"/>
      <c r="T272" s="5">
        <f>VLOOKUP(S272,'Win Methods'!$C$4:$F$4992,4,FALSE)</f>
        <v>0</v>
      </c>
      <c r="U272" s="6"/>
      <c r="V272" s="5">
        <f>VLOOKUP(U272,'Win Methods'!$C$4:$F$4992,4,FALSE)</f>
        <v>0</v>
      </c>
      <c r="W272" s="6"/>
      <c r="X272" s="5">
        <f>VLOOKUP(W272,'Win Methods'!$C$4:$F$4992,4,FALSE)</f>
        <v>0</v>
      </c>
      <c r="Y272" s="5" t="str">
        <f t="shared" si="15"/>
        <v>main-23|freeplayA-2|||||||| x 1</v>
      </c>
    </row>
    <row r="273" spans="2:25">
      <c r="B273" s="5">
        <v>270</v>
      </c>
      <c r="C273" s="5">
        <f t="shared" si="14"/>
        <v>40</v>
      </c>
      <c r="D273" s="4">
        <v>1</v>
      </c>
      <c r="E273" s="6" t="s">
        <v>221</v>
      </c>
      <c r="F273" s="5">
        <f>VLOOKUP(E273,'Win Methods'!$C$4:$F$4992,4,FALSE)</f>
        <v>5</v>
      </c>
      <c r="G273" s="113" t="s">
        <v>267</v>
      </c>
      <c r="H273" s="5">
        <f>VLOOKUP(G273,'Win Methods'!$C$4:$F$4992,4,FALSE)</f>
        <v>35</v>
      </c>
      <c r="I273" s="6"/>
      <c r="J273" s="5">
        <f>VLOOKUP(I273,'Win Methods'!$C$4:$F$4992,4,FALSE)</f>
        <v>0</v>
      </c>
      <c r="K273" s="6"/>
      <c r="L273" s="5">
        <f>VLOOKUP(K273,'Win Methods'!$C$4:$F$4992,4,FALSE)</f>
        <v>0</v>
      </c>
      <c r="M273" s="6"/>
      <c r="N273" s="5">
        <f>VLOOKUP(M273,'Win Methods'!$C$4:$F$4992,4,FALSE)</f>
        <v>0</v>
      </c>
      <c r="O273" s="6"/>
      <c r="P273" s="5">
        <f>VLOOKUP(O273,'Win Methods'!$C$4:$F$4992,4,FALSE)</f>
        <v>0</v>
      </c>
      <c r="Q273" s="6"/>
      <c r="R273" s="5">
        <f>VLOOKUP(Q273,'Win Methods'!$C$4:$F$4992,4,FALSE)</f>
        <v>0</v>
      </c>
      <c r="S273" s="6"/>
      <c r="T273" s="5">
        <f>VLOOKUP(S273,'Win Methods'!$C$4:$F$4992,4,FALSE)</f>
        <v>0</v>
      </c>
      <c r="U273" s="6"/>
      <c r="V273" s="5">
        <f>VLOOKUP(U273,'Win Methods'!$C$4:$F$4992,4,FALSE)</f>
        <v>0</v>
      </c>
      <c r="W273" s="6"/>
      <c r="X273" s="5">
        <f>VLOOKUP(W273,'Win Methods'!$C$4:$F$4992,4,FALSE)</f>
        <v>0</v>
      </c>
      <c r="Y273" s="5" t="str">
        <f t="shared" si="15"/>
        <v>main-13|freeplayA-3|||||||| x 1</v>
      </c>
    </row>
    <row r="274" spans="2:25">
      <c r="B274" s="5">
        <v>271</v>
      </c>
      <c r="C274" s="5">
        <f t="shared" si="14"/>
        <v>33.6</v>
      </c>
      <c r="D274" s="4">
        <v>1</v>
      </c>
      <c r="E274" s="6" t="s">
        <v>232</v>
      </c>
      <c r="F274" s="5">
        <f>VLOOKUP(E274,'Win Methods'!$C$4:$F$4992,4,FALSE)</f>
        <v>15</v>
      </c>
      <c r="G274" s="113" t="s">
        <v>268</v>
      </c>
      <c r="H274" s="5">
        <f>VLOOKUP(G274,'Win Methods'!$C$4:$F$4992,4,FALSE)</f>
        <v>18.600000000000001</v>
      </c>
      <c r="I274" s="6"/>
      <c r="J274" s="5">
        <f>VLOOKUP(I274,'Win Methods'!$C$4:$F$4992,4,FALSE)</f>
        <v>0</v>
      </c>
      <c r="K274" s="6"/>
      <c r="L274" s="5">
        <f>VLOOKUP(K274,'Win Methods'!$C$4:$F$4992,4,FALSE)</f>
        <v>0</v>
      </c>
      <c r="M274" s="6"/>
      <c r="N274" s="5">
        <f>VLOOKUP(M274,'Win Methods'!$C$4:$F$4992,4,FALSE)</f>
        <v>0</v>
      </c>
      <c r="O274" s="6"/>
      <c r="P274" s="5">
        <f>VLOOKUP(O274,'Win Methods'!$C$4:$F$4992,4,FALSE)</f>
        <v>0</v>
      </c>
      <c r="Q274" s="6"/>
      <c r="R274" s="5">
        <f>VLOOKUP(Q274,'Win Methods'!$C$4:$F$4992,4,FALSE)</f>
        <v>0</v>
      </c>
      <c r="S274" s="6"/>
      <c r="T274" s="5">
        <f>VLOOKUP(S274,'Win Methods'!$C$4:$F$4992,4,FALSE)</f>
        <v>0</v>
      </c>
      <c r="U274" s="6"/>
      <c r="V274" s="5">
        <f>VLOOKUP(U274,'Win Methods'!$C$4:$F$4992,4,FALSE)</f>
        <v>0</v>
      </c>
      <c r="W274" s="6"/>
      <c r="X274" s="5">
        <f>VLOOKUP(W274,'Win Methods'!$C$4:$F$4992,4,FALSE)</f>
        <v>0</v>
      </c>
      <c r="Y274" s="5" t="str">
        <f t="shared" si="15"/>
        <v>main-24|freeplayA-4|||||||| x 1</v>
      </c>
    </row>
    <row r="275" spans="2:25">
      <c r="B275" s="5">
        <v>272</v>
      </c>
      <c r="C275" s="5">
        <f t="shared" si="14"/>
        <v>26.799999999999997</v>
      </c>
      <c r="D275" s="4">
        <v>1</v>
      </c>
      <c r="E275" s="6" t="s">
        <v>228</v>
      </c>
      <c r="F275" s="5">
        <f>VLOOKUP(E275,'Win Methods'!$C$4:$F$4992,4,FALSE)</f>
        <v>1.5</v>
      </c>
      <c r="G275" s="113" t="s">
        <v>269</v>
      </c>
      <c r="H275" s="5">
        <f>VLOOKUP(G275,'Win Methods'!$C$4:$F$4992,4,FALSE)</f>
        <v>25.299999999999997</v>
      </c>
      <c r="I275" s="6"/>
      <c r="J275" s="5">
        <f>VLOOKUP(I275,'Win Methods'!$C$4:$F$4992,4,FALSE)</f>
        <v>0</v>
      </c>
      <c r="K275" s="6"/>
      <c r="L275" s="5">
        <f>VLOOKUP(K275,'Win Methods'!$C$4:$F$4992,4,FALSE)</f>
        <v>0</v>
      </c>
      <c r="M275" s="6"/>
      <c r="N275" s="5">
        <f>VLOOKUP(M275,'Win Methods'!$C$4:$F$4992,4,FALSE)</f>
        <v>0</v>
      </c>
      <c r="O275" s="6"/>
      <c r="P275" s="5">
        <f>VLOOKUP(O275,'Win Methods'!$C$4:$F$4992,4,FALSE)</f>
        <v>0</v>
      </c>
      <c r="Q275" s="6"/>
      <c r="R275" s="5">
        <f>VLOOKUP(Q275,'Win Methods'!$C$4:$F$4992,4,FALSE)</f>
        <v>0</v>
      </c>
      <c r="S275" s="6"/>
      <c r="T275" s="5">
        <f>VLOOKUP(S275,'Win Methods'!$C$4:$F$4992,4,FALSE)</f>
        <v>0</v>
      </c>
      <c r="U275" s="6"/>
      <c r="V275" s="5">
        <f>VLOOKUP(U275,'Win Methods'!$C$4:$F$4992,4,FALSE)</f>
        <v>0</v>
      </c>
      <c r="W275" s="6"/>
      <c r="X275" s="5">
        <f>VLOOKUP(W275,'Win Methods'!$C$4:$F$4992,4,FALSE)</f>
        <v>0</v>
      </c>
      <c r="Y275" s="5" t="str">
        <f t="shared" si="15"/>
        <v>main-20|freeplayA-5|||||||| x 1</v>
      </c>
    </row>
    <row r="276" spans="2:25">
      <c r="B276" s="5">
        <v>273</v>
      </c>
      <c r="C276" s="5">
        <f t="shared" si="14"/>
        <v>31.5</v>
      </c>
      <c r="D276" s="4">
        <v>1</v>
      </c>
      <c r="E276" s="6" t="s">
        <v>214</v>
      </c>
      <c r="F276" s="5">
        <f>VLOOKUP(E276,'Win Methods'!$C$4:$F$4992,4,FALSE)</f>
        <v>2.5</v>
      </c>
      <c r="G276" s="113" t="s">
        <v>270</v>
      </c>
      <c r="H276" s="5">
        <f>VLOOKUP(G276,'Win Methods'!$C$4:$F$4992,4,FALSE)</f>
        <v>29</v>
      </c>
      <c r="I276" s="6"/>
      <c r="J276" s="5">
        <f>VLOOKUP(I276,'Win Methods'!$C$4:$F$4992,4,FALSE)</f>
        <v>0</v>
      </c>
      <c r="K276" s="6"/>
      <c r="L276" s="5">
        <f>VLOOKUP(K276,'Win Methods'!$C$4:$F$4992,4,FALSE)</f>
        <v>0</v>
      </c>
      <c r="M276" s="6"/>
      <c r="N276" s="5">
        <f>VLOOKUP(M276,'Win Methods'!$C$4:$F$4992,4,FALSE)</f>
        <v>0</v>
      </c>
      <c r="O276" s="6"/>
      <c r="P276" s="5">
        <f>VLOOKUP(O276,'Win Methods'!$C$4:$F$4992,4,FALSE)</f>
        <v>0</v>
      </c>
      <c r="Q276" s="6"/>
      <c r="R276" s="5">
        <f>VLOOKUP(Q276,'Win Methods'!$C$4:$F$4992,4,FALSE)</f>
        <v>0</v>
      </c>
      <c r="S276" s="6"/>
      <c r="T276" s="5">
        <f>VLOOKUP(S276,'Win Methods'!$C$4:$F$4992,4,FALSE)</f>
        <v>0</v>
      </c>
      <c r="U276" s="6"/>
      <c r="V276" s="5">
        <f>VLOOKUP(U276,'Win Methods'!$C$4:$F$4992,4,FALSE)</f>
        <v>0</v>
      </c>
      <c r="W276" s="6"/>
      <c r="X276" s="5">
        <f>VLOOKUP(W276,'Win Methods'!$C$4:$F$4992,4,FALSE)</f>
        <v>0</v>
      </c>
      <c r="Y276" s="5" t="str">
        <f t="shared" si="15"/>
        <v>main-6|freeplayA-6|||||||| x 1</v>
      </c>
    </row>
    <row r="277" spans="2:25">
      <c r="B277" s="5">
        <v>274</v>
      </c>
      <c r="C277" s="5">
        <f t="shared" si="14"/>
        <v>51.9</v>
      </c>
      <c r="D277" s="4">
        <v>1</v>
      </c>
      <c r="E277" s="6" t="s">
        <v>240</v>
      </c>
      <c r="F277" s="5">
        <f>VLOOKUP(E277,'Win Methods'!$C$4:$F$4992,4,FALSE)</f>
        <v>10</v>
      </c>
      <c r="G277" s="113" t="s">
        <v>271</v>
      </c>
      <c r="H277" s="5">
        <f>VLOOKUP(G277,'Win Methods'!$C$4:$F$4992,4,FALSE)</f>
        <v>41.9</v>
      </c>
      <c r="I277" s="6"/>
      <c r="J277" s="5">
        <f>VLOOKUP(I277,'Win Methods'!$C$4:$F$4992,4,FALSE)</f>
        <v>0</v>
      </c>
      <c r="K277" s="6"/>
      <c r="L277" s="5">
        <f>VLOOKUP(K277,'Win Methods'!$C$4:$F$4992,4,FALSE)</f>
        <v>0</v>
      </c>
      <c r="M277" s="6"/>
      <c r="N277" s="5">
        <f>VLOOKUP(M277,'Win Methods'!$C$4:$F$4992,4,FALSE)</f>
        <v>0</v>
      </c>
      <c r="O277" s="6"/>
      <c r="P277" s="5">
        <f>VLOOKUP(O277,'Win Methods'!$C$4:$F$4992,4,FALSE)</f>
        <v>0</v>
      </c>
      <c r="Q277" s="6"/>
      <c r="R277" s="5">
        <f>VLOOKUP(Q277,'Win Methods'!$C$4:$F$4992,4,FALSE)</f>
        <v>0</v>
      </c>
      <c r="S277" s="6"/>
      <c r="T277" s="5">
        <f>VLOOKUP(S277,'Win Methods'!$C$4:$F$4992,4,FALSE)</f>
        <v>0</v>
      </c>
      <c r="U277" s="6"/>
      <c r="V277" s="5">
        <f>VLOOKUP(U277,'Win Methods'!$C$4:$F$4992,4,FALSE)</f>
        <v>0</v>
      </c>
      <c r="W277" s="6"/>
      <c r="X277" s="5">
        <f>VLOOKUP(W277,'Win Methods'!$C$4:$F$4992,4,FALSE)</f>
        <v>0</v>
      </c>
      <c r="Y277" s="5" t="str">
        <f t="shared" si="15"/>
        <v>main-32|freeplayA-7|||||||| x 1</v>
      </c>
    </row>
    <row r="278" spans="2:25">
      <c r="B278" s="5">
        <v>275</v>
      </c>
      <c r="C278" s="5">
        <f t="shared" si="14"/>
        <v>37</v>
      </c>
      <c r="D278" s="4">
        <v>1</v>
      </c>
      <c r="E278" s="6" t="s">
        <v>222</v>
      </c>
      <c r="F278" s="5">
        <f>VLOOKUP(E278,'Win Methods'!$C$4:$F$4992,4,FALSE)</f>
        <v>10</v>
      </c>
      <c r="G278" s="113" t="s">
        <v>272</v>
      </c>
      <c r="H278" s="5">
        <f>VLOOKUP(G278,'Win Methods'!$C$4:$F$4992,4,FALSE)</f>
        <v>27</v>
      </c>
      <c r="I278" s="6"/>
      <c r="J278" s="5">
        <f>VLOOKUP(I278,'Win Methods'!$C$4:$F$4992,4,FALSE)</f>
        <v>0</v>
      </c>
      <c r="K278" s="6"/>
      <c r="L278" s="5">
        <f>VLOOKUP(K278,'Win Methods'!$C$4:$F$4992,4,FALSE)</f>
        <v>0</v>
      </c>
      <c r="M278" s="6"/>
      <c r="N278" s="5">
        <f>VLOOKUP(M278,'Win Methods'!$C$4:$F$4992,4,FALSE)</f>
        <v>0</v>
      </c>
      <c r="O278" s="6"/>
      <c r="P278" s="5">
        <f>VLOOKUP(O278,'Win Methods'!$C$4:$F$4992,4,FALSE)</f>
        <v>0</v>
      </c>
      <c r="Q278" s="6"/>
      <c r="R278" s="5">
        <f>VLOOKUP(Q278,'Win Methods'!$C$4:$F$4992,4,FALSE)</f>
        <v>0</v>
      </c>
      <c r="S278" s="6"/>
      <c r="T278" s="5">
        <f>VLOOKUP(S278,'Win Methods'!$C$4:$F$4992,4,FALSE)</f>
        <v>0</v>
      </c>
      <c r="U278" s="6"/>
      <c r="V278" s="5">
        <f>VLOOKUP(U278,'Win Methods'!$C$4:$F$4992,4,FALSE)</f>
        <v>0</v>
      </c>
      <c r="W278" s="6"/>
      <c r="X278" s="5">
        <f>VLOOKUP(W278,'Win Methods'!$C$4:$F$4992,4,FALSE)</f>
        <v>0</v>
      </c>
      <c r="Y278" s="5" t="str">
        <f t="shared" si="15"/>
        <v>main-14|freeplayA-8|||||||| x 1</v>
      </c>
    </row>
    <row r="279" spans="2:25">
      <c r="B279" s="5">
        <v>276</v>
      </c>
      <c r="C279" s="5">
        <f t="shared" si="14"/>
        <v>25.7</v>
      </c>
      <c r="D279" s="4">
        <v>1</v>
      </c>
      <c r="E279" s="6" t="s">
        <v>211</v>
      </c>
      <c r="F279" s="5">
        <f>VLOOKUP(E279,'Win Methods'!$C$4:$F$4992,4,FALSE)</f>
        <v>1</v>
      </c>
      <c r="G279" s="113" t="s">
        <v>265</v>
      </c>
      <c r="H279" s="5">
        <f>VLOOKUP(G279,'Win Methods'!$C$4:$F$4992,4,FALSE)</f>
        <v>24.7</v>
      </c>
      <c r="I279" s="6"/>
      <c r="J279" s="5">
        <f>VLOOKUP(I279,'Win Methods'!$C$4:$F$4992,4,FALSE)</f>
        <v>0</v>
      </c>
      <c r="K279" s="6"/>
      <c r="L279" s="5">
        <f>VLOOKUP(K279,'Win Methods'!$C$4:$F$4992,4,FALSE)</f>
        <v>0</v>
      </c>
      <c r="M279" s="6"/>
      <c r="N279" s="5">
        <f>VLOOKUP(M279,'Win Methods'!$C$4:$F$4992,4,FALSE)</f>
        <v>0</v>
      </c>
      <c r="O279" s="6"/>
      <c r="P279" s="5">
        <f>VLOOKUP(O279,'Win Methods'!$C$4:$F$4992,4,FALSE)</f>
        <v>0</v>
      </c>
      <c r="Q279" s="6"/>
      <c r="R279" s="5">
        <f>VLOOKUP(Q279,'Win Methods'!$C$4:$F$4992,4,FALSE)</f>
        <v>0</v>
      </c>
      <c r="S279" s="6"/>
      <c r="T279" s="5">
        <f>VLOOKUP(S279,'Win Methods'!$C$4:$F$4992,4,FALSE)</f>
        <v>0</v>
      </c>
      <c r="U279" s="6"/>
      <c r="V279" s="5">
        <f>VLOOKUP(U279,'Win Methods'!$C$4:$F$4992,4,FALSE)</f>
        <v>0</v>
      </c>
      <c r="W279" s="6"/>
      <c r="X279" s="5">
        <f>VLOOKUP(W279,'Win Methods'!$C$4:$F$4992,4,FALSE)</f>
        <v>0</v>
      </c>
      <c r="Y279" s="5" t="str">
        <f t="shared" si="15"/>
        <v>main-3|freeplayA-1|||||||| x 1</v>
      </c>
    </row>
    <row r="280" spans="2:25">
      <c r="B280" s="5">
        <v>277</v>
      </c>
      <c r="C280" s="5">
        <f t="shared" si="14"/>
        <v>13.399999999999999</v>
      </c>
      <c r="D280" s="4">
        <v>1</v>
      </c>
      <c r="E280" s="6" t="s">
        <v>213</v>
      </c>
      <c r="F280" s="5">
        <f>VLOOKUP(E280,'Win Methods'!$C$4:$F$4992,4,FALSE)</f>
        <v>2</v>
      </c>
      <c r="G280" s="113" t="s">
        <v>266</v>
      </c>
      <c r="H280" s="5">
        <f>VLOOKUP(G280,'Win Methods'!$C$4:$F$4992,4,FALSE)</f>
        <v>11.399999999999999</v>
      </c>
      <c r="I280" s="6"/>
      <c r="J280" s="5">
        <f>VLOOKUP(I280,'Win Methods'!$C$4:$F$4992,4,FALSE)</f>
        <v>0</v>
      </c>
      <c r="K280" s="6"/>
      <c r="L280" s="5">
        <f>VLOOKUP(K280,'Win Methods'!$C$4:$F$4992,4,FALSE)</f>
        <v>0</v>
      </c>
      <c r="M280" s="6"/>
      <c r="N280" s="5">
        <f>VLOOKUP(M280,'Win Methods'!$C$4:$F$4992,4,FALSE)</f>
        <v>0</v>
      </c>
      <c r="O280" s="6"/>
      <c r="P280" s="5">
        <f>VLOOKUP(O280,'Win Methods'!$C$4:$F$4992,4,FALSE)</f>
        <v>0</v>
      </c>
      <c r="Q280" s="6"/>
      <c r="R280" s="5">
        <f>VLOOKUP(Q280,'Win Methods'!$C$4:$F$4992,4,FALSE)</f>
        <v>0</v>
      </c>
      <c r="S280" s="6"/>
      <c r="T280" s="5">
        <f>VLOOKUP(S280,'Win Methods'!$C$4:$F$4992,4,FALSE)</f>
        <v>0</v>
      </c>
      <c r="U280" s="6"/>
      <c r="V280" s="5">
        <f>VLOOKUP(U280,'Win Methods'!$C$4:$F$4992,4,FALSE)</f>
        <v>0</v>
      </c>
      <c r="W280" s="6"/>
      <c r="X280" s="5">
        <f>VLOOKUP(W280,'Win Methods'!$C$4:$F$4992,4,FALSE)</f>
        <v>0</v>
      </c>
      <c r="Y280" s="5" t="str">
        <f t="shared" si="15"/>
        <v>main-5|freeplayA-2|||||||| x 1</v>
      </c>
    </row>
    <row r="281" spans="2:25">
      <c r="B281" s="5">
        <v>278</v>
      </c>
      <c r="C281" s="5">
        <f t="shared" si="14"/>
        <v>55</v>
      </c>
      <c r="D281" s="4">
        <v>1</v>
      </c>
      <c r="E281" s="6" t="s">
        <v>224</v>
      </c>
      <c r="F281" s="5">
        <f>VLOOKUP(E281,'Win Methods'!$C$4:$F$4992,4,FALSE)</f>
        <v>20</v>
      </c>
      <c r="G281" s="113" t="s">
        <v>267</v>
      </c>
      <c r="H281" s="5">
        <f>VLOOKUP(G281,'Win Methods'!$C$4:$F$4992,4,FALSE)</f>
        <v>35</v>
      </c>
      <c r="I281" s="6"/>
      <c r="J281" s="5">
        <f>VLOOKUP(I281,'Win Methods'!$C$4:$F$4992,4,FALSE)</f>
        <v>0</v>
      </c>
      <c r="K281" s="6"/>
      <c r="L281" s="5">
        <f>VLOOKUP(K281,'Win Methods'!$C$4:$F$4992,4,FALSE)</f>
        <v>0</v>
      </c>
      <c r="M281" s="6"/>
      <c r="N281" s="5">
        <f>VLOOKUP(M281,'Win Methods'!$C$4:$F$4992,4,FALSE)</f>
        <v>0</v>
      </c>
      <c r="O281" s="6"/>
      <c r="P281" s="5">
        <f>VLOOKUP(O281,'Win Methods'!$C$4:$F$4992,4,FALSE)</f>
        <v>0</v>
      </c>
      <c r="Q281" s="6"/>
      <c r="R281" s="5">
        <f>VLOOKUP(Q281,'Win Methods'!$C$4:$F$4992,4,FALSE)</f>
        <v>0</v>
      </c>
      <c r="S281" s="6"/>
      <c r="T281" s="5">
        <f>VLOOKUP(S281,'Win Methods'!$C$4:$F$4992,4,FALSE)</f>
        <v>0</v>
      </c>
      <c r="U281" s="6"/>
      <c r="V281" s="5">
        <f>VLOOKUP(U281,'Win Methods'!$C$4:$F$4992,4,FALSE)</f>
        <v>0</v>
      </c>
      <c r="W281" s="6"/>
      <c r="X281" s="5">
        <f>VLOOKUP(W281,'Win Methods'!$C$4:$F$4992,4,FALSE)</f>
        <v>0</v>
      </c>
      <c r="Y281" s="5" t="str">
        <f t="shared" si="15"/>
        <v>main-16|freeplayA-3|||||||| x 1</v>
      </c>
    </row>
    <row r="282" spans="2:25">
      <c r="B282" s="5">
        <v>279</v>
      </c>
      <c r="C282" s="5">
        <f t="shared" si="14"/>
        <v>38.6</v>
      </c>
      <c r="D282" s="4">
        <v>1</v>
      </c>
      <c r="E282" s="6" t="s">
        <v>233</v>
      </c>
      <c r="F282" s="5">
        <f>VLOOKUP(E282,'Win Methods'!$C$4:$F$4992,4,FALSE)</f>
        <v>20</v>
      </c>
      <c r="G282" s="113" t="s">
        <v>268</v>
      </c>
      <c r="H282" s="5">
        <f>VLOOKUP(G282,'Win Methods'!$C$4:$F$4992,4,FALSE)</f>
        <v>18.600000000000001</v>
      </c>
      <c r="I282" s="6"/>
      <c r="J282" s="5">
        <f>VLOOKUP(I282,'Win Methods'!$C$4:$F$4992,4,FALSE)</f>
        <v>0</v>
      </c>
      <c r="K282" s="6"/>
      <c r="L282" s="5">
        <f>VLOOKUP(K282,'Win Methods'!$C$4:$F$4992,4,FALSE)</f>
        <v>0</v>
      </c>
      <c r="M282" s="6"/>
      <c r="N282" s="5">
        <f>VLOOKUP(M282,'Win Methods'!$C$4:$F$4992,4,FALSE)</f>
        <v>0</v>
      </c>
      <c r="O282" s="6"/>
      <c r="P282" s="5">
        <f>VLOOKUP(O282,'Win Methods'!$C$4:$F$4992,4,FALSE)</f>
        <v>0</v>
      </c>
      <c r="Q282" s="6"/>
      <c r="R282" s="5">
        <f>VLOOKUP(Q282,'Win Methods'!$C$4:$F$4992,4,FALSE)</f>
        <v>0</v>
      </c>
      <c r="S282" s="6"/>
      <c r="T282" s="5">
        <f>VLOOKUP(S282,'Win Methods'!$C$4:$F$4992,4,FALSE)</f>
        <v>0</v>
      </c>
      <c r="U282" s="6"/>
      <c r="V282" s="5">
        <f>VLOOKUP(U282,'Win Methods'!$C$4:$F$4992,4,FALSE)</f>
        <v>0</v>
      </c>
      <c r="W282" s="6"/>
      <c r="X282" s="5">
        <f>VLOOKUP(W282,'Win Methods'!$C$4:$F$4992,4,FALSE)</f>
        <v>0</v>
      </c>
      <c r="Y282" s="5" t="str">
        <f t="shared" si="15"/>
        <v>main-25|freeplayA-4|||||||| x 1</v>
      </c>
    </row>
    <row r="283" spans="2:25">
      <c r="B283" s="5">
        <v>280</v>
      </c>
      <c r="C283" s="5">
        <f t="shared" si="14"/>
        <v>31.3</v>
      </c>
      <c r="D283" s="4">
        <v>1</v>
      </c>
      <c r="E283" s="6" t="s">
        <v>223</v>
      </c>
      <c r="F283" s="5">
        <f>VLOOKUP(E283,'Win Methods'!$C$4:$F$4992,4,FALSE)</f>
        <v>15</v>
      </c>
      <c r="G283" s="113" t="s">
        <v>264</v>
      </c>
      <c r="H283" s="5">
        <f>VLOOKUP(G283,'Win Methods'!$C$4:$F$4992,4,FALSE)</f>
        <v>16.3</v>
      </c>
      <c r="I283" s="6"/>
      <c r="J283" s="5">
        <f>VLOOKUP(I283,'Win Methods'!$C$4:$F$4992,4,FALSE)</f>
        <v>0</v>
      </c>
      <c r="K283" s="6"/>
      <c r="L283" s="5">
        <f>VLOOKUP(K283,'Win Methods'!$C$4:$F$4992,4,FALSE)</f>
        <v>0</v>
      </c>
      <c r="M283" s="6"/>
      <c r="N283" s="5">
        <f>VLOOKUP(M283,'Win Methods'!$C$4:$F$4992,4,FALSE)</f>
        <v>0</v>
      </c>
      <c r="O283" s="6"/>
      <c r="P283" s="5">
        <f>VLOOKUP(O283,'Win Methods'!$C$4:$F$4992,4,FALSE)</f>
        <v>0</v>
      </c>
      <c r="Q283" s="6"/>
      <c r="R283" s="5">
        <f>VLOOKUP(Q283,'Win Methods'!$C$4:$F$4992,4,FALSE)</f>
        <v>0</v>
      </c>
      <c r="S283" s="6"/>
      <c r="T283" s="5">
        <f>VLOOKUP(S283,'Win Methods'!$C$4:$F$4992,4,FALSE)</f>
        <v>0</v>
      </c>
      <c r="U283" s="6"/>
      <c r="V283" s="5">
        <f>VLOOKUP(U283,'Win Methods'!$C$4:$F$4992,4,FALSE)</f>
        <v>0</v>
      </c>
      <c r="W283" s="6"/>
      <c r="X283" s="5">
        <f>VLOOKUP(W283,'Win Methods'!$C$4:$F$4992,4,FALSE)</f>
        <v>0</v>
      </c>
      <c r="Y283" s="5" t="str">
        <f t="shared" si="15"/>
        <v>main-15|freeplayA-0|||||||| x 1</v>
      </c>
    </row>
    <row r="284" spans="2:25">
      <c r="B284" s="5">
        <v>281</v>
      </c>
      <c r="C284" s="5">
        <f t="shared" si="14"/>
        <v>19.200000000000003</v>
      </c>
      <c r="D284" s="4">
        <v>1</v>
      </c>
      <c r="E284" s="6" t="s">
        <v>208</v>
      </c>
      <c r="F284" s="5">
        <f>VLOOKUP(E284,'Win Methods'!$C$4:$F$4992,4,FALSE)</f>
        <v>0.1</v>
      </c>
      <c r="G284" s="6" t="s">
        <v>210</v>
      </c>
      <c r="H284" s="5">
        <f>VLOOKUP(G284,'Win Methods'!$C$4:$F$4992,4,FALSE)</f>
        <v>0.5</v>
      </c>
      <c r="I284" s="113" t="s">
        <v>268</v>
      </c>
      <c r="J284" s="5">
        <f>VLOOKUP(I284,'Win Methods'!$C$4:$F$4992,4,FALSE)</f>
        <v>18.600000000000001</v>
      </c>
      <c r="K284" s="6"/>
      <c r="L284" s="5">
        <f>VLOOKUP(K284,'Win Methods'!$C$4:$F$4992,4,FALSE)</f>
        <v>0</v>
      </c>
      <c r="M284" s="6"/>
      <c r="N284" s="5">
        <f>VLOOKUP(M284,'Win Methods'!$C$4:$F$4992,4,FALSE)</f>
        <v>0</v>
      </c>
      <c r="O284" s="6"/>
      <c r="P284" s="5">
        <f>VLOOKUP(O284,'Win Methods'!$C$4:$F$4992,4,FALSE)</f>
        <v>0</v>
      </c>
      <c r="Q284" s="6"/>
      <c r="R284" s="5">
        <f>VLOOKUP(Q284,'Win Methods'!$C$4:$F$4992,4,FALSE)</f>
        <v>0</v>
      </c>
      <c r="S284" s="6"/>
      <c r="T284" s="5">
        <f>VLOOKUP(S284,'Win Methods'!$C$4:$F$4992,4,FALSE)</f>
        <v>0</v>
      </c>
      <c r="U284" s="6"/>
      <c r="V284" s="5">
        <f>VLOOKUP(U284,'Win Methods'!$C$4:$F$4992,4,FALSE)</f>
        <v>0</v>
      </c>
      <c r="W284" s="6"/>
      <c r="X284" s="5">
        <f>VLOOKUP(W284,'Win Methods'!$C$4:$F$4992,4,FALSE)</f>
        <v>0</v>
      </c>
      <c r="Y284" s="5" t="str">
        <f t="shared" si="15"/>
        <v>main-0|main-2|freeplayA-4||||||| x 1</v>
      </c>
    </row>
    <row r="285" spans="2:25">
      <c r="B285" s="5">
        <v>282</v>
      </c>
      <c r="C285" s="5">
        <f t="shared" si="14"/>
        <v>27.299999999999997</v>
      </c>
      <c r="D285" s="4">
        <v>1</v>
      </c>
      <c r="E285" s="6" t="s">
        <v>219</v>
      </c>
      <c r="F285" s="5">
        <f>VLOOKUP(E285,'Win Methods'!$C$4:$F$4992,4,FALSE)</f>
        <v>1.5</v>
      </c>
      <c r="G285" s="6" t="s">
        <v>210</v>
      </c>
      <c r="H285" s="5">
        <f>VLOOKUP(G285,'Win Methods'!$C$4:$F$4992,4,FALSE)</f>
        <v>0.5</v>
      </c>
      <c r="I285" s="113" t="s">
        <v>269</v>
      </c>
      <c r="J285" s="5">
        <f>VLOOKUP(I285,'Win Methods'!$C$4:$F$4992,4,FALSE)</f>
        <v>25.299999999999997</v>
      </c>
      <c r="K285" s="6"/>
      <c r="L285" s="5">
        <f>VLOOKUP(K285,'Win Methods'!$C$4:$F$4992,4,FALSE)</f>
        <v>0</v>
      </c>
      <c r="M285" s="6"/>
      <c r="N285" s="5">
        <f>VLOOKUP(M285,'Win Methods'!$C$4:$F$4992,4,FALSE)</f>
        <v>0</v>
      </c>
      <c r="O285" s="6"/>
      <c r="P285" s="5">
        <f>VLOOKUP(O285,'Win Methods'!$C$4:$F$4992,4,FALSE)</f>
        <v>0</v>
      </c>
      <c r="Q285" s="6"/>
      <c r="R285" s="5">
        <f>VLOOKUP(Q285,'Win Methods'!$C$4:$F$4992,4,FALSE)</f>
        <v>0</v>
      </c>
      <c r="S285" s="6"/>
      <c r="T285" s="5">
        <f>VLOOKUP(S285,'Win Methods'!$C$4:$F$4992,4,FALSE)</f>
        <v>0</v>
      </c>
      <c r="U285" s="6"/>
      <c r="V285" s="5">
        <f>VLOOKUP(U285,'Win Methods'!$C$4:$F$4992,4,FALSE)</f>
        <v>0</v>
      </c>
      <c r="W285" s="6"/>
      <c r="X285" s="5">
        <f>VLOOKUP(W285,'Win Methods'!$C$4:$F$4992,4,FALSE)</f>
        <v>0</v>
      </c>
      <c r="Y285" s="5" t="str">
        <f t="shared" si="15"/>
        <v>main-11|main-2|freeplayA-5||||||| x 1</v>
      </c>
    </row>
    <row r="286" spans="2:25">
      <c r="B286" s="5">
        <v>283</v>
      </c>
      <c r="C286" s="5">
        <f t="shared" si="14"/>
        <v>30.5</v>
      </c>
      <c r="D286" s="4">
        <v>1</v>
      </c>
      <c r="E286" s="6" t="s">
        <v>211</v>
      </c>
      <c r="F286" s="5">
        <f>VLOOKUP(E286,'Win Methods'!$C$4:$F$4992,4,FALSE)</f>
        <v>1</v>
      </c>
      <c r="G286" s="6" t="s">
        <v>210</v>
      </c>
      <c r="H286" s="5">
        <f>VLOOKUP(G286,'Win Methods'!$C$4:$F$4992,4,FALSE)</f>
        <v>0.5</v>
      </c>
      <c r="I286" s="113" t="s">
        <v>270</v>
      </c>
      <c r="J286" s="5">
        <f>VLOOKUP(I286,'Win Methods'!$C$4:$F$4992,4,FALSE)</f>
        <v>29</v>
      </c>
      <c r="K286" s="6"/>
      <c r="L286" s="5">
        <f>VLOOKUP(K286,'Win Methods'!$C$4:$F$4992,4,FALSE)</f>
        <v>0</v>
      </c>
      <c r="M286" s="6"/>
      <c r="N286" s="5">
        <f>VLOOKUP(M286,'Win Methods'!$C$4:$F$4992,4,FALSE)</f>
        <v>0</v>
      </c>
      <c r="O286" s="6"/>
      <c r="P286" s="5">
        <f>VLOOKUP(O286,'Win Methods'!$C$4:$F$4992,4,FALSE)</f>
        <v>0</v>
      </c>
      <c r="Q286" s="6"/>
      <c r="R286" s="5">
        <f>VLOOKUP(Q286,'Win Methods'!$C$4:$F$4992,4,FALSE)</f>
        <v>0</v>
      </c>
      <c r="S286" s="6"/>
      <c r="T286" s="5">
        <f>VLOOKUP(S286,'Win Methods'!$C$4:$F$4992,4,FALSE)</f>
        <v>0</v>
      </c>
      <c r="U286" s="6"/>
      <c r="V286" s="5">
        <f>VLOOKUP(U286,'Win Methods'!$C$4:$F$4992,4,FALSE)</f>
        <v>0</v>
      </c>
      <c r="W286" s="6"/>
      <c r="X286" s="5">
        <f>VLOOKUP(W286,'Win Methods'!$C$4:$F$4992,4,FALSE)</f>
        <v>0</v>
      </c>
      <c r="Y286" s="5" t="str">
        <f t="shared" si="15"/>
        <v>main-3|main-2|freeplayA-6||||||| x 1</v>
      </c>
    </row>
    <row r="287" spans="2:25">
      <c r="B287" s="5">
        <v>284</v>
      </c>
      <c r="C287" s="5">
        <f t="shared" si="14"/>
        <v>44.9</v>
      </c>
      <c r="D287" s="4">
        <v>1</v>
      </c>
      <c r="E287" s="6" t="s">
        <v>211</v>
      </c>
      <c r="F287" s="5">
        <f>VLOOKUP(E287,'Win Methods'!$C$4:$F$4992,4,FALSE)</f>
        <v>1</v>
      </c>
      <c r="G287" s="6" t="s">
        <v>229</v>
      </c>
      <c r="H287" s="5">
        <f>VLOOKUP(G287,'Win Methods'!$C$4:$F$4992,4,FALSE)</f>
        <v>2</v>
      </c>
      <c r="I287" s="113" t="s">
        <v>271</v>
      </c>
      <c r="J287" s="5">
        <f>VLOOKUP(I287,'Win Methods'!$C$4:$F$4992,4,FALSE)</f>
        <v>41.9</v>
      </c>
      <c r="K287" s="6"/>
      <c r="L287" s="5">
        <f>VLOOKUP(K287,'Win Methods'!$C$4:$F$4992,4,FALSE)</f>
        <v>0</v>
      </c>
      <c r="M287" s="6"/>
      <c r="N287" s="5">
        <f>VLOOKUP(M287,'Win Methods'!$C$4:$F$4992,4,FALSE)</f>
        <v>0</v>
      </c>
      <c r="O287" s="6"/>
      <c r="P287" s="5">
        <f>VLOOKUP(O287,'Win Methods'!$C$4:$F$4992,4,FALSE)</f>
        <v>0</v>
      </c>
      <c r="Q287" s="6"/>
      <c r="R287" s="5">
        <f>VLOOKUP(Q287,'Win Methods'!$C$4:$F$4992,4,FALSE)</f>
        <v>0</v>
      </c>
      <c r="S287" s="6"/>
      <c r="T287" s="5">
        <f>VLOOKUP(S287,'Win Methods'!$C$4:$F$4992,4,FALSE)</f>
        <v>0</v>
      </c>
      <c r="U287" s="6"/>
      <c r="V287" s="5">
        <f>VLOOKUP(U287,'Win Methods'!$C$4:$F$4992,4,FALSE)</f>
        <v>0</v>
      </c>
      <c r="W287" s="6"/>
      <c r="X287" s="5">
        <f>VLOOKUP(W287,'Win Methods'!$C$4:$F$4992,4,FALSE)</f>
        <v>0</v>
      </c>
      <c r="Y287" s="5" t="str">
        <f t="shared" si="15"/>
        <v>main-3|main-21|freeplayA-7||||||| x 1</v>
      </c>
    </row>
    <row r="288" spans="2:25">
      <c r="B288" s="5">
        <v>285</v>
      </c>
      <c r="C288" s="5">
        <f t="shared" si="14"/>
        <v>29.5</v>
      </c>
      <c r="D288" s="4">
        <v>1</v>
      </c>
      <c r="E288" s="6" t="s">
        <v>210</v>
      </c>
      <c r="F288" s="5">
        <f>VLOOKUP(E288,'Win Methods'!$C$4:$F$4992,4,FALSE)</f>
        <v>0.5</v>
      </c>
      <c r="G288" s="6" t="s">
        <v>213</v>
      </c>
      <c r="H288" s="5">
        <f>VLOOKUP(G288,'Win Methods'!$C$4:$F$4992,4,FALSE)</f>
        <v>2</v>
      </c>
      <c r="I288" s="113" t="s">
        <v>272</v>
      </c>
      <c r="J288" s="5">
        <f>VLOOKUP(I288,'Win Methods'!$C$4:$F$4992,4,FALSE)</f>
        <v>27</v>
      </c>
      <c r="K288" s="6"/>
      <c r="L288" s="5">
        <f>VLOOKUP(K288,'Win Methods'!$C$4:$F$4992,4,FALSE)</f>
        <v>0</v>
      </c>
      <c r="M288" s="6"/>
      <c r="N288" s="5">
        <f>VLOOKUP(M288,'Win Methods'!$C$4:$F$4992,4,FALSE)</f>
        <v>0</v>
      </c>
      <c r="O288" s="6"/>
      <c r="P288" s="5">
        <f>VLOOKUP(O288,'Win Methods'!$C$4:$F$4992,4,FALSE)</f>
        <v>0</v>
      </c>
      <c r="Q288" s="6"/>
      <c r="R288" s="5">
        <f>VLOOKUP(Q288,'Win Methods'!$C$4:$F$4992,4,FALSE)</f>
        <v>0</v>
      </c>
      <c r="S288" s="6"/>
      <c r="T288" s="5">
        <f>VLOOKUP(S288,'Win Methods'!$C$4:$F$4992,4,FALSE)</f>
        <v>0</v>
      </c>
      <c r="U288" s="6"/>
      <c r="V288" s="5">
        <f>VLOOKUP(U288,'Win Methods'!$C$4:$F$4992,4,FALSE)</f>
        <v>0</v>
      </c>
      <c r="W288" s="6"/>
      <c r="X288" s="5">
        <f>VLOOKUP(W288,'Win Methods'!$C$4:$F$4992,4,FALSE)</f>
        <v>0</v>
      </c>
      <c r="Y288" s="5" t="str">
        <f t="shared" si="15"/>
        <v>main-2|main-5|freeplayA-8||||||| x 1</v>
      </c>
    </row>
    <row r="289" spans="2:25">
      <c r="B289" s="5">
        <v>286</v>
      </c>
      <c r="C289" s="5">
        <f t="shared" si="14"/>
        <v>50.599999999999994</v>
      </c>
      <c r="D289" s="4">
        <v>1</v>
      </c>
      <c r="E289" s="6" t="s">
        <v>212</v>
      </c>
      <c r="F289" s="5">
        <f>VLOOKUP(E289,'Win Methods'!$C$4:$F$4992,4,FALSE)</f>
        <v>1.5</v>
      </c>
      <c r="G289" s="6" t="s">
        <v>230</v>
      </c>
      <c r="H289" s="5">
        <f>VLOOKUP(G289,'Win Methods'!$C$4:$F$4992,4,FALSE)</f>
        <v>5</v>
      </c>
      <c r="I289" s="113" t="s">
        <v>273</v>
      </c>
      <c r="J289" s="5">
        <f>VLOOKUP(I289,'Win Methods'!$C$4:$F$4992,4,FALSE)</f>
        <v>44.099999999999994</v>
      </c>
      <c r="K289" s="6"/>
      <c r="L289" s="5">
        <f>VLOOKUP(K289,'Win Methods'!$C$4:$F$4992,4,FALSE)</f>
        <v>0</v>
      </c>
      <c r="M289" s="6"/>
      <c r="N289" s="5">
        <f>VLOOKUP(M289,'Win Methods'!$C$4:$F$4992,4,FALSE)</f>
        <v>0</v>
      </c>
      <c r="O289" s="6"/>
      <c r="P289" s="5">
        <f>VLOOKUP(O289,'Win Methods'!$C$4:$F$4992,4,FALSE)</f>
        <v>0</v>
      </c>
      <c r="Q289" s="6"/>
      <c r="R289" s="5">
        <f>VLOOKUP(Q289,'Win Methods'!$C$4:$F$4992,4,FALSE)</f>
        <v>0</v>
      </c>
      <c r="S289" s="6"/>
      <c r="T289" s="5">
        <f>VLOOKUP(S289,'Win Methods'!$C$4:$F$4992,4,FALSE)</f>
        <v>0</v>
      </c>
      <c r="U289" s="6"/>
      <c r="V289" s="5">
        <f>VLOOKUP(U289,'Win Methods'!$C$4:$F$4992,4,FALSE)</f>
        <v>0</v>
      </c>
      <c r="W289" s="6"/>
      <c r="X289" s="5">
        <f>VLOOKUP(W289,'Win Methods'!$C$4:$F$4992,4,FALSE)</f>
        <v>0</v>
      </c>
      <c r="Y289" s="5" t="str">
        <f t="shared" si="15"/>
        <v>main-4|main-22|freeplayA-9||||||| x 1</v>
      </c>
    </row>
    <row r="290" spans="2:25">
      <c r="B290" s="5">
        <v>287</v>
      </c>
      <c r="C290" s="5">
        <f t="shared" si="14"/>
        <v>19</v>
      </c>
      <c r="D290" s="4">
        <v>1</v>
      </c>
      <c r="E290" s="6" t="s">
        <v>212</v>
      </c>
      <c r="F290" s="5">
        <f>VLOOKUP(E290,'Win Methods'!$C$4:$F$4992,4,FALSE)</f>
        <v>1.5</v>
      </c>
      <c r="G290" s="6" t="s">
        <v>212</v>
      </c>
      <c r="H290" s="5">
        <f>VLOOKUP(G290,'Win Methods'!$C$4:$F$4992,4,FALSE)</f>
        <v>1.5</v>
      </c>
      <c r="I290" s="113" t="s">
        <v>274</v>
      </c>
      <c r="J290" s="5">
        <f>VLOOKUP(I290,'Win Methods'!$C$4:$F$4992,4,FALSE)</f>
        <v>16</v>
      </c>
      <c r="K290" s="6"/>
      <c r="L290" s="5">
        <f>VLOOKUP(K290,'Win Methods'!$C$4:$F$4992,4,FALSE)</f>
        <v>0</v>
      </c>
      <c r="M290" s="6"/>
      <c r="N290" s="5">
        <f>VLOOKUP(M290,'Win Methods'!$C$4:$F$4992,4,FALSE)</f>
        <v>0</v>
      </c>
      <c r="O290" s="6"/>
      <c r="P290" s="5">
        <f>VLOOKUP(O290,'Win Methods'!$C$4:$F$4992,4,FALSE)</f>
        <v>0</v>
      </c>
      <c r="Q290" s="6"/>
      <c r="R290" s="5">
        <f>VLOOKUP(Q290,'Win Methods'!$C$4:$F$4992,4,FALSE)</f>
        <v>0</v>
      </c>
      <c r="S290" s="6"/>
      <c r="T290" s="5">
        <f>VLOOKUP(S290,'Win Methods'!$C$4:$F$4992,4,FALSE)</f>
        <v>0</v>
      </c>
      <c r="U290" s="6"/>
      <c r="V290" s="5">
        <f>VLOOKUP(U290,'Win Methods'!$C$4:$F$4992,4,FALSE)</f>
        <v>0</v>
      </c>
      <c r="W290" s="6"/>
      <c r="X290" s="5">
        <f>VLOOKUP(W290,'Win Methods'!$C$4:$F$4992,4,FALSE)</f>
        <v>0</v>
      </c>
      <c r="Y290" s="5" t="str">
        <f t="shared" si="15"/>
        <v>main-4|main-4|freeplayA-10||||||| x 1</v>
      </c>
    </row>
    <row r="291" spans="2:25">
      <c r="B291" s="5">
        <v>288</v>
      </c>
      <c r="C291" s="5">
        <f t="shared" ref="C291:C314" si="16">(F291+H291+J291+L291+N291+P291+R291+T291+V291+X291)*D291</f>
        <v>33.200000000000003</v>
      </c>
      <c r="D291" s="4">
        <v>1</v>
      </c>
      <c r="E291" s="6" t="s">
        <v>212</v>
      </c>
      <c r="F291" s="5">
        <f>VLOOKUP(E291,'Win Methods'!$C$4:$F$4992,4,FALSE)</f>
        <v>1.5</v>
      </c>
      <c r="G291" s="6" t="s">
        <v>213</v>
      </c>
      <c r="H291" s="5">
        <f>VLOOKUP(G291,'Win Methods'!$C$4:$F$4992,4,FALSE)</f>
        <v>2</v>
      </c>
      <c r="I291" s="6" t="s">
        <v>221</v>
      </c>
      <c r="J291" s="5">
        <f>VLOOKUP(I291,'Win Methods'!$C$4:$F$4992,4,FALSE)</f>
        <v>5</v>
      </c>
      <c r="K291" s="113" t="s">
        <v>265</v>
      </c>
      <c r="L291" s="5">
        <f>VLOOKUP(K291,'Win Methods'!$C$4:$F$4992,4,FALSE)</f>
        <v>24.7</v>
      </c>
      <c r="M291" s="6"/>
      <c r="N291" s="5">
        <f>VLOOKUP(M291,'Win Methods'!$C$4:$F$4992,4,FALSE)</f>
        <v>0</v>
      </c>
      <c r="O291" s="6"/>
      <c r="P291" s="5">
        <f>VLOOKUP(O291,'Win Methods'!$C$4:$F$4992,4,FALSE)</f>
        <v>0</v>
      </c>
      <c r="Q291" s="6"/>
      <c r="R291" s="5">
        <f>VLOOKUP(Q291,'Win Methods'!$C$4:$F$4992,4,FALSE)</f>
        <v>0</v>
      </c>
      <c r="S291" s="6"/>
      <c r="T291" s="5">
        <f>VLOOKUP(S291,'Win Methods'!$C$4:$F$4992,4,FALSE)</f>
        <v>0</v>
      </c>
      <c r="U291" s="6"/>
      <c r="V291" s="5">
        <f>VLOOKUP(U291,'Win Methods'!$C$4:$F$4992,4,FALSE)</f>
        <v>0</v>
      </c>
      <c r="W291" s="6"/>
      <c r="X291" s="5">
        <f>VLOOKUP(W291,'Win Methods'!$C$4:$F$4992,4,FALSE)</f>
        <v>0</v>
      </c>
      <c r="Y291" s="5" t="str">
        <f t="shared" si="15"/>
        <v>main-4|main-5|main-13|freeplayA-1|||||| x 1</v>
      </c>
    </row>
    <row r="292" spans="2:25">
      <c r="B292" s="5">
        <v>289</v>
      </c>
      <c r="C292" s="5">
        <f t="shared" si="16"/>
        <v>28.4</v>
      </c>
      <c r="D292" s="4">
        <v>1</v>
      </c>
      <c r="E292" s="6" t="s">
        <v>212</v>
      </c>
      <c r="F292" s="5">
        <f>VLOOKUP(E292,'Win Methods'!$C$4:$F$4992,4,FALSE)</f>
        <v>1.5</v>
      </c>
      <c r="G292" s="6" t="s">
        <v>210</v>
      </c>
      <c r="H292" s="5">
        <f>VLOOKUP(G292,'Win Methods'!$C$4:$F$4992,4,FALSE)</f>
        <v>0.5</v>
      </c>
      <c r="I292" s="6" t="s">
        <v>232</v>
      </c>
      <c r="J292" s="5">
        <f>VLOOKUP(I292,'Win Methods'!$C$4:$F$4992,4,FALSE)</f>
        <v>15</v>
      </c>
      <c r="K292" s="113" t="s">
        <v>266</v>
      </c>
      <c r="L292" s="5">
        <f>VLOOKUP(K292,'Win Methods'!$C$4:$F$4992,4,FALSE)</f>
        <v>11.399999999999999</v>
      </c>
      <c r="M292" s="6"/>
      <c r="N292" s="5">
        <f>VLOOKUP(M292,'Win Methods'!$C$4:$F$4992,4,FALSE)</f>
        <v>0</v>
      </c>
      <c r="O292" s="6"/>
      <c r="P292" s="5">
        <f>VLOOKUP(O292,'Win Methods'!$C$4:$F$4992,4,FALSE)</f>
        <v>0</v>
      </c>
      <c r="Q292" s="6"/>
      <c r="R292" s="5">
        <f>VLOOKUP(Q292,'Win Methods'!$C$4:$F$4992,4,FALSE)</f>
        <v>0</v>
      </c>
      <c r="S292" s="6"/>
      <c r="T292" s="5">
        <f>VLOOKUP(S292,'Win Methods'!$C$4:$F$4992,4,FALSE)</f>
        <v>0</v>
      </c>
      <c r="U292" s="6"/>
      <c r="V292" s="5">
        <f>VLOOKUP(U292,'Win Methods'!$C$4:$F$4992,4,FALSE)</f>
        <v>0</v>
      </c>
      <c r="W292" s="6"/>
      <c r="X292" s="5">
        <f>VLOOKUP(W292,'Win Methods'!$C$4:$F$4992,4,FALSE)</f>
        <v>0</v>
      </c>
      <c r="Y292" s="5" t="str">
        <f t="shared" si="15"/>
        <v>main-4|main-2|main-24|freeplayA-2|||||| x 1</v>
      </c>
    </row>
    <row r="293" spans="2:25">
      <c r="B293" s="5">
        <v>290</v>
      </c>
      <c r="C293" s="5">
        <f t="shared" si="16"/>
        <v>60</v>
      </c>
      <c r="D293" s="4">
        <v>1</v>
      </c>
      <c r="E293" s="6" t="s">
        <v>223</v>
      </c>
      <c r="F293" s="5">
        <f>VLOOKUP(E293,'Win Methods'!$C$4:$F$4992,4,FALSE)</f>
        <v>15</v>
      </c>
      <c r="G293" s="6" t="s">
        <v>221</v>
      </c>
      <c r="H293" s="5">
        <f>VLOOKUP(G293,'Win Methods'!$C$4:$F$4992,4,FALSE)</f>
        <v>5</v>
      </c>
      <c r="I293" s="6" t="s">
        <v>221</v>
      </c>
      <c r="J293" s="5">
        <f>VLOOKUP(I293,'Win Methods'!$C$4:$F$4992,4,FALSE)</f>
        <v>5</v>
      </c>
      <c r="K293" s="113" t="s">
        <v>267</v>
      </c>
      <c r="L293" s="5">
        <f>VLOOKUP(K293,'Win Methods'!$C$4:$F$4992,4,FALSE)</f>
        <v>35</v>
      </c>
      <c r="M293" s="6"/>
      <c r="N293" s="5">
        <f>VLOOKUP(M293,'Win Methods'!$C$4:$F$4992,4,FALSE)</f>
        <v>0</v>
      </c>
      <c r="O293" s="6"/>
      <c r="P293" s="5">
        <f>VLOOKUP(O293,'Win Methods'!$C$4:$F$4992,4,FALSE)</f>
        <v>0</v>
      </c>
      <c r="Q293" s="6"/>
      <c r="R293" s="5">
        <f>VLOOKUP(Q293,'Win Methods'!$C$4:$F$4992,4,FALSE)</f>
        <v>0</v>
      </c>
      <c r="S293" s="6"/>
      <c r="T293" s="5">
        <f>VLOOKUP(S293,'Win Methods'!$C$4:$F$4992,4,FALSE)</f>
        <v>0</v>
      </c>
      <c r="U293" s="6"/>
      <c r="V293" s="5">
        <f>VLOOKUP(U293,'Win Methods'!$C$4:$F$4992,4,FALSE)</f>
        <v>0</v>
      </c>
      <c r="W293" s="6"/>
      <c r="X293" s="5">
        <f>VLOOKUP(W293,'Win Methods'!$C$4:$F$4992,4,FALSE)</f>
        <v>0</v>
      </c>
      <c r="Y293" s="5" t="str">
        <f t="shared" si="15"/>
        <v>main-15|main-13|main-13|freeplayA-3|||||| x 1</v>
      </c>
    </row>
    <row r="294" spans="2:25">
      <c r="B294" s="5">
        <v>291</v>
      </c>
      <c r="C294" s="5">
        <f t="shared" si="16"/>
        <v>45.6</v>
      </c>
      <c r="D294" s="4">
        <v>1</v>
      </c>
      <c r="E294" s="6" t="s">
        <v>238</v>
      </c>
      <c r="F294" s="5">
        <f>VLOOKUP(E294,'Win Methods'!$C$4:$F$4992,4,FALSE)</f>
        <v>2</v>
      </c>
      <c r="G294" s="6" t="s">
        <v>222</v>
      </c>
      <c r="H294" s="5">
        <f>VLOOKUP(G294,'Win Methods'!$C$4:$F$4992,4,FALSE)</f>
        <v>10</v>
      </c>
      <c r="I294" s="6" t="s">
        <v>223</v>
      </c>
      <c r="J294" s="5">
        <f>VLOOKUP(I294,'Win Methods'!$C$4:$F$4992,4,FALSE)</f>
        <v>15</v>
      </c>
      <c r="K294" s="113" t="s">
        <v>268</v>
      </c>
      <c r="L294" s="5">
        <f>VLOOKUP(K294,'Win Methods'!$C$4:$F$4992,4,FALSE)</f>
        <v>18.600000000000001</v>
      </c>
      <c r="M294" s="6"/>
      <c r="N294" s="5">
        <f>VLOOKUP(M294,'Win Methods'!$C$4:$F$4992,4,FALSE)</f>
        <v>0</v>
      </c>
      <c r="O294" s="6"/>
      <c r="P294" s="5">
        <f>VLOOKUP(O294,'Win Methods'!$C$4:$F$4992,4,FALSE)</f>
        <v>0</v>
      </c>
      <c r="Q294" s="6"/>
      <c r="R294" s="5">
        <f>VLOOKUP(Q294,'Win Methods'!$C$4:$F$4992,4,FALSE)</f>
        <v>0</v>
      </c>
      <c r="S294" s="6"/>
      <c r="T294" s="5">
        <f>VLOOKUP(S294,'Win Methods'!$C$4:$F$4992,4,FALSE)</f>
        <v>0</v>
      </c>
      <c r="U294" s="6"/>
      <c r="V294" s="5">
        <f>VLOOKUP(U294,'Win Methods'!$C$4:$F$4992,4,FALSE)</f>
        <v>0</v>
      </c>
      <c r="W294" s="6"/>
      <c r="X294" s="5">
        <f>VLOOKUP(W294,'Win Methods'!$C$4:$F$4992,4,FALSE)</f>
        <v>0</v>
      </c>
      <c r="Y294" s="5" t="str">
        <f t="shared" si="15"/>
        <v>main-30|main-14|main-15|freeplayA-4|||||| x 1</v>
      </c>
    </row>
    <row r="295" spans="2:25">
      <c r="B295" s="5">
        <v>292</v>
      </c>
      <c r="C295" s="5">
        <f t="shared" si="16"/>
        <v>30.299999999999997</v>
      </c>
      <c r="D295" s="4">
        <v>1</v>
      </c>
      <c r="E295" s="6" t="s">
        <v>210</v>
      </c>
      <c r="F295" s="5">
        <f>VLOOKUP(E295,'Win Methods'!$C$4:$F$4992,4,FALSE)</f>
        <v>0.5</v>
      </c>
      <c r="G295" s="6" t="s">
        <v>215</v>
      </c>
      <c r="H295" s="5">
        <f>VLOOKUP(G295,'Win Methods'!$C$4:$F$4992,4,FALSE)</f>
        <v>3</v>
      </c>
      <c r="I295" s="6" t="s">
        <v>212</v>
      </c>
      <c r="J295" s="5">
        <f>VLOOKUP(I295,'Win Methods'!$C$4:$F$4992,4,FALSE)</f>
        <v>1.5</v>
      </c>
      <c r="K295" s="113" t="s">
        <v>269</v>
      </c>
      <c r="L295" s="5">
        <f>VLOOKUP(K295,'Win Methods'!$C$4:$F$4992,4,FALSE)</f>
        <v>25.299999999999997</v>
      </c>
      <c r="M295" s="6"/>
      <c r="N295" s="5">
        <f>VLOOKUP(M295,'Win Methods'!$C$4:$F$4992,4,FALSE)</f>
        <v>0</v>
      </c>
      <c r="O295" s="6"/>
      <c r="P295" s="5">
        <f>VLOOKUP(O295,'Win Methods'!$C$4:$F$4992,4,FALSE)</f>
        <v>0</v>
      </c>
      <c r="Q295" s="6"/>
      <c r="R295" s="5">
        <f>VLOOKUP(Q295,'Win Methods'!$C$4:$F$4992,4,FALSE)</f>
        <v>0</v>
      </c>
      <c r="S295" s="6"/>
      <c r="T295" s="5">
        <f>VLOOKUP(S295,'Win Methods'!$C$4:$F$4992,4,FALSE)</f>
        <v>0</v>
      </c>
      <c r="U295" s="6"/>
      <c r="V295" s="5">
        <f>VLOOKUP(U295,'Win Methods'!$C$4:$F$4992,4,FALSE)</f>
        <v>0</v>
      </c>
      <c r="W295" s="6"/>
      <c r="X295" s="5">
        <f>VLOOKUP(W295,'Win Methods'!$C$4:$F$4992,4,FALSE)</f>
        <v>0</v>
      </c>
      <c r="Y295" s="5" t="str">
        <f t="shared" si="15"/>
        <v>main-2|main-7|main-4|freeplayA-5|||||| x 1</v>
      </c>
    </row>
    <row r="296" spans="2:25">
      <c r="B296" s="5">
        <v>293</v>
      </c>
      <c r="C296" s="5">
        <f t="shared" si="16"/>
        <v>55.5</v>
      </c>
      <c r="D296" s="4">
        <v>1</v>
      </c>
      <c r="E296" s="6" t="s">
        <v>219</v>
      </c>
      <c r="F296" s="5">
        <f>VLOOKUP(E296,'Win Methods'!$C$4:$F$4992,4,FALSE)</f>
        <v>1.5</v>
      </c>
      <c r="G296" s="6" t="s">
        <v>233</v>
      </c>
      <c r="H296" s="5">
        <f>VLOOKUP(G296,'Win Methods'!$C$4:$F$4992,4,FALSE)</f>
        <v>20</v>
      </c>
      <c r="I296" s="6" t="s">
        <v>239</v>
      </c>
      <c r="J296" s="5">
        <f>VLOOKUP(I296,'Win Methods'!$C$4:$F$4992,4,FALSE)</f>
        <v>5</v>
      </c>
      <c r="K296" s="113" t="s">
        <v>270</v>
      </c>
      <c r="L296" s="5">
        <f>VLOOKUP(K296,'Win Methods'!$C$4:$F$4992,4,FALSE)</f>
        <v>29</v>
      </c>
      <c r="M296" s="6"/>
      <c r="N296" s="5">
        <f>VLOOKUP(M296,'Win Methods'!$C$4:$F$4992,4,FALSE)</f>
        <v>0</v>
      </c>
      <c r="O296" s="6"/>
      <c r="P296" s="5">
        <f>VLOOKUP(O296,'Win Methods'!$C$4:$F$4992,4,FALSE)</f>
        <v>0</v>
      </c>
      <c r="Q296" s="6"/>
      <c r="R296" s="5">
        <f>VLOOKUP(Q296,'Win Methods'!$C$4:$F$4992,4,FALSE)</f>
        <v>0</v>
      </c>
      <c r="S296" s="6"/>
      <c r="T296" s="5">
        <f>VLOOKUP(S296,'Win Methods'!$C$4:$F$4992,4,FALSE)</f>
        <v>0</v>
      </c>
      <c r="U296" s="6"/>
      <c r="V296" s="5">
        <f>VLOOKUP(U296,'Win Methods'!$C$4:$F$4992,4,FALSE)</f>
        <v>0</v>
      </c>
      <c r="W296" s="6"/>
      <c r="X296" s="5">
        <f>VLOOKUP(W296,'Win Methods'!$C$4:$F$4992,4,FALSE)</f>
        <v>0</v>
      </c>
      <c r="Y296" s="5" t="str">
        <f t="shared" si="15"/>
        <v>main-11|main-25|main-31|freeplayA-6|||||| x 1</v>
      </c>
    </row>
    <row r="297" spans="2:25">
      <c r="B297" s="5">
        <v>294</v>
      </c>
      <c r="C297" s="5">
        <f t="shared" si="16"/>
        <v>65.900000000000006</v>
      </c>
      <c r="D297" s="4">
        <v>1</v>
      </c>
      <c r="E297" s="6" t="s">
        <v>213</v>
      </c>
      <c r="F297" s="5">
        <f>VLOOKUP(E297,'Win Methods'!$C$4:$F$4992,4,FALSE)</f>
        <v>2</v>
      </c>
      <c r="G297" s="6" t="s">
        <v>233</v>
      </c>
      <c r="H297" s="5">
        <f>VLOOKUP(G297,'Win Methods'!$C$4:$F$4992,4,FALSE)</f>
        <v>20</v>
      </c>
      <c r="I297" s="6" t="s">
        <v>220</v>
      </c>
      <c r="J297" s="5">
        <f>VLOOKUP(I297,'Win Methods'!$C$4:$F$4992,4,FALSE)</f>
        <v>2</v>
      </c>
      <c r="K297" s="113" t="s">
        <v>271</v>
      </c>
      <c r="L297" s="5">
        <f>VLOOKUP(K297,'Win Methods'!$C$4:$F$4992,4,FALSE)</f>
        <v>41.9</v>
      </c>
      <c r="M297" s="6"/>
      <c r="N297" s="5">
        <f>VLOOKUP(M297,'Win Methods'!$C$4:$F$4992,4,FALSE)</f>
        <v>0</v>
      </c>
      <c r="O297" s="6"/>
      <c r="P297" s="5">
        <f>VLOOKUP(O297,'Win Methods'!$C$4:$F$4992,4,FALSE)</f>
        <v>0</v>
      </c>
      <c r="Q297" s="6"/>
      <c r="R297" s="5">
        <f>VLOOKUP(Q297,'Win Methods'!$C$4:$F$4992,4,FALSE)</f>
        <v>0</v>
      </c>
      <c r="S297" s="6"/>
      <c r="T297" s="5">
        <f>VLOOKUP(S297,'Win Methods'!$C$4:$F$4992,4,FALSE)</f>
        <v>0</v>
      </c>
      <c r="U297" s="6"/>
      <c r="V297" s="5">
        <f>VLOOKUP(U297,'Win Methods'!$C$4:$F$4992,4,FALSE)</f>
        <v>0</v>
      </c>
      <c r="W297" s="6"/>
      <c r="X297" s="5">
        <f>VLOOKUP(W297,'Win Methods'!$C$4:$F$4992,4,FALSE)</f>
        <v>0</v>
      </c>
      <c r="Y297" s="5" t="str">
        <f t="shared" si="15"/>
        <v>main-5|main-25|main-12|freeplayA-7|||||| x 1</v>
      </c>
    </row>
    <row r="298" spans="2:25">
      <c r="B298" s="5">
        <v>295</v>
      </c>
      <c r="C298" s="5">
        <f t="shared" si="16"/>
        <v>63</v>
      </c>
      <c r="D298" s="4">
        <v>1</v>
      </c>
      <c r="E298" s="6" t="s">
        <v>211</v>
      </c>
      <c r="F298" s="5">
        <f>VLOOKUP(E298,'Win Methods'!$C$4:$F$4992,4,FALSE)</f>
        <v>1</v>
      </c>
      <c r="G298" s="6" t="s">
        <v>241</v>
      </c>
      <c r="H298" s="5">
        <f>VLOOKUP(G298,'Win Methods'!$C$4:$F$4992,4,FALSE)</f>
        <v>15</v>
      </c>
      <c r="I298" s="6" t="s">
        <v>224</v>
      </c>
      <c r="J298" s="5">
        <f>VLOOKUP(I298,'Win Methods'!$C$4:$F$4992,4,FALSE)</f>
        <v>20</v>
      </c>
      <c r="K298" s="113" t="s">
        <v>272</v>
      </c>
      <c r="L298" s="5">
        <f>VLOOKUP(K298,'Win Methods'!$C$4:$F$4992,4,FALSE)</f>
        <v>27</v>
      </c>
      <c r="M298" s="6"/>
      <c r="N298" s="5">
        <f>VLOOKUP(M298,'Win Methods'!$C$4:$F$4992,4,FALSE)</f>
        <v>0</v>
      </c>
      <c r="O298" s="6"/>
      <c r="P298" s="5">
        <f>VLOOKUP(O298,'Win Methods'!$C$4:$F$4992,4,FALSE)</f>
        <v>0</v>
      </c>
      <c r="Q298" s="6"/>
      <c r="R298" s="5">
        <f>VLOOKUP(Q298,'Win Methods'!$C$4:$F$4992,4,FALSE)</f>
        <v>0</v>
      </c>
      <c r="S298" s="6"/>
      <c r="T298" s="5">
        <f>VLOOKUP(S298,'Win Methods'!$C$4:$F$4992,4,FALSE)</f>
        <v>0</v>
      </c>
      <c r="U298" s="6"/>
      <c r="V298" s="5">
        <f>VLOOKUP(U298,'Win Methods'!$C$4:$F$4992,4,FALSE)</f>
        <v>0</v>
      </c>
      <c r="W298" s="6"/>
      <c r="X298" s="5">
        <f>VLOOKUP(W298,'Win Methods'!$C$4:$F$4992,4,FALSE)</f>
        <v>0</v>
      </c>
      <c r="Y298" s="5" t="str">
        <f t="shared" si="15"/>
        <v>main-3|main-33|main-16|freeplayA-8|||||| x 1</v>
      </c>
    </row>
    <row r="299" spans="2:25">
      <c r="B299" s="5">
        <v>296</v>
      </c>
      <c r="C299" s="5">
        <f t="shared" si="16"/>
        <v>51.599999999999994</v>
      </c>
      <c r="D299" s="4">
        <v>1</v>
      </c>
      <c r="E299" s="6" t="s">
        <v>238</v>
      </c>
      <c r="F299" s="5">
        <f>VLOOKUP(E299,'Win Methods'!$C$4:$F$4992,4,FALSE)</f>
        <v>2</v>
      </c>
      <c r="G299" s="6" t="s">
        <v>214</v>
      </c>
      <c r="H299" s="5">
        <f>VLOOKUP(G299,'Win Methods'!$C$4:$F$4992,4,FALSE)</f>
        <v>2.5</v>
      </c>
      <c r="I299" s="6" t="s">
        <v>215</v>
      </c>
      <c r="J299" s="5">
        <f>VLOOKUP(I299,'Win Methods'!$C$4:$F$4992,4,FALSE)</f>
        <v>3</v>
      </c>
      <c r="K299" s="113" t="s">
        <v>273</v>
      </c>
      <c r="L299" s="5">
        <f>VLOOKUP(K299,'Win Methods'!$C$4:$F$4992,4,FALSE)</f>
        <v>44.099999999999994</v>
      </c>
      <c r="M299" s="6"/>
      <c r="N299" s="5">
        <f>VLOOKUP(M299,'Win Methods'!$C$4:$F$4992,4,FALSE)</f>
        <v>0</v>
      </c>
      <c r="O299" s="6"/>
      <c r="P299" s="5">
        <f>VLOOKUP(O299,'Win Methods'!$C$4:$F$4992,4,FALSE)</f>
        <v>0</v>
      </c>
      <c r="Q299" s="6"/>
      <c r="R299" s="5">
        <f>VLOOKUP(Q299,'Win Methods'!$C$4:$F$4992,4,FALSE)</f>
        <v>0</v>
      </c>
      <c r="S299" s="6"/>
      <c r="T299" s="5">
        <f>VLOOKUP(S299,'Win Methods'!$C$4:$F$4992,4,FALSE)</f>
        <v>0</v>
      </c>
      <c r="U299" s="6"/>
      <c r="V299" s="5">
        <f>VLOOKUP(U299,'Win Methods'!$C$4:$F$4992,4,FALSE)</f>
        <v>0</v>
      </c>
      <c r="W299" s="6"/>
      <c r="X299" s="5">
        <f>VLOOKUP(W299,'Win Methods'!$C$4:$F$4992,4,FALSE)</f>
        <v>0</v>
      </c>
      <c r="Y299" s="5" t="str">
        <f t="shared" si="15"/>
        <v>main-30|main-6|main-7|freeplayA-9|||||| x 1</v>
      </c>
    </row>
    <row r="300" spans="2:25">
      <c r="B300" s="5">
        <v>297</v>
      </c>
      <c r="C300" s="5">
        <f t="shared" si="16"/>
        <v>41</v>
      </c>
      <c r="D300" s="4">
        <v>1</v>
      </c>
      <c r="E300" s="6" t="s">
        <v>229</v>
      </c>
      <c r="F300" s="5">
        <f>VLOOKUP(E300,'Win Methods'!$C$4:$F$4992,4,FALSE)</f>
        <v>2</v>
      </c>
      <c r="G300" s="6" t="s">
        <v>233</v>
      </c>
      <c r="H300" s="5">
        <f>VLOOKUP(G300,'Win Methods'!$C$4:$F$4992,4,FALSE)</f>
        <v>20</v>
      </c>
      <c r="I300" s="6" t="s">
        <v>215</v>
      </c>
      <c r="J300" s="5">
        <f>VLOOKUP(I300,'Win Methods'!$C$4:$F$4992,4,FALSE)</f>
        <v>3</v>
      </c>
      <c r="K300" s="113" t="s">
        <v>274</v>
      </c>
      <c r="L300" s="5">
        <f>VLOOKUP(K300,'Win Methods'!$C$4:$F$4992,4,FALSE)</f>
        <v>16</v>
      </c>
      <c r="M300" s="6"/>
      <c r="N300" s="5">
        <f>VLOOKUP(M300,'Win Methods'!$C$4:$F$4992,4,FALSE)</f>
        <v>0</v>
      </c>
      <c r="O300" s="6"/>
      <c r="P300" s="5">
        <f>VLOOKUP(O300,'Win Methods'!$C$4:$F$4992,4,FALSE)</f>
        <v>0</v>
      </c>
      <c r="Q300" s="6"/>
      <c r="R300" s="5">
        <f>VLOOKUP(Q300,'Win Methods'!$C$4:$F$4992,4,FALSE)</f>
        <v>0</v>
      </c>
      <c r="S300" s="6"/>
      <c r="T300" s="5">
        <f>VLOOKUP(S300,'Win Methods'!$C$4:$F$4992,4,FALSE)</f>
        <v>0</v>
      </c>
      <c r="U300" s="6"/>
      <c r="V300" s="5">
        <f>VLOOKUP(U300,'Win Methods'!$C$4:$F$4992,4,FALSE)</f>
        <v>0</v>
      </c>
      <c r="W300" s="6"/>
      <c r="X300" s="5">
        <f>VLOOKUP(W300,'Win Methods'!$C$4:$F$4992,4,FALSE)</f>
        <v>0</v>
      </c>
      <c r="Y300" s="5" t="str">
        <f t="shared" si="15"/>
        <v>main-21|main-25|main-7|freeplayA-10|||||| x 1</v>
      </c>
    </row>
    <row r="301" spans="2:25">
      <c r="B301" s="5">
        <v>298</v>
      </c>
      <c r="C301" s="5">
        <f t="shared" si="16"/>
        <v>60.6</v>
      </c>
      <c r="D301" s="4">
        <v>1</v>
      </c>
      <c r="E301" s="6" t="s">
        <v>213</v>
      </c>
      <c r="F301" s="5">
        <f>VLOOKUP(E301,'Win Methods'!$C$4:$F$4992,4,FALSE)</f>
        <v>2</v>
      </c>
      <c r="G301" s="6" t="s">
        <v>233</v>
      </c>
      <c r="H301" s="5">
        <f>VLOOKUP(G301,'Win Methods'!$C$4:$F$4992,4,FALSE)</f>
        <v>20</v>
      </c>
      <c r="I301" s="6" t="s">
        <v>233</v>
      </c>
      <c r="J301" s="5">
        <f>VLOOKUP(I301,'Win Methods'!$C$4:$F$4992,4,FALSE)</f>
        <v>20</v>
      </c>
      <c r="K301" s="113" t="s">
        <v>268</v>
      </c>
      <c r="L301" s="5">
        <f>VLOOKUP(K301,'Win Methods'!$C$4:$F$4992,4,FALSE)</f>
        <v>18.600000000000001</v>
      </c>
      <c r="M301" s="6"/>
      <c r="N301" s="5">
        <f>VLOOKUP(M301,'Win Methods'!$C$4:$F$4992,4,FALSE)</f>
        <v>0</v>
      </c>
      <c r="O301" s="6"/>
      <c r="P301" s="5">
        <f>VLOOKUP(O301,'Win Methods'!$C$4:$F$4992,4,FALSE)</f>
        <v>0</v>
      </c>
      <c r="Q301" s="6"/>
      <c r="R301" s="5">
        <f>VLOOKUP(Q301,'Win Methods'!$C$4:$F$4992,4,FALSE)</f>
        <v>0</v>
      </c>
      <c r="S301" s="6"/>
      <c r="T301" s="5">
        <f>VLOOKUP(S301,'Win Methods'!$C$4:$F$4992,4,FALSE)</f>
        <v>0</v>
      </c>
      <c r="U301" s="6"/>
      <c r="V301" s="5">
        <f>VLOOKUP(U301,'Win Methods'!$C$4:$F$4992,4,FALSE)</f>
        <v>0</v>
      </c>
      <c r="W301" s="6"/>
      <c r="X301" s="5">
        <f>VLOOKUP(W301,'Win Methods'!$C$4:$F$4992,4,FALSE)</f>
        <v>0</v>
      </c>
      <c r="Y301" s="5" t="str">
        <f t="shared" si="15"/>
        <v>main-5|main-25|main-25|freeplayA-4|||||| x 1</v>
      </c>
    </row>
    <row r="302" spans="2:25">
      <c r="B302" s="5">
        <v>299</v>
      </c>
      <c r="C302" s="5">
        <f t="shared" si="16"/>
        <v>38.6</v>
      </c>
      <c r="D302" s="4">
        <v>1</v>
      </c>
      <c r="E302" s="6" t="s">
        <v>213</v>
      </c>
      <c r="F302" s="5">
        <f>VLOOKUP(E302,'Win Methods'!$C$4:$F$4992,4,FALSE)</f>
        <v>2</v>
      </c>
      <c r="G302" s="6" t="s">
        <v>211</v>
      </c>
      <c r="H302" s="5">
        <f>VLOOKUP(G302,'Win Methods'!$C$4:$F$4992,4,FALSE)</f>
        <v>1</v>
      </c>
      <c r="I302" s="6" t="s">
        <v>213</v>
      </c>
      <c r="J302" s="5">
        <f>VLOOKUP(I302,'Win Methods'!$C$4:$F$4992,4,FALSE)</f>
        <v>2</v>
      </c>
      <c r="K302" s="6" t="s">
        <v>223</v>
      </c>
      <c r="L302" s="5">
        <f>VLOOKUP(K302,'Win Methods'!$C$4:$F$4992,4,FALSE)</f>
        <v>15</v>
      </c>
      <c r="M302" s="113" t="s">
        <v>268</v>
      </c>
      <c r="N302" s="5">
        <f>VLOOKUP(M302,'Win Methods'!$C$4:$F$4992,4,FALSE)</f>
        <v>18.600000000000001</v>
      </c>
      <c r="O302" s="6"/>
      <c r="P302" s="5">
        <f>VLOOKUP(O302,'Win Methods'!$C$4:$F$4992,4,FALSE)</f>
        <v>0</v>
      </c>
      <c r="Q302" s="6"/>
      <c r="R302" s="5">
        <f>VLOOKUP(Q302,'Win Methods'!$C$4:$F$4992,4,FALSE)</f>
        <v>0</v>
      </c>
      <c r="S302" s="6"/>
      <c r="T302" s="5">
        <f>VLOOKUP(S302,'Win Methods'!$C$4:$F$4992,4,FALSE)</f>
        <v>0</v>
      </c>
      <c r="U302" s="6"/>
      <c r="V302" s="5">
        <f>VLOOKUP(U302,'Win Methods'!$C$4:$F$4992,4,FALSE)</f>
        <v>0</v>
      </c>
      <c r="W302" s="6"/>
      <c r="X302" s="5">
        <f>VLOOKUP(W302,'Win Methods'!$C$4:$F$4992,4,FALSE)</f>
        <v>0</v>
      </c>
      <c r="Y302" s="5" t="str">
        <f t="shared" si="15"/>
        <v>main-5|main-3|main-5|main-15|freeplayA-4||||| x 1</v>
      </c>
    </row>
    <row r="303" spans="2:25">
      <c r="B303" s="5">
        <v>300</v>
      </c>
      <c r="C303" s="5">
        <f t="shared" si="16"/>
        <v>57.3</v>
      </c>
      <c r="D303" s="4">
        <v>1</v>
      </c>
      <c r="E303" s="6" t="s">
        <v>213</v>
      </c>
      <c r="F303" s="5">
        <f>VLOOKUP(E303,'Win Methods'!$C$4:$F$4992,4,FALSE)</f>
        <v>2</v>
      </c>
      <c r="G303" s="6" t="s">
        <v>221</v>
      </c>
      <c r="H303" s="5">
        <f>VLOOKUP(G303,'Win Methods'!$C$4:$F$4992,4,FALSE)</f>
        <v>5</v>
      </c>
      <c r="I303" s="6" t="s">
        <v>233</v>
      </c>
      <c r="J303" s="5">
        <f>VLOOKUP(I303,'Win Methods'!$C$4:$F$4992,4,FALSE)</f>
        <v>20</v>
      </c>
      <c r="K303" s="6" t="s">
        <v>230</v>
      </c>
      <c r="L303" s="5">
        <f>VLOOKUP(K303,'Win Methods'!$C$4:$F$4992,4,FALSE)</f>
        <v>5</v>
      </c>
      <c r="M303" s="113" t="s">
        <v>269</v>
      </c>
      <c r="N303" s="5">
        <f>VLOOKUP(M303,'Win Methods'!$C$4:$F$4992,4,FALSE)</f>
        <v>25.299999999999997</v>
      </c>
      <c r="O303" s="6"/>
      <c r="P303" s="5">
        <f>VLOOKUP(O303,'Win Methods'!$C$4:$F$4992,4,FALSE)</f>
        <v>0</v>
      </c>
      <c r="Q303" s="6"/>
      <c r="R303" s="5">
        <f>VLOOKUP(Q303,'Win Methods'!$C$4:$F$4992,4,FALSE)</f>
        <v>0</v>
      </c>
      <c r="S303" s="6"/>
      <c r="T303" s="5">
        <f>VLOOKUP(S303,'Win Methods'!$C$4:$F$4992,4,FALSE)</f>
        <v>0</v>
      </c>
      <c r="U303" s="6"/>
      <c r="V303" s="5">
        <f>VLOOKUP(U303,'Win Methods'!$C$4:$F$4992,4,FALSE)</f>
        <v>0</v>
      </c>
      <c r="W303" s="6"/>
      <c r="X303" s="5">
        <f>VLOOKUP(W303,'Win Methods'!$C$4:$F$4992,4,FALSE)</f>
        <v>0</v>
      </c>
      <c r="Y303" s="5" t="str">
        <f t="shared" si="15"/>
        <v>main-5|main-13|main-25|main-22|freeplayA-5||||| x 1</v>
      </c>
    </row>
    <row r="304" spans="2:25">
      <c r="B304" s="5">
        <v>301</v>
      </c>
      <c r="C304" s="5">
        <f t="shared" si="16"/>
        <v>79</v>
      </c>
      <c r="D304" s="4">
        <v>1</v>
      </c>
      <c r="E304" s="6" t="s">
        <v>230</v>
      </c>
      <c r="F304" s="5">
        <f>VLOOKUP(E304,'Win Methods'!$C$4:$F$4992,4,FALSE)</f>
        <v>5</v>
      </c>
      <c r="G304" s="6" t="s">
        <v>221</v>
      </c>
      <c r="H304" s="5">
        <f>VLOOKUP(G304,'Win Methods'!$C$4:$F$4992,4,FALSE)</f>
        <v>5</v>
      </c>
      <c r="I304" s="6" t="s">
        <v>242</v>
      </c>
      <c r="J304" s="5">
        <f>VLOOKUP(I304,'Win Methods'!$C$4:$F$4992,4,FALSE)</f>
        <v>20</v>
      </c>
      <c r="K304" s="6" t="s">
        <v>233</v>
      </c>
      <c r="L304" s="5">
        <f>VLOOKUP(K304,'Win Methods'!$C$4:$F$4992,4,FALSE)</f>
        <v>20</v>
      </c>
      <c r="M304" s="113" t="s">
        <v>270</v>
      </c>
      <c r="N304" s="5">
        <f>VLOOKUP(M304,'Win Methods'!$C$4:$F$4992,4,FALSE)</f>
        <v>29</v>
      </c>
      <c r="O304" s="6"/>
      <c r="P304" s="5">
        <f>VLOOKUP(O304,'Win Methods'!$C$4:$F$4992,4,FALSE)</f>
        <v>0</v>
      </c>
      <c r="Q304" s="6"/>
      <c r="R304" s="5">
        <f>VLOOKUP(Q304,'Win Methods'!$C$4:$F$4992,4,FALSE)</f>
        <v>0</v>
      </c>
      <c r="S304" s="6"/>
      <c r="T304" s="5">
        <f>VLOOKUP(S304,'Win Methods'!$C$4:$F$4992,4,FALSE)</f>
        <v>0</v>
      </c>
      <c r="U304" s="6"/>
      <c r="V304" s="5">
        <f>VLOOKUP(U304,'Win Methods'!$C$4:$F$4992,4,FALSE)</f>
        <v>0</v>
      </c>
      <c r="W304" s="6"/>
      <c r="X304" s="5">
        <f>VLOOKUP(W304,'Win Methods'!$C$4:$F$4992,4,FALSE)</f>
        <v>0</v>
      </c>
      <c r="Y304" s="5" t="str">
        <f t="shared" si="15"/>
        <v>main-22|main-13|main-34|main-25|freeplayA-6||||| x 1</v>
      </c>
    </row>
    <row r="305" spans="1:25">
      <c r="B305" s="5">
        <v>302</v>
      </c>
      <c r="C305" s="5">
        <f t="shared" si="16"/>
        <v>46.4</v>
      </c>
      <c r="D305" s="4">
        <v>1</v>
      </c>
      <c r="E305" s="6" t="s">
        <v>211</v>
      </c>
      <c r="F305" s="5">
        <f>VLOOKUP(E305,'Win Methods'!$C$4:$F$4992,4,FALSE)</f>
        <v>1</v>
      </c>
      <c r="G305" s="6" t="s">
        <v>220</v>
      </c>
      <c r="H305" s="5">
        <f>VLOOKUP(G305,'Win Methods'!$C$4:$F$4992,4,FALSE)</f>
        <v>2</v>
      </c>
      <c r="I305" s="6" t="s">
        <v>211</v>
      </c>
      <c r="J305" s="5">
        <f>VLOOKUP(I305,'Win Methods'!$C$4:$F$4992,4,FALSE)</f>
        <v>1</v>
      </c>
      <c r="K305" s="6" t="s">
        <v>210</v>
      </c>
      <c r="L305" s="5">
        <f>VLOOKUP(K305,'Win Methods'!$C$4:$F$4992,4,FALSE)</f>
        <v>0.5</v>
      </c>
      <c r="M305" s="113" t="s">
        <v>271</v>
      </c>
      <c r="N305" s="5">
        <f>VLOOKUP(M305,'Win Methods'!$C$4:$F$4992,4,FALSE)</f>
        <v>41.9</v>
      </c>
      <c r="O305" s="6"/>
      <c r="P305" s="5">
        <f>VLOOKUP(O305,'Win Methods'!$C$4:$F$4992,4,FALSE)</f>
        <v>0</v>
      </c>
      <c r="Q305" s="6"/>
      <c r="R305" s="5">
        <f>VLOOKUP(Q305,'Win Methods'!$C$4:$F$4992,4,FALSE)</f>
        <v>0</v>
      </c>
      <c r="S305" s="6"/>
      <c r="T305" s="5">
        <f>VLOOKUP(S305,'Win Methods'!$C$4:$F$4992,4,FALSE)</f>
        <v>0</v>
      </c>
      <c r="U305" s="6"/>
      <c r="V305" s="5">
        <f>VLOOKUP(U305,'Win Methods'!$C$4:$F$4992,4,FALSE)</f>
        <v>0</v>
      </c>
      <c r="W305" s="6"/>
      <c r="X305" s="5">
        <f>VLOOKUP(W305,'Win Methods'!$C$4:$F$4992,4,FALSE)</f>
        <v>0</v>
      </c>
      <c r="Y305" s="5" t="str">
        <f t="shared" si="15"/>
        <v>main-3|main-12|main-3|main-2|freeplayA-7||||| x 1</v>
      </c>
    </row>
    <row r="306" spans="1:25">
      <c r="B306" s="5">
        <v>303</v>
      </c>
      <c r="C306" s="5">
        <f t="shared" si="16"/>
        <v>37</v>
      </c>
      <c r="D306" s="4">
        <v>1</v>
      </c>
      <c r="E306" s="6" t="s">
        <v>216</v>
      </c>
      <c r="F306" s="5">
        <f>VLOOKUP(E306,'Win Methods'!$C$4:$F$4992,4,FALSE)</f>
        <v>5</v>
      </c>
      <c r="G306" s="6" t="s">
        <v>213</v>
      </c>
      <c r="H306" s="5">
        <f>VLOOKUP(G306,'Win Methods'!$C$4:$F$4992,4,FALSE)</f>
        <v>2</v>
      </c>
      <c r="I306" s="6" t="s">
        <v>220</v>
      </c>
      <c r="J306" s="5">
        <f>VLOOKUP(I306,'Win Methods'!$C$4:$F$4992,4,FALSE)</f>
        <v>2</v>
      </c>
      <c r="K306" s="6" t="s">
        <v>211</v>
      </c>
      <c r="L306" s="5">
        <f>VLOOKUP(K306,'Win Methods'!$C$4:$F$4992,4,FALSE)</f>
        <v>1</v>
      </c>
      <c r="M306" s="113" t="s">
        <v>272</v>
      </c>
      <c r="N306" s="5">
        <f>VLOOKUP(M306,'Win Methods'!$C$4:$F$4992,4,FALSE)</f>
        <v>27</v>
      </c>
      <c r="O306" s="6"/>
      <c r="P306" s="5">
        <f>VLOOKUP(O306,'Win Methods'!$C$4:$F$4992,4,FALSE)</f>
        <v>0</v>
      </c>
      <c r="Q306" s="6"/>
      <c r="R306" s="5">
        <f>VLOOKUP(Q306,'Win Methods'!$C$4:$F$4992,4,FALSE)</f>
        <v>0</v>
      </c>
      <c r="S306" s="6"/>
      <c r="T306" s="5">
        <f>VLOOKUP(S306,'Win Methods'!$C$4:$F$4992,4,FALSE)</f>
        <v>0</v>
      </c>
      <c r="U306" s="6"/>
      <c r="V306" s="5">
        <f>VLOOKUP(U306,'Win Methods'!$C$4:$F$4992,4,FALSE)</f>
        <v>0</v>
      </c>
      <c r="W306" s="6"/>
      <c r="X306" s="5">
        <f>VLOOKUP(W306,'Win Methods'!$C$4:$F$4992,4,FALSE)</f>
        <v>0</v>
      </c>
      <c r="Y306" s="5" t="str">
        <f t="shared" si="15"/>
        <v>main-8|main-5|main-12|main-3|freeplayA-8||||| x 1</v>
      </c>
    </row>
    <row r="307" spans="1:25">
      <c r="B307" s="5">
        <v>304</v>
      </c>
      <c r="C307" s="5">
        <f t="shared" si="16"/>
        <v>72.099999999999994</v>
      </c>
      <c r="D307" s="4">
        <v>1</v>
      </c>
      <c r="E307" s="6" t="s">
        <v>217</v>
      </c>
      <c r="F307" s="5">
        <f>VLOOKUP(E307,'Win Methods'!$C$4:$F$4992,4,FALSE)</f>
        <v>10</v>
      </c>
      <c r="G307" s="6" t="s">
        <v>212</v>
      </c>
      <c r="H307" s="5">
        <f>VLOOKUP(G307,'Win Methods'!$C$4:$F$4992,4,FALSE)</f>
        <v>1.5</v>
      </c>
      <c r="I307" s="6" t="s">
        <v>219</v>
      </c>
      <c r="J307" s="5">
        <f>VLOOKUP(I307,'Win Methods'!$C$4:$F$4992,4,FALSE)</f>
        <v>1.5</v>
      </c>
      <c r="K307" s="6" t="s">
        <v>223</v>
      </c>
      <c r="L307" s="5">
        <f>VLOOKUP(K307,'Win Methods'!$C$4:$F$4992,4,FALSE)</f>
        <v>15</v>
      </c>
      <c r="M307" s="113" t="s">
        <v>273</v>
      </c>
      <c r="N307" s="5">
        <f>VLOOKUP(M307,'Win Methods'!$C$4:$F$4992,4,FALSE)</f>
        <v>44.099999999999994</v>
      </c>
      <c r="O307" s="6"/>
      <c r="P307" s="5">
        <f>VLOOKUP(O307,'Win Methods'!$C$4:$F$4992,4,FALSE)</f>
        <v>0</v>
      </c>
      <c r="Q307" s="6"/>
      <c r="R307" s="5">
        <f>VLOOKUP(Q307,'Win Methods'!$C$4:$F$4992,4,FALSE)</f>
        <v>0</v>
      </c>
      <c r="S307" s="6"/>
      <c r="T307" s="5">
        <f>VLOOKUP(S307,'Win Methods'!$C$4:$F$4992,4,FALSE)</f>
        <v>0</v>
      </c>
      <c r="U307" s="6"/>
      <c r="V307" s="5">
        <f>VLOOKUP(U307,'Win Methods'!$C$4:$F$4992,4,FALSE)</f>
        <v>0</v>
      </c>
      <c r="W307" s="6"/>
      <c r="X307" s="5">
        <f>VLOOKUP(W307,'Win Methods'!$C$4:$F$4992,4,FALSE)</f>
        <v>0</v>
      </c>
      <c r="Y307" s="5" t="str">
        <f t="shared" si="15"/>
        <v>main-9|main-4|main-11|main-15|freeplayA-9||||| x 1</v>
      </c>
    </row>
    <row r="308" spans="1:25">
      <c r="B308" s="5">
        <v>305</v>
      </c>
      <c r="C308" s="5">
        <f t="shared" si="16"/>
        <v>43</v>
      </c>
      <c r="D308" s="4">
        <v>1</v>
      </c>
      <c r="E308" s="6" t="s">
        <v>212</v>
      </c>
      <c r="F308" s="5">
        <f>VLOOKUP(E308,'Win Methods'!$C$4:$F$4992,4,FALSE)</f>
        <v>1.5</v>
      </c>
      <c r="G308" s="6" t="s">
        <v>233</v>
      </c>
      <c r="H308" s="5">
        <f>VLOOKUP(G308,'Win Methods'!$C$4:$F$4992,4,FALSE)</f>
        <v>20</v>
      </c>
      <c r="I308" s="6" t="s">
        <v>216</v>
      </c>
      <c r="J308" s="5">
        <f>VLOOKUP(I308,'Win Methods'!$C$4:$F$4992,4,FALSE)</f>
        <v>5</v>
      </c>
      <c r="K308" s="6" t="s">
        <v>210</v>
      </c>
      <c r="L308" s="5">
        <f>VLOOKUP(K308,'Win Methods'!$C$4:$F$4992,4,FALSE)</f>
        <v>0.5</v>
      </c>
      <c r="M308" s="113" t="s">
        <v>274</v>
      </c>
      <c r="N308" s="5">
        <f>VLOOKUP(M308,'Win Methods'!$C$4:$F$4992,4,FALSE)</f>
        <v>16</v>
      </c>
      <c r="O308" s="6"/>
      <c r="P308" s="5">
        <f>VLOOKUP(O308,'Win Methods'!$C$4:$F$4992,4,FALSE)</f>
        <v>0</v>
      </c>
      <c r="Q308" s="6"/>
      <c r="R308" s="5">
        <f>VLOOKUP(Q308,'Win Methods'!$C$4:$F$4992,4,FALSE)</f>
        <v>0</v>
      </c>
      <c r="S308" s="6"/>
      <c r="T308" s="5">
        <f>VLOOKUP(S308,'Win Methods'!$C$4:$F$4992,4,FALSE)</f>
        <v>0</v>
      </c>
      <c r="U308" s="6"/>
      <c r="V308" s="5">
        <f>VLOOKUP(U308,'Win Methods'!$C$4:$F$4992,4,FALSE)</f>
        <v>0</v>
      </c>
      <c r="W308" s="6"/>
      <c r="X308" s="5">
        <f>VLOOKUP(W308,'Win Methods'!$C$4:$F$4992,4,FALSE)</f>
        <v>0</v>
      </c>
      <c r="Y308" s="5" t="str">
        <f t="shared" si="15"/>
        <v>main-4|main-25|main-8|main-2|freeplayA-10||||| x 1</v>
      </c>
    </row>
    <row r="309" spans="1:25">
      <c r="B309" s="5">
        <v>306</v>
      </c>
      <c r="C309" s="5">
        <f t="shared" si="16"/>
        <v>63.5</v>
      </c>
      <c r="D309" s="4">
        <v>1</v>
      </c>
      <c r="E309" s="6" t="s">
        <v>211</v>
      </c>
      <c r="F309" s="5">
        <f>VLOOKUP(E309,'Win Methods'!$C$4:$F$4992,4,FALSE)</f>
        <v>1</v>
      </c>
      <c r="G309" s="6" t="s">
        <v>239</v>
      </c>
      <c r="H309" s="5">
        <f>VLOOKUP(G309,'Win Methods'!$C$4:$F$4992,4,FALSE)</f>
        <v>5</v>
      </c>
      <c r="I309" s="6" t="s">
        <v>212</v>
      </c>
      <c r="J309" s="5">
        <f>VLOOKUP(I309,'Win Methods'!$C$4:$F$4992,4,FALSE)</f>
        <v>1.5</v>
      </c>
      <c r="K309" s="6" t="s">
        <v>224</v>
      </c>
      <c r="L309" s="5">
        <f>VLOOKUP(K309,'Win Methods'!$C$4:$F$4992,4,FALSE)</f>
        <v>20</v>
      </c>
      <c r="M309" s="6" t="s">
        <v>211</v>
      </c>
      <c r="N309" s="5">
        <f>VLOOKUP(M309,'Win Methods'!$C$4:$F$4992,4,FALSE)</f>
        <v>1</v>
      </c>
      <c r="O309" s="113" t="s">
        <v>267</v>
      </c>
      <c r="P309" s="5">
        <f>VLOOKUP(O309,'Win Methods'!$C$4:$F$4992,4,FALSE)</f>
        <v>35</v>
      </c>
      <c r="Q309" s="6"/>
      <c r="R309" s="5">
        <f>VLOOKUP(Q309,'Win Methods'!$C$4:$F$4992,4,FALSE)</f>
        <v>0</v>
      </c>
      <c r="S309" s="6"/>
      <c r="T309" s="5">
        <f>VLOOKUP(S309,'Win Methods'!$C$4:$F$4992,4,FALSE)</f>
        <v>0</v>
      </c>
      <c r="U309" s="6"/>
      <c r="V309" s="5">
        <f>VLOOKUP(U309,'Win Methods'!$C$4:$F$4992,4,FALSE)</f>
        <v>0</v>
      </c>
      <c r="W309" s="6"/>
      <c r="X309" s="5">
        <f>VLOOKUP(W309,'Win Methods'!$C$4:$F$4992,4,FALSE)</f>
        <v>0</v>
      </c>
      <c r="Y309" s="5" t="str">
        <f t="shared" si="15"/>
        <v>main-3|main-31|main-4|main-16|main-3|freeplayA-3|||| x 1</v>
      </c>
    </row>
    <row r="310" spans="1:25">
      <c r="B310" s="5">
        <v>307</v>
      </c>
      <c r="C310" s="5">
        <f t="shared" si="16"/>
        <v>28.6</v>
      </c>
      <c r="D310" s="4">
        <v>1</v>
      </c>
      <c r="E310" s="6" t="s">
        <v>211</v>
      </c>
      <c r="F310" s="5">
        <f>VLOOKUP(E310,'Win Methods'!$C$4:$F$4992,4,FALSE)</f>
        <v>1</v>
      </c>
      <c r="G310" s="6" t="s">
        <v>212</v>
      </c>
      <c r="H310" s="5">
        <f>VLOOKUP(G310,'Win Methods'!$C$4:$F$4992,4,FALSE)</f>
        <v>1.5</v>
      </c>
      <c r="I310" s="6" t="s">
        <v>210</v>
      </c>
      <c r="J310" s="5">
        <f>VLOOKUP(I310,'Win Methods'!$C$4:$F$4992,4,FALSE)</f>
        <v>0.5</v>
      </c>
      <c r="K310" s="6" t="s">
        <v>216</v>
      </c>
      <c r="L310" s="5">
        <f>VLOOKUP(K310,'Win Methods'!$C$4:$F$4992,4,FALSE)</f>
        <v>5</v>
      </c>
      <c r="M310" s="6" t="s">
        <v>213</v>
      </c>
      <c r="N310" s="5">
        <f>VLOOKUP(M310,'Win Methods'!$C$4:$F$4992,4,FALSE)</f>
        <v>2</v>
      </c>
      <c r="O310" s="113" t="s">
        <v>268</v>
      </c>
      <c r="P310" s="5">
        <f>VLOOKUP(O310,'Win Methods'!$C$4:$F$4992,4,FALSE)</f>
        <v>18.600000000000001</v>
      </c>
      <c r="Q310" s="6"/>
      <c r="R310" s="5">
        <f>VLOOKUP(Q310,'Win Methods'!$C$4:$F$4992,4,FALSE)</f>
        <v>0</v>
      </c>
      <c r="S310" s="6"/>
      <c r="T310" s="5">
        <f>VLOOKUP(S310,'Win Methods'!$C$4:$F$4992,4,FALSE)</f>
        <v>0</v>
      </c>
      <c r="U310" s="6"/>
      <c r="V310" s="5">
        <f>VLOOKUP(U310,'Win Methods'!$C$4:$F$4992,4,FALSE)</f>
        <v>0</v>
      </c>
      <c r="W310" s="6"/>
      <c r="X310" s="5">
        <f>VLOOKUP(W310,'Win Methods'!$C$4:$F$4992,4,FALSE)</f>
        <v>0</v>
      </c>
      <c r="Y310" s="5" t="str">
        <f t="shared" si="15"/>
        <v>main-3|main-4|main-2|main-8|main-5|freeplayA-4|||| x 1</v>
      </c>
    </row>
    <row r="311" spans="1:25">
      <c r="B311" s="5">
        <v>308</v>
      </c>
      <c r="C311" s="5">
        <f t="shared" si="16"/>
        <v>49.3</v>
      </c>
      <c r="D311" s="4">
        <v>1</v>
      </c>
      <c r="E311" s="6" t="s">
        <v>214</v>
      </c>
      <c r="F311" s="5">
        <f>VLOOKUP(E311,'Win Methods'!$C$4:$F$4992,4,FALSE)</f>
        <v>2.5</v>
      </c>
      <c r="G311" s="6" t="s">
        <v>240</v>
      </c>
      <c r="H311" s="5">
        <f>VLOOKUP(G311,'Win Methods'!$C$4:$F$4992,4,FALSE)</f>
        <v>10</v>
      </c>
      <c r="I311" s="6" t="s">
        <v>239</v>
      </c>
      <c r="J311" s="5">
        <f>VLOOKUP(I311,'Win Methods'!$C$4:$F$4992,4,FALSE)</f>
        <v>5</v>
      </c>
      <c r="K311" s="6" t="s">
        <v>216</v>
      </c>
      <c r="L311" s="5">
        <f>VLOOKUP(K311,'Win Methods'!$C$4:$F$4992,4,FALSE)</f>
        <v>5</v>
      </c>
      <c r="M311" s="6" t="s">
        <v>212</v>
      </c>
      <c r="N311" s="5">
        <f>VLOOKUP(M311,'Win Methods'!$C$4:$F$4992,4,FALSE)</f>
        <v>1.5</v>
      </c>
      <c r="O311" s="113" t="s">
        <v>269</v>
      </c>
      <c r="P311" s="5">
        <f>VLOOKUP(O311,'Win Methods'!$C$4:$F$4992,4,FALSE)</f>
        <v>25.299999999999997</v>
      </c>
      <c r="Q311" s="6"/>
      <c r="R311" s="5">
        <f>VLOOKUP(Q311,'Win Methods'!$C$4:$F$4992,4,FALSE)</f>
        <v>0</v>
      </c>
      <c r="S311" s="6"/>
      <c r="T311" s="5">
        <f>VLOOKUP(S311,'Win Methods'!$C$4:$F$4992,4,FALSE)</f>
        <v>0</v>
      </c>
      <c r="U311" s="6"/>
      <c r="V311" s="5">
        <f>VLOOKUP(U311,'Win Methods'!$C$4:$F$4992,4,FALSE)</f>
        <v>0</v>
      </c>
      <c r="W311" s="6"/>
      <c r="X311" s="5">
        <f>VLOOKUP(W311,'Win Methods'!$C$4:$F$4992,4,FALSE)</f>
        <v>0</v>
      </c>
      <c r="Y311" s="5" t="str">
        <f t="shared" si="15"/>
        <v>main-6|main-32|main-31|main-8|main-4|freeplayA-5|||| x 1</v>
      </c>
    </row>
    <row r="312" spans="1:25">
      <c r="B312" s="5">
        <v>309</v>
      </c>
      <c r="C312" s="5">
        <f t="shared" si="16"/>
        <v>54.5</v>
      </c>
      <c r="D312" s="4">
        <v>1</v>
      </c>
      <c r="E312" s="6" t="s">
        <v>212</v>
      </c>
      <c r="F312" s="5">
        <f>VLOOKUP(E312,'Win Methods'!$C$4:$F$4992,4,FALSE)</f>
        <v>1.5</v>
      </c>
      <c r="G312" s="6" t="s">
        <v>212</v>
      </c>
      <c r="H312" s="5">
        <f>VLOOKUP(G312,'Win Methods'!$C$4:$F$4992,4,FALSE)</f>
        <v>1.5</v>
      </c>
      <c r="I312" s="6" t="s">
        <v>212</v>
      </c>
      <c r="J312" s="5">
        <f>VLOOKUP(I312,'Win Methods'!$C$4:$F$4992,4,FALSE)</f>
        <v>1.5</v>
      </c>
      <c r="K312" s="6" t="s">
        <v>211</v>
      </c>
      <c r="L312" s="5">
        <f>VLOOKUP(K312,'Win Methods'!$C$4:$F$4992,4,FALSE)</f>
        <v>1</v>
      </c>
      <c r="M312" s="6" t="s">
        <v>242</v>
      </c>
      <c r="N312" s="5">
        <f>VLOOKUP(M312,'Win Methods'!$C$4:$F$4992,4,FALSE)</f>
        <v>20</v>
      </c>
      <c r="O312" s="113" t="s">
        <v>270</v>
      </c>
      <c r="P312" s="5">
        <f>VLOOKUP(O312,'Win Methods'!$C$4:$F$4992,4,FALSE)</f>
        <v>29</v>
      </c>
      <c r="Q312" s="6"/>
      <c r="R312" s="5">
        <f>VLOOKUP(Q312,'Win Methods'!$C$4:$F$4992,4,FALSE)</f>
        <v>0</v>
      </c>
      <c r="S312" s="6"/>
      <c r="T312" s="5">
        <f>VLOOKUP(S312,'Win Methods'!$C$4:$F$4992,4,FALSE)</f>
        <v>0</v>
      </c>
      <c r="U312" s="6"/>
      <c r="V312" s="5">
        <f>VLOOKUP(U312,'Win Methods'!$C$4:$F$4992,4,FALSE)</f>
        <v>0</v>
      </c>
      <c r="W312" s="6"/>
      <c r="X312" s="5">
        <f>VLOOKUP(W312,'Win Methods'!$C$4:$F$4992,4,FALSE)</f>
        <v>0</v>
      </c>
      <c r="Y312" s="5" t="str">
        <f t="shared" si="15"/>
        <v>main-4|main-4|main-4|main-3|main-34|freeplayA-6|||| x 1</v>
      </c>
    </row>
    <row r="313" spans="1:25">
      <c r="B313" s="5">
        <v>310</v>
      </c>
      <c r="C313" s="5">
        <f t="shared" si="16"/>
        <v>49.1</v>
      </c>
      <c r="D313" s="4">
        <v>1</v>
      </c>
      <c r="E313" s="6" t="s">
        <v>213</v>
      </c>
      <c r="F313" s="5">
        <f>VLOOKUP(E313,'Win Methods'!$C$4:$F$4992,4,FALSE)</f>
        <v>2</v>
      </c>
      <c r="G313" s="6" t="s">
        <v>229</v>
      </c>
      <c r="H313" s="5">
        <f>VLOOKUP(G313,'Win Methods'!$C$4:$F$4992,4,FALSE)</f>
        <v>2</v>
      </c>
      <c r="I313" s="6" t="s">
        <v>212</v>
      </c>
      <c r="J313" s="5">
        <f>VLOOKUP(I313,'Win Methods'!$C$4:$F$4992,4,FALSE)</f>
        <v>1.5</v>
      </c>
      <c r="K313" s="6" t="s">
        <v>212</v>
      </c>
      <c r="L313" s="5">
        <f>VLOOKUP(K313,'Win Methods'!$C$4:$F$4992,4,FALSE)</f>
        <v>1.5</v>
      </c>
      <c r="M313" s="6" t="s">
        <v>209</v>
      </c>
      <c r="N313" s="5">
        <f>VLOOKUP(M313,'Win Methods'!$C$4:$F$4992,4,FALSE)</f>
        <v>0.2</v>
      </c>
      <c r="O313" s="113" t="s">
        <v>271</v>
      </c>
      <c r="P313" s="5">
        <f>VLOOKUP(O313,'Win Methods'!$C$4:$F$4992,4,FALSE)</f>
        <v>41.9</v>
      </c>
      <c r="Q313" s="6"/>
      <c r="R313" s="5">
        <f>VLOOKUP(Q313,'Win Methods'!$C$4:$F$4992,4,FALSE)</f>
        <v>0</v>
      </c>
      <c r="S313" s="6"/>
      <c r="T313" s="5">
        <f>VLOOKUP(S313,'Win Methods'!$C$4:$F$4992,4,FALSE)</f>
        <v>0</v>
      </c>
      <c r="U313" s="6"/>
      <c r="V313" s="5">
        <f>VLOOKUP(U313,'Win Methods'!$C$4:$F$4992,4,FALSE)</f>
        <v>0</v>
      </c>
      <c r="W313" s="6"/>
      <c r="X313" s="5">
        <f>VLOOKUP(W313,'Win Methods'!$C$4:$F$4992,4,FALSE)</f>
        <v>0</v>
      </c>
      <c r="Y313" s="5" t="str">
        <f t="shared" si="15"/>
        <v>main-5|main-21|main-4|main-4|main-1|freeplayA-7|||| x 1</v>
      </c>
    </row>
    <row r="314" spans="1:25">
      <c r="B314" s="5">
        <v>311</v>
      </c>
      <c r="C314" s="5">
        <f t="shared" si="16"/>
        <v>45</v>
      </c>
      <c r="D314" s="4">
        <v>1</v>
      </c>
      <c r="E314" s="6" t="s">
        <v>215</v>
      </c>
      <c r="F314" s="5">
        <f>VLOOKUP(E314,'Win Methods'!$C$4:$F$4992,4,FALSE)</f>
        <v>3</v>
      </c>
      <c r="G314" s="6" t="s">
        <v>213</v>
      </c>
      <c r="H314" s="5">
        <f>VLOOKUP(G314,'Win Methods'!$C$4:$F$4992,4,FALSE)</f>
        <v>2</v>
      </c>
      <c r="I314" s="6" t="s">
        <v>213</v>
      </c>
      <c r="J314" s="5">
        <f>VLOOKUP(I314,'Win Methods'!$C$4:$F$4992,4,FALSE)</f>
        <v>2</v>
      </c>
      <c r="K314" s="6" t="s">
        <v>222</v>
      </c>
      <c r="L314" s="5">
        <f>VLOOKUP(K314,'Win Methods'!$C$4:$F$4992,4,FALSE)</f>
        <v>10</v>
      </c>
      <c r="M314" s="6" t="s">
        <v>211</v>
      </c>
      <c r="N314" s="5">
        <f>VLOOKUP(M314,'Win Methods'!$C$4:$F$4992,4,FALSE)</f>
        <v>1</v>
      </c>
      <c r="O314" s="113" t="s">
        <v>272</v>
      </c>
      <c r="P314" s="5">
        <f>VLOOKUP(O314,'Win Methods'!$C$4:$F$4992,4,FALSE)</f>
        <v>27</v>
      </c>
      <c r="Q314" s="6"/>
      <c r="R314" s="5">
        <f>VLOOKUP(Q314,'Win Methods'!$C$4:$F$4992,4,FALSE)</f>
        <v>0</v>
      </c>
      <c r="S314" s="6"/>
      <c r="T314" s="5">
        <f>VLOOKUP(S314,'Win Methods'!$C$4:$F$4992,4,FALSE)</f>
        <v>0</v>
      </c>
      <c r="U314" s="6"/>
      <c r="V314" s="5">
        <f>VLOOKUP(U314,'Win Methods'!$C$4:$F$4992,4,FALSE)</f>
        <v>0</v>
      </c>
      <c r="W314" s="6"/>
      <c r="X314" s="5">
        <f>VLOOKUP(W314,'Win Methods'!$C$4:$F$4992,4,FALSE)</f>
        <v>0</v>
      </c>
      <c r="Y314" s="5" t="str">
        <f t="shared" si="15"/>
        <v>main-7|main-5|main-5|main-14|main-3|freeplayA-8|||| x 1</v>
      </c>
    </row>
    <row r="315" spans="1:25">
      <c r="A315" s="115" t="s">
        <v>258</v>
      </c>
      <c r="B315" s="5">
        <v>312</v>
      </c>
      <c r="C315" s="5">
        <f t="shared" ref="C315:C327" si="17">(F315)*D315+H315+J315+L315+N315+P315+R315+T315+V315+X315</f>
        <v>37</v>
      </c>
      <c r="D315" s="12">
        <v>20</v>
      </c>
      <c r="E315" s="6" t="s">
        <v>208</v>
      </c>
      <c r="F315" s="5">
        <f>VLOOKUP(E315,'Win Methods'!$C$4:$F$4992,4,FALSE)</f>
        <v>0.1</v>
      </c>
      <c r="G315" s="113" t="s">
        <v>267</v>
      </c>
      <c r="H315" s="5">
        <f>VLOOKUP(G315,'Win Methods'!$C$4:$F$4992,4,FALSE)</f>
        <v>35</v>
      </c>
      <c r="I315" s="6"/>
      <c r="J315" s="5">
        <f>VLOOKUP(I315,'Win Methods'!$C$4:$F$4992,4,FALSE)</f>
        <v>0</v>
      </c>
      <c r="K315" s="6"/>
      <c r="L315" s="5">
        <f>VLOOKUP(K315,'Win Methods'!$C$4:$F$4992,4,FALSE)</f>
        <v>0</v>
      </c>
      <c r="M315" s="6"/>
      <c r="N315" s="5">
        <f>VLOOKUP(M315,'Win Methods'!$C$4:$F$4992,4,FALSE)</f>
        <v>0</v>
      </c>
      <c r="O315" s="6"/>
      <c r="P315" s="5">
        <f>VLOOKUP(O315,'Win Methods'!$C$4:$F$4992,4,FALSE)</f>
        <v>0</v>
      </c>
      <c r="Q315" s="6"/>
      <c r="R315" s="5">
        <f>VLOOKUP(Q315,'Win Methods'!$C$4:$F$4992,4,FALSE)</f>
        <v>0</v>
      </c>
      <c r="S315" s="6"/>
      <c r="T315" s="5">
        <f>VLOOKUP(S315,'Win Methods'!$C$4:$F$4992,4,FALSE)</f>
        <v>0</v>
      </c>
      <c r="U315" s="6"/>
      <c r="V315" s="5">
        <f>VLOOKUP(U315,'Win Methods'!$C$4:$F$4992,4,FALSE)</f>
        <v>0</v>
      </c>
      <c r="W315" s="6"/>
      <c r="X315" s="5">
        <f>VLOOKUP(W315,'Win Methods'!$C$4:$F$4992,4,FALSE)</f>
        <v>0</v>
      </c>
      <c r="Y315" s="5" t="str">
        <f t="shared" si="15"/>
        <v>main-0|freeplayA-3|||||||| x 20</v>
      </c>
    </row>
    <row r="316" spans="1:25">
      <c r="A316" s="115" t="s">
        <v>259</v>
      </c>
      <c r="B316" s="5">
        <v>313</v>
      </c>
      <c r="C316" s="5">
        <f t="shared" si="17"/>
        <v>22.6</v>
      </c>
      <c r="D316" s="12">
        <v>20</v>
      </c>
      <c r="E316" s="6" t="s">
        <v>209</v>
      </c>
      <c r="F316" s="5">
        <f>VLOOKUP(E316,'Win Methods'!$C$4:$F$4992,4,FALSE)</f>
        <v>0.2</v>
      </c>
      <c r="G316" s="113" t="s">
        <v>268</v>
      </c>
      <c r="H316" s="5">
        <f>VLOOKUP(G316,'Win Methods'!$C$4:$F$4992,4,FALSE)</f>
        <v>18.600000000000001</v>
      </c>
      <c r="I316" s="6"/>
      <c r="J316" s="5">
        <f>VLOOKUP(I316,'Win Methods'!$C$4:$F$4992,4,FALSE)</f>
        <v>0</v>
      </c>
      <c r="K316" s="6"/>
      <c r="L316" s="5">
        <f>VLOOKUP(K316,'Win Methods'!$C$4:$F$4992,4,FALSE)</f>
        <v>0</v>
      </c>
      <c r="M316" s="6"/>
      <c r="N316" s="5">
        <f>VLOOKUP(M316,'Win Methods'!$C$4:$F$4992,4,FALSE)</f>
        <v>0</v>
      </c>
      <c r="O316" s="6"/>
      <c r="P316" s="5">
        <f>VLOOKUP(O316,'Win Methods'!$C$4:$F$4992,4,FALSE)</f>
        <v>0</v>
      </c>
      <c r="Q316" s="6"/>
      <c r="R316" s="5">
        <f>VLOOKUP(Q316,'Win Methods'!$C$4:$F$4992,4,FALSE)</f>
        <v>0</v>
      </c>
      <c r="S316" s="6"/>
      <c r="T316" s="5">
        <f>VLOOKUP(S316,'Win Methods'!$C$4:$F$4992,4,FALSE)</f>
        <v>0</v>
      </c>
      <c r="U316" s="6"/>
      <c r="V316" s="5">
        <f>VLOOKUP(U316,'Win Methods'!$C$4:$F$4992,4,FALSE)</f>
        <v>0</v>
      </c>
      <c r="W316" s="6"/>
      <c r="X316" s="5">
        <f>VLOOKUP(W316,'Win Methods'!$C$4:$F$4992,4,FALSE)</f>
        <v>0</v>
      </c>
      <c r="Y316" s="5" t="str">
        <f t="shared" si="15"/>
        <v>main-1|freeplayA-4|||||||| x 20</v>
      </c>
    </row>
    <row r="317" spans="1:25">
      <c r="A317" s="115" t="s">
        <v>260</v>
      </c>
      <c r="B317" s="5">
        <v>314</v>
      </c>
      <c r="C317" s="5">
        <f t="shared" si="17"/>
        <v>35.299999999999997</v>
      </c>
      <c r="D317" s="12">
        <v>20</v>
      </c>
      <c r="E317" s="6" t="s">
        <v>210</v>
      </c>
      <c r="F317" s="5">
        <f>VLOOKUP(E317,'Win Methods'!$C$4:$F$4992,4,FALSE)</f>
        <v>0.5</v>
      </c>
      <c r="G317" s="113" t="s">
        <v>269</v>
      </c>
      <c r="H317" s="5">
        <f>VLOOKUP(G317,'Win Methods'!$C$4:$F$4992,4,FALSE)</f>
        <v>25.299999999999997</v>
      </c>
      <c r="I317" s="6"/>
      <c r="J317" s="5">
        <f>VLOOKUP(I317,'Win Methods'!$C$4:$F$4992,4,FALSE)</f>
        <v>0</v>
      </c>
      <c r="K317" s="6"/>
      <c r="L317" s="5">
        <f>VLOOKUP(K317,'Win Methods'!$C$4:$F$4992,4,FALSE)</f>
        <v>0</v>
      </c>
      <c r="M317" s="6"/>
      <c r="N317" s="5">
        <f>VLOOKUP(M317,'Win Methods'!$C$4:$F$4992,4,FALSE)</f>
        <v>0</v>
      </c>
      <c r="O317" s="6"/>
      <c r="P317" s="5">
        <f>VLOOKUP(O317,'Win Methods'!$C$4:$F$4992,4,FALSE)</f>
        <v>0</v>
      </c>
      <c r="Q317" s="6"/>
      <c r="R317" s="5">
        <f>VLOOKUP(Q317,'Win Methods'!$C$4:$F$4992,4,FALSE)</f>
        <v>0</v>
      </c>
      <c r="S317" s="6"/>
      <c r="T317" s="5">
        <f>VLOOKUP(S317,'Win Methods'!$C$4:$F$4992,4,FALSE)</f>
        <v>0</v>
      </c>
      <c r="U317" s="6"/>
      <c r="V317" s="5">
        <f>VLOOKUP(U317,'Win Methods'!$C$4:$F$4992,4,FALSE)</f>
        <v>0</v>
      </c>
      <c r="W317" s="6"/>
      <c r="X317" s="5">
        <f>VLOOKUP(W317,'Win Methods'!$C$4:$F$4992,4,FALSE)</f>
        <v>0</v>
      </c>
      <c r="Y317" s="5" t="str">
        <f t="shared" si="15"/>
        <v>main-2|freeplayA-5|||||||| x 20</v>
      </c>
    </row>
    <row r="318" spans="1:25">
      <c r="A318" s="115" t="s">
        <v>261</v>
      </c>
      <c r="B318" s="5">
        <v>315</v>
      </c>
      <c r="C318" s="5">
        <f t="shared" si="17"/>
        <v>49</v>
      </c>
      <c r="D318" s="12">
        <v>20</v>
      </c>
      <c r="E318" s="6" t="s">
        <v>211</v>
      </c>
      <c r="F318" s="5">
        <f>VLOOKUP(E318,'Win Methods'!$C$4:$F$4992,4,FALSE)</f>
        <v>1</v>
      </c>
      <c r="G318" s="113" t="s">
        <v>270</v>
      </c>
      <c r="H318" s="5">
        <f>VLOOKUP(G318,'Win Methods'!$C$4:$F$4992,4,FALSE)</f>
        <v>29</v>
      </c>
      <c r="I318" s="6"/>
      <c r="J318" s="5">
        <f>VLOOKUP(I318,'Win Methods'!$C$4:$F$4992,4,FALSE)</f>
        <v>0</v>
      </c>
      <c r="K318" s="6"/>
      <c r="L318" s="5">
        <f>VLOOKUP(K318,'Win Methods'!$C$4:$F$4992,4,FALSE)</f>
        <v>0</v>
      </c>
      <c r="M318" s="6"/>
      <c r="N318" s="5">
        <f>VLOOKUP(M318,'Win Methods'!$C$4:$F$4992,4,FALSE)</f>
        <v>0</v>
      </c>
      <c r="O318" s="6"/>
      <c r="P318" s="5">
        <f>VLOOKUP(O318,'Win Methods'!$C$4:$F$4992,4,FALSE)</f>
        <v>0</v>
      </c>
      <c r="Q318" s="6"/>
      <c r="R318" s="5">
        <f>VLOOKUP(Q318,'Win Methods'!$C$4:$F$4992,4,FALSE)</f>
        <v>0</v>
      </c>
      <c r="S318" s="6"/>
      <c r="T318" s="5">
        <f>VLOOKUP(S318,'Win Methods'!$C$4:$F$4992,4,FALSE)</f>
        <v>0</v>
      </c>
      <c r="U318" s="6"/>
      <c r="V318" s="5">
        <f>VLOOKUP(U318,'Win Methods'!$C$4:$F$4992,4,FALSE)</f>
        <v>0</v>
      </c>
      <c r="W318" s="6"/>
      <c r="X318" s="5">
        <f>VLOOKUP(W318,'Win Methods'!$C$4:$F$4992,4,FALSE)</f>
        <v>0</v>
      </c>
      <c r="Y318" s="5" t="str">
        <f t="shared" si="15"/>
        <v>main-3|freeplayA-6|||||||| x 20</v>
      </c>
    </row>
    <row r="319" spans="1:25">
      <c r="A319" s="115" t="s">
        <v>262</v>
      </c>
      <c r="B319" s="5">
        <v>316</v>
      </c>
      <c r="C319" s="5">
        <f t="shared" si="17"/>
        <v>71.900000000000006</v>
      </c>
      <c r="D319" s="12">
        <v>20</v>
      </c>
      <c r="E319" s="6" t="s">
        <v>212</v>
      </c>
      <c r="F319" s="5">
        <f>VLOOKUP(E319,'Win Methods'!$C$4:$F$4992,4,FALSE)</f>
        <v>1.5</v>
      </c>
      <c r="G319" s="113" t="s">
        <v>271</v>
      </c>
      <c r="H319" s="5">
        <f>VLOOKUP(G319,'Win Methods'!$C$4:$F$4992,4,FALSE)</f>
        <v>41.9</v>
      </c>
      <c r="I319" s="6"/>
      <c r="J319" s="5">
        <f>VLOOKUP(I319,'Win Methods'!$C$4:$F$4992,4,FALSE)</f>
        <v>0</v>
      </c>
      <c r="K319" s="6"/>
      <c r="L319" s="5">
        <f>VLOOKUP(K319,'Win Methods'!$C$4:$F$4992,4,FALSE)</f>
        <v>0</v>
      </c>
      <c r="M319" s="6"/>
      <c r="N319" s="5">
        <f>VLOOKUP(M319,'Win Methods'!$C$4:$F$4992,4,FALSE)</f>
        <v>0</v>
      </c>
      <c r="O319" s="6"/>
      <c r="P319" s="5">
        <f>VLOOKUP(O319,'Win Methods'!$C$4:$F$4992,4,FALSE)</f>
        <v>0</v>
      </c>
      <c r="Q319" s="6"/>
      <c r="R319" s="5">
        <f>VLOOKUP(Q319,'Win Methods'!$C$4:$F$4992,4,FALSE)</f>
        <v>0</v>
      </c>
      <c r="S319" s="6"/>
      <c r="T319" s="5">
        <f>VLOOKUP(S319,'Win Methods'!$C$4:$F$4992,4,FALSE)</f>
        <v>0</v>
      </c>
      <c r="U319" s="6"/>
      <c r="V319" s="5">
        <f>VLOOKUP(U319,'Win Methods'!$C$4:$F$4992,4,FALSE)</f>
        <v>0</v>
      </c>
      <c r="W319" s="6"/>
      <c r="X319" s="5">
        <f>VLOOKUP(W319,'Win Methods'!$C$4:$F$4992,4,FALSE)</f>
        <v>0</v>
      </c>
      <c r="Y319" s="5" t="str">
        <f t="shared" si="15"/>
        <v>main-4|freeplayA-7|||||||| x 20</v>
      </c>
    </row>
    <row r="320" spans="1:25">
      <c r="A320" s="115" t="s">
        <v>263</v>
      </c>
      <c r="B320" s="5">
        <v>317</v>
      </c>
      <c r="C320" s="5">
        <f t="shared" si="17"/>
        <v>67</v>
      </c>
      <c r="D320" s="12">
        <v>20</v>
      </c>
      <c r="E320" s="6" t="s">
        <v>213</v>
      </c>
      <c r="F320" s="5">
        <f>VLOOKUP(E320,'Win Methods'!$C$4:$F$4992,4,FALSE)</f>
        <v>2</v>
      </c>
      <c r="G320" s="113" t="s">
        <v>272</v>
      </c>
      <c r="H320" s="5">
        <f>VLOOKUP(G320,'Win Methods'!$C$4:$F$4992,4,FALSE)</f>
        <v>27</v>
      </c>
      <c r="I320" s="6"/>
      <c r="J320" s="5">
        <f>VLOOKUP(I320,'Win Methods'!$C$4:$F$4992,4,FALSE)</f>
        <v>0</v>
      </c>
      <c r="K320" s="6"/>
      <c r="L320" s="5">
        <f>VLOOKUP(K320,'Win Methods'!$C$4:$F$4992,4,FALSE)</f>
        <v>0</v>
      </c>
      <c r="M320" s="6"/>
      <c r="N320" s="5">
        <f>VLOOKUP(M320,'Win Methods'!$C$4:$F$4992,4,FALSE)</f>
        <v>0</v>
      </c>
      <c r="O320" s="6"/>
      <c r="P320" s="5">
        <f>VLOOKUP(O320,'Win Methods'!$C$4:$F$4992,4,FALSE)</f>
        <v>0</v>
      </c>
      <c r="Q320" s="6"/>
      <c r="R320" s="5">
        <f>VLOOKUP(Q320,'Win Methods'!$C$4:$F$4992,4,FALSE)</f>
        <v>0</v>
      </c>
      <c r="S320" s="6"/>
      <c r="T320" s="5">
        <f>VLOOKUP(S320,'Win Methods'!$C$4:$F$4992,4,FALSE)</f>
        <v>0</v>
      </c>
      <c r="U320" s="6"/>
      <c r="V320" s="5">
        <f>VLOOKUP(U320,'Win Methods'!$C$4:$F$4992,4,FALSE)</f>
        <v>0</v>
      </c>
      <c r="W320" s="6"/>
      <c r="X320" s="5">
        <f>VLOOKUP(W320,'Win Methods'!$C$4:$F$4992,4,FALSE)</f>
        <v>0</v>
      </c>
      <c r="Y320" s="5" t="str">
        <f t="shared" si="15"/>
        <v>main-5|freeplayA-8|||||||| x 20</v>
      </c>
    </row>
    <row r="321" spans="2:25">
      <c r="B321" s="5">
        <v>318</v>
      </c>
      <c r="C321" s="5">
        <f t="shared" si="17"/>
        <v>38.6</v>
      </c>
      <c r="D321" s="12">
        <v>20</v>
      </c>
      <c r="E321" s="6" t="s">
        <v>218</v>
      </c>
      <c r="F321" s="5">
        <f>VLOOKUP(E321,'Win Methods'!$C$4:$F$4992,4,FALSE)</f>
        <v>1</v>
      </c>
      <c r="G321" s="113" t="s">
        <v>268</v>
      </c>
      <c r="H321" s="5">
        <f>VLOOKUP(G321,'Win Methods'!$C$4:$F$4992,4,FALSE)</f>
        <v>18.600000000000001</v>
      </c>
      <c r="I321" s="6"/>
      <c r="J321" s="5">
        <f>VLOOKUP(I321,'Win Methods'!$C$4:$F$4992,4,FALSE)</f>
        <v>0</v>
      </c>
      <c r="K321" s="6"/>
      <c r="L321" s="5">
        <f>VLOOKUP(K321,'Win Methods'!$C$4:$F$4992,4,FALSE)</f>
        <v>0</v>
      </c>
      <c r="M321" s="6"/>
      <c r="N321" s="5">
        <f>VLOOKUP(M321,'Win Methods'!$C$4:$F$4992,4,FALSE)</f>
        <v>0</v>
      </c>
      <c r="O321" s="6"/>
      <c r="P321" s="5">
        <f>VLOOKUP(O321,'Win Methods'!$C$4:$F$4992,4,FALSE)</f>
        <v>0</v>
      </c>
      <c r="Q321" s="6"/>
      <c r="R321" s="5">
        <f>VLOOKUP(Q321,'Win Methods'!$C$4:$F$4992,4,FALSE)</f>
        <v>0</v>
      </c>
      <c r="S321" s="6"/>
      <c r="T321" s="5">
        <f>VLOOKUP(S321,'Win Methods'!$C$4:$F$4992,4,FALSE)</f>
        <v>0</v>
      </c>
      <c r="U321" s="6"/>
      <c r="V321" s="5">
        <f>VLOOKUP(U321,'Win Methods'!$C$4:$F$4992,4,FALSE)</f>
        <v>0</v>
      </c>
      <c r="W321" s="6"/>
      <c r="X321" s="5">
        <f>VLOOKUP(W321,'Win Methods'!$C$4:$F$4992,4,FALSE)</f>
        <v>0</v>
      </c>
      <c r="Y321" s="5" t="str">
        <f t="shared" si="15"/>
        <v>main-10|freeplayA-4|||||||| x 20</v>
      </c>
    </row>
    <row r="322" spans="2:25">
      <c r="B322" s="5">
        <v>319</v>
      </c>
      <c r="C322" s="5">
        <f t="shared" si="17"/>
        <v>55.3</v>
      </c>
      <c r="D322" s="12">
        <v>20</v>
      </c>
      <c r="E322" s="6" t="s">
        <v>219</v>
      </c>
      <c r="F322" s="5">
        <f>VLOOKUP(E322,'Win Methods'!$C$4:$F$4992,4,FALSE)</f>
        <v>1.5</v>
      </c>
      <c r="G322" s="113" t="s">
        <v>269</v>
      </c>
      <c r="H322" s="5">
        <f>VLOOKUP(G322,'Win Methods'!$C$4:$F$4992,4,FALSE)</f>
        <v>25.299999999999997</v>
      </c>
      <c r="I322" s="6"/>
      <c r="J322" s="5">
        <f>VLOOKUP(I322,'Win Methods'!$C$4:$F$4992,4,FALSE)</f>
        <v>0</v>
      </c>
      <c r="K322" s="6"/>
      <c r="L322" s="5">
        <f>VLOOKUP(K322,'Win Methods'!$C$4:$F$4992,4,FALSE)</f>
        <v>0</v>
      </c>
      <c r="M322" s="6"/>
      <c r="N322" s="5">
        <f>VLOOKUP(M322,'Win Methods'!$C$4:$F$4992,4,FALSE)</f>
        <v>0</v>
      </c>
      <c r="O322" s="6"/>
      <c r="P322" s="5">
        <f>VLOOKUP(O322,'Win Methods'!$C$4:$F$4992,4,FALSE)</f>
        <v>0</v>
      </c>
      <c r="Q322" s="6"/>
      <c r="R322" s="5">
        <f>VLOOKUP(Q322,'Win Methods'!$C$4:$F$4992,4,FALSE)</f>
        <v>0</v>
      </c>
      <c r="S322" s="6"/>
      <c r="T322" s="5">
        <f>VLOOKUP(S322,'Win Methods'!$C$4:$F$4992,4,FALSE)</f>
        <v>0</v>
      </c>
      <c r="U322" s="6"/>
      <c r="V322" s="5">
        <f>VLOOKUP(U322,'Win Methods'!$C$4:$F$4992,4,FALSE)</f>
        <v>0</v>
      </c>
      <c r="W322" s="6"/>
      <c r="X322" s="5">
        <f>VLOOKUP(W322,'Win Methods'!$C$4:$F$4992,4,FALSE)</f>
        <v>0</v>
      </c>
      <c r="Y322" s="5" t="str">
        <f t="shared" si="15"/>
        <v>main-11|freeplayA-5|||||||| x 20</v>
      </c>
    </row>
    <row r="323" spans="2:25">
      <c r="B323" s="5">
        <v>320</v>
      </c>
      <c r="C323" s="5">
        <f t="shared" si="17"/>
        <v>69</v>
      </c>
      <c r="D323" s="12">
        <v>20</v>
      </c>
      <c r="E323" s="6" t="s">
        <v>220</v>
      </c>
      <c r="F323" s="5">
        <f>VLOOKUP(E323,'Win Methods'!$C$4:$F$4992,4,FALSE)</f>
        <v>2</v>
      </c>
      <c r="G323" s="113" t="s">
        <v>270</v>
      </c>
      <c r="H323" s="5">
        <f>VLOOKUP(G323,'Win Methods'!$C$4:$F$4992,4,FALSE)</f>
        <v>29</v>
      </c>
      <c r="I323" s="6"/>
      <c r="J323" s="5">
        <f>VLOOKUP(I323,'Win Methods'!$C$4:$F$4992,4,FALSE)</f>
        <v>0</v>
      </c>
      <c r="K323" s="6"/>
      <c r="L323" s="5">
        <f>VLOOKUP(K323,'Win Methods'!$C$4:$F$4992,4,FALSE)</f>
        <v>0</v>
      </c>
      <c r="M323" s="6"/>
      <c r="N323" s="5">
        <f>VLOOKUP(M323,'Win Methods'!$C$4:$F$4992,4,FALSE)</f>
        <v>0</v>
      </c>
      <c r="O323" s="6"/>
      <c r="P323" s="5">
        <f>VLOOKUP(O323,'Win Methods'!$C$4:$F$4992,4,FALSE)</f>
        <v>0</v>
      </c>
      <c r="Q323" s="6"/>
      <c r="R323" s="5">
        <f>VLOOKUP(Q323,'Win Methods'!$C$4:$F$4992,4,FALSE)</f>
        <v>0</v>
      </c>
      <c r="S323" s="6"/>
      <c r="T323" s="5">
        <f>VLOOKUP(S323,'Win Methods'!$C$4:$F$4992,4,FALSE)</f>
        <v>0</v>
      </c>
      <c r="U323" s="6"/>
      <c r="V323" s="5">
        <f>VLOOKUP(U323,'Win Methods'!$C$4:$F$4992,4,FALSE)</f>
        <v>0</v>
      </c>
      <c r="W323" s="6"/>
      <c r="X323" s="5">
        <f>VLOOKUP(W323,'Win Methods'!$C$4:$F$4992,4,FALSE)</f>
        <v>0</v>
      </c>
      <c r="Y323" s="5" t="str">
        <f t="shared" ref="Y323:Y357" si="18">E323&amp;"|"&amp;G323&amp;"|"&amp;I323&amp;"|"&amp;K323&amp;"|"&amp;M323&amp;"|"&amp;O323&amp;"|"&amp;Q323&amp;"|"&amp;S323&amp;"|"&amp;U323&amp;"|"&amp;W323 &amp;" x "&amp;D323</f>
        <v>main-12|freeplayA-6|||||||| x 20</v>
      </c>
    </row>
    <row r="324" spans="2:25">
      <c r="B324" s="5">
        <v>321</v>
      </c>
      <c r="C324" s="5">
        <f t="shared" si="17"/>
        <v>141.9</v>
      </c>
      <c r="D324" s="12">
        <v>20</v>
      </c>
      <c r="E324" s="6" t="s">
        <v>221</v>
      </c>
      <c r="F324" s="5">
        <f>VLOOKUP(E324,'Win Methods'!$C$4:$F$4992,4,FALSE)</f>
        <v>5</v>
      </c>
      <c r="G324" s="113" t="s">
        <v>271</v>
      </c>
      <c r="H324" s="5">
        <f>VLOOKUP(G324,'Win Methods'!$C$4:$F$4992,4,FALSE)</f>
        <v>41.9</v>
      </c>
      <c r="I324" s="6"/>
      <c r="J324" s="5">
        <f>VLOOKUP(I324,'Win Methods'!$C$4:$F$4992,4,FALSE)</f>
        <v>0</v>
      </c>
      <c r="K324" s="6"/>
      <c r="L324" s="5">
        <f>VLOOKUP(K324,'Win Methods'!$C$4:$F$4992,4,FALSE)</f>
        <v>0</v>
      </c>
      <c r="M324" s="6"/>
      <c r="N324" s="5">
        <f>VLOOKUP(M324,'Win Methods'!$C$4:$F$4992,4,FALSE)</f>
        <v>0</v>
      </c>
      <c r="O324" s="6"/>
      <c r="P324" s="5">
        <f>VLOOKUP(O324,'Win Methods'!$C$4:$F$4992,4,FALSE)</f>
        <v>0</v>
      </c>
      <c r="Q324" s="6"/>
      <c r="R324" s="5">
        <f>VLOOKUP(Q324,'Win Methods'!$C$4:$F$4992,4,FALSE)</f>
        <v>0</v>
      </c>
      <c r="S324" s="6"/>
      <c r="T324" s="5">
        <f>VLOOKUP(S324,'Win Methods'!$C$4:$F$4992,4,FALSE)</f>
        <v>0</v>
      </c>
      <c r="U324" s="6"/>
      <c r="V324" s="5">
        <f>VLOOKUP(U324,'Win Methods'!$C$4:$F$4992,4,FALSE)</f>
        <v>0</v>
      </c>
      <c r="W324" s="6"/>
      <c r="X324" s="5">
        <f>VLOOKUP(W324,'Win Methods'!$C$4:$F$4992,4,FALSE)</f>
        <v>0</v>
      </c>
      <c r="Y324" s="5" t="str">
        <f t="shared" si="18"/>
        <v>main-13|freeplayA-7|||||||| x 20</v>
      </c>
    </row>
    <row r="325" spans="2:25">
      <c r="B325" s="5">
        <v>322</v>
      </c>
      <c r="C325" s="5">
        <f t="shared" si="17"/>
        <v>57</v>
      </c>
      <c r="D325" s="12">
        <v>20</v>
      </c>
      <c r="E325" s="6" t="s">
        <v>228</v>
      </c>
      <c r="F325" s="5">
        <f>VLOOKUP(E325,'Win Methods'!$C$4:$F$4992,4,FALSE)</f>
        <v>1.5</v>
      </c>
      <c r="G325" s="113" t="s">
        <v>272</v>
      </c>
      <c r="H325" s="5">
        <f>VLOOKUP(G325,'Win Methods'!$C$4:$F$4992,4,FALSE)</f>
        <v>27</v>
      </c>
      <c r="I325" s="6"/>
      <c r="J325" s="5">
        <f>VLOOKUP(I325,'Win Methods'!$C$4:$F$4992,4,FALSE)</f>
        <v>0</v>
      </c>
      <c r="K325" s="6"/>
      <c r="L325" s="5">
        <f>VLOOKUP(K325,'Win Methods'!$C$4:$F$4992,4,FALSE)</f>
        <v>0</v>
      </c>
      <c r="M325" s="6"/>
      <c r="N325" s="5">
        <f>VLOOKUP(M325,'Win Methods'!$C$4:$F$4992,4,FALSE)</f>
        <v>0</v>
      </c>
      <c r="O325" s="6"/>
      <c r="P325" s="5">
        <f>VLOOKUP(O325,'Win Methods'!$C$4:$F$4992,4,FALSE)</f>
        <v>0</v>
      </c>
      <c r="Q325" s="6"/>
      <c r="R325" s="5">
        <f>VLOOKUP(Q325,'Win Methods'!$C$4:$F$4992,4,FALSE)</f>
        <v>0</v>
      </c>
      <c r="S325" s="6"/>
      <c r="T325" s="5">
        <f>VLOOKUP(S325,'Win Methods'!$C$4:$F$4992,4,FALSE)</f>
        <v>0</v>
      </c>
      <c r="U325" s="6"/>
      <c r="V325" s="5">
        <f>VLOOKUP(U325,'Win Methods'!$C$4:$F$4992,4,FALSE)</f>
        <v>0</v>
      </c>
      <c r="W325" s="6"/>
      <c r="X325" s="5">
        <f>VLOOKUP(W325,'Win Methods'!$C$4:$F$4992,4,FALSE)</f>
        <v>0</v>
      </c>
      <c r="Y325" s="5" t="str">
        <f t="shared" si="18"/>
        <v>main-20|freeplayA-8|||||||| x 20</v>
      </c>
    </row>
    <row r="326" spans="2:25">
      <c r="B326" s="5">
        <v>323</v>
      </c>
      <c r="C326" s="5">
        <f t="shared" si="17"/>
        <v>84.1</v>
      </c>
      <c r="D326" s="12">
        <v>20</v>
      </c>
      <c r="E326" s="6" t="s">
        <v>229</v>
      </c>
      <c r="F326" s="5">
        <f>VLOOKUP(E326,'Win Methods'!$C$4:$F$4992,4,FALSE)</f>
        <v>2</v>
      </c>
      <c r="G326" s="113" t="s">
        <v>273</v>
      </c>
      <c r="H326" s="5">
        <f>VLOOKUP(G326,'Win Methods'!$C$4:$F$4992,4,FALSE)</f>
        <v>44.099999999999994</v>
      </c>
      <c r="I326" s="6"/>
      <c r="J326" s="5">
        <f>VLOOKUP(I326,'Win Methods'!$C$4:$F$4992,4,FALSE)</f>
        <v>0</v>
      </c>
      <c r="K326" s="6"/>
      <c r="L326" s="5">
        <f>VLOOKUP(K326,'Win Methods'!$C$4:$F$4992,4,FALSE)</f>
        <v>0</v>
      </c>
      <c r="M326" s="6"/>
      <c r="N326" s="5">
        <f>VLOOKUP(M326,'Win Methods'!$C$4:$F$4992,4,FALSE)</f>
        <v>0</v>
      </c>
      <c r="O326" s="6"/>
      <c r="P326" s="5">
        <f>VLOOKUP(O326,'Win Methods'!$C$4:$F$4992,4,FALSE)</f>
        <v>0</v>
      </c>
      <c r="Q326" s="6"/>
      <c r="R326" s="5">
        <f>VLOOKUP(Q326,'Win Methods'!$C$4:$F$4992,4,FALSE)</f>
        <v>0</v>
      </c>
      <c r="S326" s="6"/>
      <c r="T326" s="5">
        <f>VLOOKUP(S326,'Win Methods'!$C$4:$F$4992,4,FALSE)</f>
        <v>0</v>
      </c>
      <c r="U326" s="6"/>
      <c r="V326" s="5">
        <f>VLOOKUP(U326,'Win Methods'!$C$4:$F$4992,4,FALSE)</f>
        <v>0</v>
      </c>
      <c r="W326" s="6"/>
      <c r="X326" s="5">
        <f>VLOOKUP(W326,'Win Methods'!$C$4:$F$4992,4,FALSE)</f>
        <v>0</v>
      </c>
      <c r="Y326" s="5" t="str">
        <f t="shared" si="18"/>
        <v>main-21|freeplayA-9|||||||| x 20</v>
      </c>
    </row>
    <row r="327" spans="2:25">
      <c r="B327" s="5">
        <v>324</v>
      </c>
      <c r="C327" s="5">
        <f t="shared" si="17"/>
        <v>56</v>
      </c>
      <c r="D327" s="12">
        <v>20</v>
      </c>
      <c r="E327" s="6" t="s">
        <v>238</v>
      </c>
      <c r="F327" s="5">
        <f>VLOOKUP(E327,'Win Methods'!$C$4:$F$4992,4,FALSE)</f>
        <v>2</v>
      </c>
      <c r="G327" s="113" t="s">
        <v>274</v>
      </c>
      <c r="H327" s="5">
        <f>VLOOKUP(G327,'Win Methods'!$C$4:$F$4992,4,FALSE)</f>
        <v>16</v>
      </c>
      <c r="I327" s="6"/>
      <c r="J327" s="5">
        <f>VLOOKUP(I327,'Win Methods'!$C$4:$F$4992,4,FALSE)</f>
        <v>0</v>
      </c>
      <c r="K327" s="6"/>
      <c r="L327" s="5">
        <f>VLOOKUP(K327,'Win Methods'!$C$4:$F$4992,4,FALSE)</f>
        <v>0</v>
      </c>
      <c r="M327" s="6"/>
      <c r="N327" s="5">
        <f>VLOOKUP(M327,'Win Methods'!$C$4:$F$4992,4,FALSE)</f>
        <v>0</v>
      </c>
      <c r="O327" s="6"/>
      <c r="P327" s="5">
        <f>VLOOKUP(O327,'Win Methods'!$C$4:$F$4992,4,FALSE)</f>
        <v>0</v>
      </c>
      <c r="Q327" s="6"/>
      <c r="R327" s="5">
        <f>VLOOKUP(Q327,'Win Methods'!$C$4:$F$4992,4,FALSE)</f>
        <v>0</v>
      </c>
      <c r="S327" s="6"/>
      <c r="T327" s="5">
        <f>VLOOKUP(S327,'Win Methods'!$C$4:$F$4992,4,FALSE)</f>
        <v>0</v>
      </c>
      <c r="U327" s="6"/>
      <c r="V327" s="5">
        <f>VLOOKUP(U327,'Win Methods'!$C$4:$F$4992,4,FALSE)</f>
        <v>0</v>
      </c>
      <c r="W327" s="6"/>
      <c r="X327" s="5">
        <f>VLOOKUP(W327,'Win Methods'!$C$4:$F$4992,4,FALSE)</f>
        <v>0</v>
      </c>
      <c r="Y327" s="5" t="str">
        <f t="shared" si="18"/>
        <v>main-30|freeplayA-10|||||||| x 20</v>
      </c>
    </row>
    <row r="328" spans="2:25">
      <c r="B328" s="5">
        <v>325</v>
      </c>
      <c r="C328" s="5">
        <f t="shared" ref="C328:C337" si="19">(F328+H328) * D328+J328+L328+N328+P328+R328+T328+V328+X328</f>
        <v>39</v>
      </c>
      <c r="D328" s="12">
        <v>20</v>
      </c>
      <c r="E328" s="6" t="s">
        <v>208</v>
      </c>
      <c r="F328" s="5">
        <f>VLOOKUP(E328,'Win Methods'!$C$4:$F$4992,4,FALSE)</f>
        <v>0.1</v>
      </c>
      <c r="G328" s="6" t="s">
        <v>208</v>
      </c>
      <c r="H328" s="5">
        <f>VLOOKUP(G328,'Win Methods'!$C$4:$F$4992,4,FALSE)</f>
        <v>0.1</v>
      </c>
      <c r="I328" s="113" t="s">
        <v>267</v>
      </c>
      <c r="J328" s="5">
        <f>VLOOKUP(I328,'Win Methods'!$C$4:$F$4992,4,FALSE)</f>
        <v>35</v>
      </c>
      <c r="K328" s="6"/>
      <c r="L328" s="5">
        <f>VLOOKUP(K328,'Win Methods'!$C$4:$F$4992,4,FALSE)</f>
        <v>0</v>
      </c>
      <c r="M328" s="6"/>
      <c r="N328" s="5">
        <f>VLOOKUP(M328,'Win Methods'!$C$4:$F$4992,4,FALSE)</f>
        <v>0</v>
      </c>
      <c r="O328" s="6"/>
      <c r="P328" s="5">
        <f>VLOOKUP(O328,'Win Methods'!$C$4:$F$4992,4,FALSE)</f>
        <v>0</v>
      </c>
      <c r="Q328" s="6"/>
      <c r="R328" s="5">
        <f>VLOOKUP(Q328,'Win Methods'!$C$4:$F$4992,4,FALSE)</f>
        <v>0</v>
      </c>
      <c r="S328" s="6"/>
      <c r="T328" s="5">
        <f>VLOOKUP(S328,'Win Methods'!$C$4:$F$4992,4,FALSE)</f>
        <v>0</v>
      </c>
      <c r="U328" s="6"/>
      <c r="V328" s="5">
        <f>VLOOKUP(U328,'Win Methods'!$C$4:$F$4992,4,FALSE)</f>
        <v>0</v>
      </c>
      <c r="W328" s="6"/>
      <c r="X328" s="5">
        <f>VLOOKUP(W328,'Win Methods'!$C$4:$F$4992,4,FALSE)</f>
        <v>0</v>
      </c>
      <c r="Y328" s="5" t="str">
        <f t="shared" si="18"/>
        <v>main-0|main-0|freeplayA-3||||||| x 20</v>
      </c>
    </row>
    <row r="329" spans="2:25">
      <c r="B329" s="5">
        <v>326</v>
      </c>
      <c r="C329" s="5">
        <f t="shared" si="19"/>
        <v>24.6</v>
      </c>
      <c r="D329" s="12">
        <v>20</v>
      </c>
      <c r="E329" s="6" t="s">
        <v>208</v>
      </c>
      <c r="F329" s="5">
        <f>VLOOKUP(E329,'Win Methods'!$C$4:$F$4992,4,FALSE)</f>
        <v>0.1</v>
      </c>
      <c r="G329" s="6" t="s">
        <v>209</v>
      </c>
      <c r="H329" s="5">
        <f>VLOOKUP(G329,'Win Methods'!$C$4:$F$4992,4,FALSE)</f>
        <v>0.2</v>
      </c>
      <c r="I329" s="113" t="s">
        <v>268</v>
      </c>
      <c r="J329" s="5">
        <f>VLOOKUP(I329,'Win Methods'!$C$4:$F$4992,4,FALSE)</f>
        <v>18.600000000000001</v>
      </c>
      <c r="K329" s="6"/>
      <c r="L329" s="5">
        <f>VLOOKUP(K329,'Win Methods'!$C$4:$F$4992,4,FALSE)</f>
        <v>0</v>
      </c>
      <c r="M329" s="6"/>
      <c r="N329" s="5">
        <f>VLOOKUP(M329,'Win Methods'!$C$4:$F$4992,4,FALSE)</f>
        <v>0</v>
      </c>
      <c r="O329" s="6"/>
      <c r="P329" s="5">
        <f>VLOOKUP(O329,'Win Methods'!$C$4:$F$4992,4,FALSE)</f>
        <v>0</v>
      </c>
      <c r="Q329" s="6"/>
      <c r="R329" s="5">
        <f>VLOOKUP(Q329,'Win Methods'!$C$4:$F$4992,4,FALSE)</f>
        <v>0</v>
      </c>
      <c r="S329" s="6"/>
      <c r="T329" s="5">
        <f>VLOOKUP(S329,'Win Methods'!$C$4:$F$4992,4,FALSE)</f>
        <v>0</v>
      </c>
      <c r="U329" s="6"/>
      <c r="V329" s="5">
        <f>VLOOKUP(U329,'Win Methods'!$C$4:$F$4992,4,FALSE)</f>
        <v>0</v>
      </c>
      <c r="W329" s="6"/>
      <c r="X329" s="5">
        <f>VLOOKUP(W329,'Win Methods'!$C$4:$F$4992,4,FALSE)</f>
        <v>0</v>
      </c>
      <c r="Y329" s="5" t="str">
        <f t="shared" si="18"/>
        <v>main-0|main-1|freeplayA-4||||||| x 20</v>
      </c>
    </row>
    <row r="330" spans="2:25">
      <c r="B330" s="5">
        <v>327</v>
      </c>
      <c r="C330" s="5">
        <f t="shared" si="19"/>
        <v>33.299999999999997</v>
      </c>
      <c r="D330" s="12">
        <v>20</v>
      </c>
      <c r="E330" s="6" t="s">
        <v>209</v>
      </c>
      <c r="F330" s="5">
        <f>VLOOKUP(E330,'Win Methods'!$C$4:$F$4992,4,FALSE)</f>
        <v>0.2</v>
      </c>
      <c r="G330" s="6" t="s">
        <v>209</v>
      </c>
      <c r="H330" s="5">
        <f>VLOOKUP(G330,'Win Methods'!$C$4:$F$4992,4,FALSE)</f>
        <v>0.2</v>
      </c>
      <c r="I330" s="113" t="s">
        <v>269</v>
      </c>
      <c r="J330" s="5">
        <f>VLOOKUP(I330,'Win Methods'!$C$4:$F$4992,4,FALSE)</f>
        <v>25.299999999999997</v>
      </c>
      <c r="K330" s="6"/>
      <c r="L330" s="5">
        <f>VLOOKUP(K330,'Win Methods'!$C$4:$F$4992,4,FALSE)</f>
        <v>0</v>
      </c>
      <c r="M330" s="6"/>
      <c r="N330" s="5">
        <f>VLOOKUP(M330,'Win Methods'!$C$4:$F$4992,4,FALSE)</f>
        <v>0</v>
      </c>
      <c r="O330" s="6"/>
      <c r="P330" s="5">
        <f>VLOOKUP(O330,'Win Methods'!$C$4:$F$4992,4,FALSE)</f>
        <v>0</v>
      </c>
      <c r="Q330" s="6"/>
      <c r="R330" s="5">
        <f>VLOOKUP(Q330,'Win Methods'!$C$4:$F$4992,4,FALSE)</f>
        <v>0</v>
      </c>
      <c r="S330" s="6"/>
      <c r="T330" s="5">
        <f>VLOOKUP(S330,'Win Methods'!$C$4:$F$4992,4,FALSE)</f>
        <v>0</v>
      </c>
      <c r="U330" s="6"/>
      <c r="V330" s="5">
        <f>VLOOKUP(U330,'Win Methods'!$C$4:$F$4992,4,FALSE)</f>
        <v>0</v>
      </c>
      <c r="W330" s="6"/>
      <c r="X330" s="5">
        <f>VLOOKUP(W330,'Win Methods'!$C$4:$F$4992,4,FALSE)</f>
        <v>0</v>
      </c>
      <c r="Y330" s="5" t="str">
        <f t="shared" si="18"/>
        <v>main-1|main-1|freeplayA-5||||||| x 20</v>
      </c>
    </row>
    <row r="331" spans="2:25">
      <c r="B331" s="5">
        <v>328</v>
      </c>
      <c r="C331" s="5">
        <f t="shared" si="19"/>
        <v>41</v>
      </c>
      <c r="D331" s="12">
        <v>20</v>
      </c>
      <c r="E331" s="6" t="s">
        <v>208</v>
      </c>
      <c r="F331" s="5">
        <f>VLOOKUP(E331,'Win Methods'!$C$4:$F$4992,4,FALSE)</f>
        <v>0.1</v>
      </c>
      <c r="G331" s="6" t="s">
        <v>210</v>
      </c>
      <c r="H331" s="5">
        <f>VLOOKUP(G331,'Win Methods'!$C$4:$F$4992,4,FALSE)</f>
        <v>0.5</v>
      </c>
      <c r="I331" s="113" t="s">
        <v>270</v>
      </c>
      <c r="J331" s="5">
        <f>VLOOKUP(I331,'Win Methods'!$C$4:$F$4992,4,FALSE)</f>
        <v>29</v>
      </c>
      <c r="K331" s="6"/>
      <c r="L331" s="5">
        <f>VLOOKUP(K331,'Win Methods'!$C$4:$F$4992,4,FALSE)</f>
        <v>0</v>
      </c>
      <c r="M331" s="6"/>
      <c r="N331" s="5">
        <f>VLOOKUP(M331,'Win Methods'!$C$4:$F$4992,4,FALSE)</f>
        <v>0</v>
      </c>
      <c r="O331" s="6"/>
      <c r="P331" s="5">
        <f>VLOOKUP(O331,'Win Methods'!$C$4:$F$4992,4,FALSE)</f>
        <v>0</v>
      </c>
      <c r="Q331" s="6"/>
      <c r="R331" s="5">
        <f>VLOOKUP(Q331,'Win Methods'!$C$4:$F$4992,4,FALSE)</f>
        <v>0</v>
      </c>
      <c r="S331" s="6"/>
      <c r="T331" s="5">
        <f>VLOOKUP(S331,'Win Methods'!$C$4:$F$4992,4,FALSE)</f>
        <v>0</v>
      </c>
      <c r="U331" s="6"/>
      <c r="V331" s="5">
        <f>VLOOKUP(U331,'Win Methods'!$C$4:$F$4992,4,FALSE)</f>
        <v>0</v>
      </c>
      <c r="W331" s="6"/>
      <c r="X331" s="5">
        <f>VLOOKUP(W331,'Win Methods'!$C$4:$F$4992,4,FALSE)</f>
        <v>0</v>
      </c>
      <c r="Y331" s="5" t="str">
        <f t="shared" si="18"/>
        <v>main-0|main-2|freeplayA-6||||||| x 20</v>
      </c>
    </row>
    <row r="332" spans="2:25">
      <c r="B332" s="5">
        <v>329</v>
      </c>
      <c r="C332" s="5">
        <f t="shared" si="19"/>
        <v>63.9</v>
      </c>
      <c r="D332" s="12">
        <v>20</v>
      </c>
      <c r="E332" s="6" t="s">
        <v>208</v>
      </c>
      <c r="F332" s="5">
        <f>VLOOKUP(E332,'Win Methods'!$C$4:$F$4992,4,FALSE)</f>
        <v>0.1</v>
      </c>
      <c r="G332" s="6" t="s">
        <v>211</v>
      </c>
      <c r="H332" s="5">
        <f>VLOOKUP(G332,'Win Methods'!$C$4:$F$4992,4,FALSE)</f>
        <v>1</v>
      </c>
      <c r="I332" s="113" t="s">
        <v>271</v>
      </c>
      <c r="J332" s="5">
        <f>VLOOKUP(I332,'Win Methods'!$C$4:$F$4992,4,FALSE)</f>
        <v>41.9</v>
      </c>
      <c r="K332" s="6"/>
      <c r="L332" s="5">
        <f>VLOOKUP(K332,'Win Methods'!$C$4:$F$4992,4,FALSE)</f>
        <v>0</v>
      </c>
      <c r="M332" s="6"/>
      <c r="N332" s="5">
        <f>VLOOKUP(M332,'Win Methods'!$C$4:$F$4992,4,FALSE)</f>
        <v>0</v>
      </c>
      <c r="O332" s="6"/>
      <c r="P332" s="5">
        <f>VLOOKUP(O332,'Win Methods'!$C$4:$F$4992,4,FALSE)</f>
        <v>0</v>
      </c>
      <c r="Q332" s="6"/>
      <c r="R332" s="5">
        <f>VLOOKUP(Q332,'Win Methods'!$C$4:$F$4992,4,FALSE)</f>
        <v>0</v>
      </c>
      <c r="S332" s="6"/>
      <c r="T332" s="5">
        <f>VLOOKUP(S332,'Win Methods'!$C$4:$F$4992,4,FALSE)</f>
        <v>0</v>
      </c>
      <c r="U332" s="6"/>
      <c r="V332" s="5">
        <f>VLOOKUP(U332,'Win Methods'!$C$4:$F$4992,4,FALSE)</f>
        <v>0</v>
      </c>
      <c r="W332" s="6"/>
      <c r="X332" s="5">
        <f>VLOOKUP(W332,'Win Methods'!$C$4:$F$4992,4,FALSE)</f>
        <v>0</v>
      </c>
      <c r="Y332" s="5" t="str">
        <f t="shared" si="18"/>
        <v>main-0|main-3|freeplayA-7||||||| x 20</v>
      </c>
    </row>
    <row r="333" spans="2:25">
      <c r="B333" s="5">
        <v>330</v>
      </c>
      <c r="C333" s="5">
        <f t="shared" si="19"/>
        <v>59</v>
      </c>
      <c r="D333" s="12">
        <v>20</v>
      </c>
      <c r="E333" s="6" t="s">
        <v>208</v>
      </c>
      <c r="F333" s="5">
        <f>VLOOKUP(E333,'Win Methods'!$C$4:$F$4992,4,FALSE)</f>
        <v>0.1</v>
      </c>
      <c r="G333" s="6" t="s">
        <v>212</v>
      </c>
      <c r="H333" s="5">
        <f>VLOOKUP(G333,'Win Methods'!$C$4:$F$4992,4,FALSE)</f>
        <v>1.5</v>
      </c>
      <c r="I333" s="113" t="s">
        <v>272</v>
      </c>
      <c r="J333" s="5">
        <f>VLOOKUP(I333,'Win Methods'!$C$4:$F$4992,4,FALSE)</f>
        <v>27</v>
      </c>
      <c r="K333" s="6"/>
      <c r="L333" s="5">
        <f>VLOOKUP(K333,'Win Methods'!$C$4:$F$4992,4,FALSE)</f>
        <v>0</v>
      </c>
      <c r="M333" s="6"/>
      <c r="N333" s="5">
        <f>VLOOKUP(M333,'Win Methods'!$C$4:$F$4992,4,FALSE)</f>
        <v>0</v>
      </c>
      <c r="O333" s="6"/>
      <c r="P333" s="5">
        <f>VLOOKUP(O333,'Win Methods'!$C$4:$F$4992,4,FALSE)</f>
        <v>0</v>
      </c>
      <c r="Q333" s="6"/>
      <c r="R333" s="5">
        <f>VLOOKUP(Q333,'Win Methods'!$C$4:$F$4992,4,FALSE)</f>
        <v>0</v>
      </c>
      <c r="S333" s="6"/>
      <c r="T333" s="5">
        <f>VLOOKUP(S333,'Win Methods'!$C$4:$F$4992,4,FALSE)</f>
        <v>0</v>
      </c>
      <c r="U333" s="6"/>
      <c r="V333" s="5">
        <f>VLOOKUP(U333,'Win Methods'!$C$4:$F$4992,4,FALSE)</f>
        <v>0</v>
      </c>
      <c r="W333" s="6"/>
      <c r="X333" s="5">
        <f>VLOOKUP(W333,'Win Methods'!$C$4:$F$4992,4,FALSE)</f>
        <v>0</v>
      </c>
      <c r="Y333" s="5" t="str">
        <f t="shared" si="18"/>
        <v>main-0|main-4|freeplayA-8||||||| x 20</v>
      </c>
    </row>
    <row r="334" spans="2:25">
      <c r="B334" s="5">
        <v>331</v>
      </c>
      <c r="C334" s="5">
        <f t="shared" si="19"/>
        <v>84.1</v>
      </c>
      <c r="D334" s="12">
        <v>20</v>
      </c>
      <c r="E334" s="6" t="s">
        <v>210</v>
      </c>
      <c r="F334" s="5">
        <f>VLOOKUP(E334,'Win Methods'!$C$4:$F$4992,4,FALSE)</f>
        <v>0.5</v>
      </c>
      <c r="G334" s="6" t="s">
        <v>228</v>
      </c>
      <c r="H334" s="5">
        <f>VLOOKUP(G334,'Win Methods'!$C$4:$F$4992,4,FALSE)</f>
        <v>1.5</v>
      </c>
      <c r="I334" s="113" t="s">
        <v>273</v>
      </c>
      <c r="J334" s="5">
        <f>VLOOKUP(I334,'Win Methods'!$C$4:$F$4992,4,FALSE)</f>
        <v>44.099999999999994</v>
      </c>
      <c r="K334" s="6"/>
      <c r="L334" s="5">
        <f>VLOOKUP(K334,'Win Methods'!$C$4:$F$4992,4,FALSE)</f>
        <v>0</v>
      </c>
      <c r="M334" s="6"/>
      <c r="N334" s="5">
        <f>VLOOKUP(M334,'Win Methods'!$C$4:$F$4992,4,FALSE)</f>
        <v>0</v>
      </c>
      <c r="O334" s="6"/>
      <c r="P334" s="5">
        <f>VLOOKUP(O334,'Win Methods'!$C$4:$F$4992,4,FALSE)</f>
        <v>0</v>
      </c>
      <c r="Q334" s="6"/>
      <c r="R334" s="5">
        <f>VLOOKUP(Q334,'Win Methods'!$C$4:$F$4992,4,FALSE)</f>
        <v>0</v>
      </c>
      <c r="S334" s="6"/>
      <c r="T334" s="5">
        <f>VLOOKUP(S334,'Win Methods'!$C$4:$F$4992,4,FALSE)</f>
        <v>0</v>
      </c>
      <c r="U334" s="6"/>
      <c r="V334" s="5">
        <f>VLOOKUP(U334,'Win Methods'!$C$4:$F$4992,4,FALSE)</f>
        <v>0</v>
      </c>
      <c r="W334" s="6"/>
      <c r="X334" s="5">
        <f>VLOOKUP(W334,'Win Methods'!$C$4:$F$4992,4,FALSE)</f>
        <v>0</v>
      </c>
      <c r="Y334" s="5" t="str">
        <f t="shared" si="18"/>
        <v>main-2|main-20|freeplayA-9||||||| x 20</v>
      </c>
    </row>
    <row r="335" spans="2:25">
      <c r="B335" s="5">
        <v>332</v>
      </c>
      <c r="C335" s="5">
        <f t="shared" si="19"/>
        <v>76</v>
      </c>
      <c r="D335" s="12">
        <v>20</v>
      </c>
      <c r="E335" s="6" t="s">
        <v>212</v>
      </c>
      <c r="F335" s="5">
        <f>VLOOKUP(E335,'Win Methods'!$C$4:$F$4992,4,FALSE)</f>
        <v>1.5</v>
      </c>
      <c r="G335" s="6" t="s">
        <v>212</v>
      </c>
      <c r="H335" s="5">
        <f>VLOOKUP(G335,'Win Methods'!$C$4:$F$4992,4,FALSE)</f>
        <v>1.5</v>
      </c>
      <c r="I335" s="113" t="s">
        <v>274</v>
      </c>
      <c r="J335" s="5">
        <f>VLOOKUP(I335,'Win Methods'!$C$4:$F$4992,4,FALSE)</f>
        <v>16</v>
      </c>
      <c r="K335" s="6"/>
      <c r="L335" s="5">
        <f>VLOOKUP(K335,'Win Methods'!$C$4:$F$4992,4,FALSE)</f>
        <v>0</v>
      </c>
      <c r="M335" s="6"/>
      <c r="N335" s="5">
        <f>VLOOKUP(M335,'Win Methods'!$C$4:$F$4992,4,FALSE)</f>
        <v>0</v>
      </c>
      <c r="O335" s="6"/>
      <c r="P335" s="5">
        <f>VLOOKUP(O335,'Win Methods'!$C$4:$F$4992,4,FALSE)</f>
        <v>0</v>
      </c>
      <c r="Q335" s="6"/>
      <c r="R335" s="5">
        <f>VLOOKUP(Q335,'Win Methods'!$C$4:$F$4992,4,FALSE)</f>
        <v>0</v>
      </c>
      <c r="S335" s="6"/>
      <c r="T335" s="5">
        <f>VLOOKUP(S335,'Win Methods'!$C$4:$F$4992,4,FALSE)</f>
        <v>0</v>
      </c>
      <c r="U335" s="6"/>
      <c r="V335" s="5">
        <f>VLOOKUP(U335,'Win Methods'!$C$4:$F$4992,4,FALSE)</f>
        <v>0</v>
      </c>
      <c r="W335" s="6"/>
      <c r="X335" s="5">
        <f>VLOOKUP(W335,'Win Methods'!$C$4:$F$4992,4,FALSE)</f>
        <v>0</v>
      </c>
      <c r="Y335" s="5" t="str">
        <f t="shared" si="18"/>
        <v>main-4|main-4|freeplayA-10||||||| x 20</v>
      </c>
    </row>
    <row r="336" spans="2:25">
      <c r="B336" s="5">
        <v>333</v>
      </c>
      <c r="C336" s="5">
        <f t="shared" si="19"/>
        <v>78.599999999999994</v>
      </c>
      <c r="D336" s="12">
        <v>20</v>
      </c>
      <c r="E336" s="6" t="s">
        <v>212</v>
      </c>
      <c r="F336" s="5">
        <f>VLOOKUP(E336,'Win Methods'!$C$4:$F$4992,4,FALSE)</f>
        <v>1.5</v>
      </c>
      <c r="G336" s="6" t="s">
        <v>219</v>
      </c>
      <c r="H336" s="5">
        <f>VLOOKUP(G336,'Win Methods'!$C$4:$F$4992,4,FALSE)</f>
        <v>1.5</v>
      </c>
      <c r="I336" s="113" t="s">
        <v>268</v>
      </c>
      <c r="J336" s="5">
        <f>VLOOKUP(I336,'Win Methods'!$C$4:$F$4992,4,FALSE)</f>
        <v>18.600000000000001</v>
      </c>
      <c r="K336" s="6"/>
      <c r="L336" s="5">
        <f>VLOOKUP(K336,'Win Methods'!$C$4:$F$4992,4,FALSE)</f>
        <v>0</v>
      </c>
      <c r="M336" s="6"/>
      <c r="N336" s="5">
        <f>VLOOKUP(M336,'Win Methods'!$C$4:$F$4992,4,FALSE)</f>
        <v>0</v>
      </c>
      <c r="O336" s="6"/>
      <c r="P336" s="5">
        <f>VLOOKUP(O336,'Win Methods'!$C$4:$F$4992,4,FALSE)</f>
        <v>0</v>
      </c>
      <c r="Q336" s="6"/>
      <c r="R336" s="5">
        <f>VLOOKUP(Q336,'Win Methods'!$C$4:$F$4992,4,FALSE)</f>
        <v>0</v>
      </c>
      <c r="S336" s="6"/>
      <c r="T336" s="5">
        <f>VLOOKUP(S336,'Win Methods'!$C$4:$F$4992,4,FALSE)</f>
        <v>0</v>
      </c>
      <c r="U336" s="6"/>
      <c r="V336" s="5">
        <f>VLOOKUP(U336,'Win Methods'!$C$4:$F$4992,4,FALSE)</f>
        <v>0</v>
      </c>
      <c r="W336" s="6"/>
      <c r="X336" s="5">
        <f>VLOOKUP(W336,'Win Methods'!$C$4:$F$4992,4,FALSE)</f>
        <v>0</v>
      </c>
      <c r="Y336" s="5" t="str">
        <f t="shared" si="18"/>
        <v>main-4|main-11|freeplayA-4||||||| x 20</v>
      </c>
    </row>
    <row r="337" spans="2:25">
      <c r="B337" s="5">
        <v>334</v>
      </c>
      <c r="C337" s="5">
        <f t="shared" si="19"/>
        <v>85.3</v>
      </c>
      <c r="D337" s="12">
        <v>20</v>
      </c>
      <c r="E337" s="6" t="s">
        <v>218</v>
      </c>
      <c r="F337" s="5">
        <f>VLOOKUP(E337,'Win Methods'!$C$4:$F$4992,4,FALSE)</f>
        <v>1</v>
      </c>
      <c r="G337" s="6" t="s">
        <v>238</v>
      </c>
      <c r="H337" s="5">
        <f>VLOOKUP(G337,'Win Methods'!$C$4:$F$4992,4,FALSE)</f>
        <v>2</v>
      </c>
      <c r="I337" s="113" t="s">
        <v>269</v>
      </c>
      <c r="J337" s="5">
        <f>VLOOKUP(I337,'Win Methods'!$C$4:$F$4992,4,FALSE)</f>
        <v>25.299999999999997</v>
      </c>
      <c r="K337" s="6"/>
      <c r="L337" s="5">
        <f>VLOOKUP(K337,'Win Methods'!$C$4:$F$4992,4,FALSE)</f>
        <v>0</v>
      </c>
      <c r="M337" s="6"/>
      <c r="N337" s="5">
        <f>VLOOKUP(M337,'Win Methods'!$C$4:$F$4992,4,FALSE)</f>
        <v>0</v>
      </c>
      <c r="O337" s="6"/>
      <c r="P337" s="5">
        <f>VLOOKUP(O337,'Win Methods'!$C$4:$F$4992,4,FALSE)</f>
        <v>0</v>
      </c>
      <c r="Q337" s="6"/>
      <c r="R337" s="5">
        <f>VLOOKUP(Q337,'Win Methods'!$C$4:$F$4992,4,FALSE)</f>
        <v>0</v>
      </c>
      <c r="S337" s="6"/>
      <c r="T337" s="5">
        <f>VLOOKUP(S337,'Win Methods'!$C$4:$F$4992,4,FALSE)</f>
        <v>0</v>
      </c>
      <c r="U337" s="6"/>
      <c r="V337" s="5">
        <f>VLOOKUP(U337,'Win Methods'!$C$4:$F$4992,4,FALSE)</f>
        <v>0</v>
      </c>
      <c r="W337" s="6"/>
      <c r="X337" s="5">
        <f>VLOOKUP(W337,'Win Methods'!$C$4:$F$4992,4,FALSE)</f>
        <v>0</v>
      </c>
      <c r="Y337" s="5" t="str">
        <f t="shared" si="18"/>
        <v>main-10|main-30|freeplayA-5||||||| x 20</v>
      </c>
    </row>
    <row r="338" spans="2:25">
      <c r="B338" s="5">
        <v>335</v>
      </c>
      <c r="C338" s="5">
        <f>(F338+H338+J338)*D338 +L338+N338+P338+R338+T338+V338+X338</f>
        <v>39.299999999999997</v>
      </c>
      <c r="D338" s="12">
        <v>20</v>
      </c>
      <c r="E338" s="6" t="s">
        <v>208</v>
      </c>
      <c r="F338" s="5">
        <f>VLOOKUP(E338,'Win Methods'!$C$4:$F$4992,4,FALSE)</f>
        <v>0.1</v>
      </c>
      <c r="G338" s="6" t="s">
        <v>208</v>
      </c>
      <c r="H338" s="5">
        <f>VLOOKUP(G338,'Win Methods'!$C$4:$F$4992,4,FALSE)</f>
        <v>0.1</v>
      </c>
      <c r="I338" s="6" t="s">
        <v>210</v>
      </c>
      <c r="J338" s="5">
        <f>VLOOKUP(I338,'Win Methods'!$C$4:$F$4992,4,FALSE)</f>
        <v>0.5</v>
      </c>
      <c r="K338" s="113" t="s">
        <v>269</v>
      </c>
      <c r="L338" s="5">
        <f>VLOOKUP(K338,'Win Methods'!$C$4:$F$4992,4,FALSE)</f>
        <v>25.299999999999997</v>
      </c>
      <c r="M338" s="6"/>
      <c r="N338" s="5">
        <f>VLOOKUP(M338,'Win Methods'!$C$4:$F$4992,4,FALSE)</f>
        <v>0</v>
      </c>
      <c r="O338" s="6"/>
      <c r="P338" s="5">
        <f>VLOOKUP(O338,'Win Methods'!$C$4:$F$4992,4,FALSE)</f>
        <v>0</v>
      </c>
      <c r="Q338" s="6"/>
      <c r="R338" s="5">
        <f>VLOOKUP(Q338,'Win Methods'!$C$4:$F$4992,4,FALSE)</f>
        <v>0</v>
      </c>
      <c r="S338" s="6"/>
      <c r="T338" s="5">
        <f>VLOOKUP(S338,'Win Methods'!$C$4:$F$4992,4,FALSE)</f>
        <v>0</v>
      </c>
      <c r="U338" s="6"/>
      <c r="V338" s="5">
        <f>VLOOKUP(U338,'Win Methods'!$C$4:$F$4992,4,FALSE)</f>
        <v>0</v>
      </c>
      <c r="W338" s="6"/>
      <c r="X338" s="5">
        <f>VLOOKUP(W338,'Win Methods'!$C$4:$F$4992,4,FALSE)</f>
        <v>0</v>
      </c>
      <c r="Y338" s="5" t="str">
        <f t="shared" si="18"/>
        <v>main-0|main-0|main-2|freeplayA-5|||||| x 20</v>
      </c>
    </row>
    <row r="339" spans="2:25">
      <c r="B339" s="5">
        <v>336</v>
      </c>
      <c r="C339" s="5">
        <f>(F339+H339+J339)*D339 +L339+N339+P339+R339+T339+V339+X339</f>
        <v>47</v>
      </c>
      <c r="D339" s="12">
        <v>20</v>
      </c>
      <c r="E339" s="6" t="s">
        <v>209</v>
      </c>
      <c r="F339" s="5">
        <f>VLOOKUP(E339,'Win Methods'!$C$4:$F$4992,4,FALSE)</f>
        <v>0.2</v>
      </c>
      <c r="G339" s="6" t="s">
        <v>209</v>
      </c>
      <c r="H339" s="5">
        <f>VLOOKUP(G339,'Win Methods'!$C$4:$F$4992,4,FALSE)</f>
        <v>0.2</v>
      </c>
      <c r="I339" s="6" t="s">
        <v>210</v>
      </c>
      <c r="J339" s="5">
        <f>VLOOKUP(I339,'Win Methods'!$C$4:$F$4992,4,FALSE)</f>
        <v>0.5</v>
      </c>
      <c r="K339" s="113" t="s">
        <v>270</v>
      </c>
      <c r="L339" s="5">
        <f>VLOOKUP(K339,'Win Methods'!$C$4:$F$4992,4,FALSE)</f>
        <v>29</v>
      </c>
      <c r="M339" s="6"/>
      <c r="N339" s="5">
        <f>VLOOKUP(M339,'Win Methods'!$C$4:$F$4992,4,FALSE)</f>
        <v>0</v>
      </c>
      <c r="O339" s="6"/>
      <c r="P339" s="5">
        <f>VLOOKUP(O339,'Win Methods'!$C$4:$F$4992,4,FALSE)</f>
        <v>0</v>
      </c>
      <c r="Q339" s="6"/>
      <c r="R339" s="5">
        <f>VLOOKUP(Q339,'Win Methods'!$C$4:$F$4992,4,FALSE)</f>
        <v>0</v>
      </c>
      <c r="S339" s="6"/>
      <c r="T339" s="5">
        <f>VLOOKUP(S339,'Win Methods'!$C$4:$F$4992,4,FALSE)</f>
        <v>0</v>
      </c>
      <c r="U339" s="6"/>
      <c r="V339" s="5">
        <f>VLOOKUP(U339,'Win Methods'!$C$4:$F$4992,4,FALSE)</f>
        <v>0</v>
      </c>
      <c r="W339" s="6"/>
      <c r="X339" s="5">
        <f>VLOOKUP(W339,'Win Methods'!$C$4:$F$4992,4,FALSE)</f>
        <v>0</v>
      </c>
      <c r="Y339" s="5" t="str">
        <f t="shared" si="18"/>
        <v>main-1|main-1|main-2|freeplayA-6|||||| x 20</v>
      </c>
    </row>
    <row r="340" spans="2:25">
      <c r="B340" s="5">
        <v>337</v>
      </c>
      <c r="C340" s="5">
        <f>(F340+H340+J340)*D340 +L340+N340+P340+R340+T340+V340+X340</f>
        <v>91.9</v>
      </c>
      <c r="D340" s="12">
        <v>20</v>
      </c>
      <c r="E340" s="6" t="s">
        <v>210</v>
      </c>
      <c r="F340" s="5">
        <f>VLOOKUP(E340,'Win Methods'!$C$4:$F$4992,4,FALSE)</f>
        <v>0.5</v>
      </c>
      <c r="G340" s="6" t="s">
        <v>211</v>
      </c>
      <c r="H340" s="5">
        <f>VLOOKUP(G340,'Win Methods'!$C$4:$F$4992,4,FALSE)</f>
        <v>1</v>
      </c>
      <c r="I340" s="6" t="s">
        <v>218</v>
      </c>
      <c r="J340" s="5">
        <f>VLOOKUP(I340,'Win Methods'!$C$4:$F$4992,4,FALSE)</f>
        <v>1</v>
      </c>
      <c r="K340" s="113" t="s">
        <v>271</v>
      </c>
      <c r="L340" s="5">
        <f>VLOOKUP(K340,'Win Methods'!$C$4:$F$4992,4,FALSE)</f>
        <v>41.9</v>
      </c>
      <c r="M340" s="6"/>
      <c r="N340" s="5">
        <f>VLOOKUP(M340,'Win Methods'!$C$4:$F$4992,4,FALSE)</f>
        <v>0</v>
      </c>
      <c r="O340" s="6"/>
      <c r="P340" s="5">
        <f>VLOOKUP(O340,'Win Methods'!$C$4:$F$4992,4,FALSE)</f>
        <v>0</v>
      </c>
      <c r="Q340" s="6"/>
      <c r="R340" s="5">
        <f>VLOOKUP(Q340,'Win Methods'!$C$4:$F$4992,4,FALSE)</f>
        <v>0</v>
      </c>
      <c r="S340" s="6"/>
      <c r="T340" s="5">
        <f>VLOOKUP(S340,'Win Methods'!$C$4:$F$4992,4,FALSE)</f>
        <v>0</v>
      </c>
      <c r="U340" s="6"/>
      <c r="V340" s="5">
        <f>VLOOKUP(U340,'Win Methods'!$C$4:$F$4992,4,FALSE)</f>
        <v>0</v>
      </c>
      <c r="W340" s="6"/>
      <c r="X340" s="5">
        <f>VLOOKUP(W340,'Win Methods'!$C$4:$F$4992,4,FALSE)</f>
        <v>0</v>
      </c>
      <c r="Y340" s="5" t="str">
        <f t="shared" si="18"/>
        <v>main-2|main-3|main-10|freeplayA-7|||||| x 20</v>
      </c>
    </row>
    <row r="341" spans="2:25">
      <c r="B341" s="5">
        <v>338</v>
      </c>
      <c r="C341" s="5">
        <f>(F341+H341+J341)*D341 +L341+N341+P341+R341+T341+V341+X341</f>
        <v>71</v>
      </c>
      <c r="D341" s="12">
        <v>20</v>
      </c>
      <c r="E341" s="6" t="s">
        <v>208</v>
      </c>
      <c r="F341" s="5">
        <f>VLOOKUP(E341,'Win Methods'!$C$4:$F$4992,4,FALSE)</f>
        <v>0.1</v>
      </c>
      <c r="G341" s="6" t="s">
        <v>208</v>
      </c>
      <c r="H341" s="5">
        <f>VLOOKUP(G341,'Win Methods'!$C$4:$F$4992,4,FALSE)</f>
        <v>0.1</v>
      </c>
      <c r="I341" s="6" t="s">
        <v>220</v>
      </c>
      <c r="J341" s="5">
        <f>VLOOKUP(I341,'Win Methods'!$C$4:$F$4992,4,FALSE)</f>
        <v>2</v>
      </c>
      <c r="K341" s="113" t="s">
        <v>272</v>
      </c>
      <c r="L341" s="5">
        <f>VLOOKUP(K341,'Win Methods'!$C$4:$F$4992,4,FALSE)</f>
        <v>27</v>
      </c>
      <c r="M341" s="6"/>
      <c r="N341" s="5">
        <f>VLOOKUP(M341,'Win Methods'!$C$4:$F$4992,4,FALSE)</f>
        <v>0</v>
      </c>
      <c r="O341" s="6"/>
      <c r="P341" s="5">
        <f>VLOOKUP(O341,'Win Methods'!$C$4:$F$4992,4,FALSE)</f>
        <v>0</v>
      </c>
      <c r="Q341" s="6"/>
      <c r="R341" s="5">
        <f>VLOOKUP(Q341,'Win Methods'!$C$4:$F$4992,4,FALSE)</f>
        <v>0</v>
      </c>
      <c r="S341" s="6"/>
      <c r="T341" s="5">
        <f>VLOOKUP(S341,'Win Methods'!$C$4:$F$4992,4,FALSE)</f>
        <v>0</v>
      </c>
      <c r="U341" s="6"/>
      <c r="V341" s="5">
        <f>VLOOKUP(U341,'Win Methods'!$C$4:$F$4992,4,FALSE)</f>
        <v>0</v>
      </c>
      <c r="W341" s="6"/>
      <c r="X341" s="5">
        <f>VLOOKUP(W341,'Win Methods'!$C$4:$F$4992,4,FALSE)</f>
        <v>0</v>
      </c>
      <c r="Y341" s="5" t="str">
        <f t="shared" si="18"/>
        <v>main-0|main-0|main-12|freeplayA-8|||||| x 20</v>
      </c>
    </row>
    <row r="342" spans="2:25">
      <c r="B342" s="5">
        <v>339</v>
      </c>
      <c r="C342" s="5">
        <f>(F342+H342+J342)*D342 +L342+N342+P342+R342+T342+V342+X342</f>
        <v>52.099999999999994</v>
      </c>
      <c r="D342" s="12">
        <v>20</v>
      </c>
      <c r="E342" s="6" t="s">
        <v>208</v>
      </c>
      <c r="F342" s="5">
        <f>VLOOKUP(E342,'Win Methods'!$C$4:$F$4992,4,FALSE)</f>
        <v>0.1</v>
      </c>
      <c r="G342" s="6" t="s">
        <v>208</v>
      </c>
      <c r="H342" s="5">
        <f>VLOOKUP(G342,'Win Methods'!$C$4:$F$4992,4,FALSE)</f>
        <v>0.1</v>
      </c>
      <c r="I342" s="6" t="s">
        <v>209</v>
      </c>
      <c r="J342" s="5">
        <f>VLOOKUP(I342,'Win Methods'!$C$4:$F$4992,4,FALSE)</f>
        <v>0.2</v>
      </c>
      <c r="K342" s="113" t="s">
        <v>273</v>
      </c>
      <c r="L342" s="5">
        <f>VLOOKUP(K342,'Win Methods'!$C$4:$F$4992,4,FALSE)</f>
        <v>44.099999999999994</v>
      </c>
      <c r="M342" s="6"/>
      <c r="N342" s="5">
        <f>VLOOKUP(M342,'Win Methods'!$C$4:$F$4992,4,FALSE)</f>
        <v>0</v>
      </c>
      <c r="O342" s="6"/>
      <c r="P342" s="5">
        <f>VLOOKUP(O342,'Win Methods'!$C$4:$F$4992,4,FALSE)</f>
        <v>0</v>
      </c>
      <c r="Q342" s="6"/>
      <c r="R342" s="5">
        <f>VLOOKUP(Q342,'Win Methods'!$C$4:$F$4992,4,FALSE)</f>
        <v>0</v>
      </c>
      <c r="S342" s="6"/>
      <c r="T342" s="5">
        <f>VLOOKUP(S342,'Win Methods'!$C$4:$F$4992,4,FALSE)</f>
        <v>0</v>
      </c>
      <c r="U342" s="6"/>
      <c r="V342" s="5">
        <f>VLOOKUP(U342,'Win Methods'!$C$4:$F$4992,4,FALSE)</f>
        <v>0</v>
      </c>
      <c r="W342" s="6"/>
      <c r="X342" s="5">
        <f>VLOOKUP(W342,'Win Methods'!$C$4:$F$4992,4,FALSE)</f>
        <v>0</v>
      </c>
      <c r="Y342" s="5" t="str">
        <f t="shared" si="18"/>
        <v>main-0|main-0|main-1|freeplayA-9|||||| x 20</v>
      </c>
    </row>
    <row r="343" spans="2:25">
      <c r="B343" s="5">
        <v>340</v>
      </c>
      <c r="C343" s="5">
        <f t="shared" ref="C343:C348" si="20">(F343+H343+J343+L343)*D343+N343+P343+R343+T343+V343+X343</f>
        <v>51.3</v>
      </c>
      <c r="D343" s="12">
        <v>20</v>
      </c>
      <c r="E343" s="6" t="s">
        <v>208</v>
      </c>
      <c r="F343" s="5">
        <f>VLOOKUP(E343,'Win Methods'!$C$4:$F$4992,4,FALSE)</f>
        <v>0.1</v>
      </c>
      <c r="G343" s="6" t="s">
        <v>209</v>
      </c>
      <c r="H343" s="5">
        <f>VLOOKUP(G343,'Win Methods'!$C$4:$F$4992,4,FALSE)</f>
        <v>0.2</v>
      </c>
      <c r="I343" s="6" t="s">
        <v>210</v>
      </c>
      <c r="J343" s="5">
        <f>VLOOKUP(I343,'Win Methods'!$C$4:$F$4992,4,FALSE)</f>
        <v>0.5</v>
      </c>
      <c r="K343" s="6" t="s">
        <v>210</v>
      </c>
      <c r="L343" s="5">
        <f>VLOOKUP(K343,'Win Methods'!$C$4:$F$4992,4,FALSE)</f>
        <v>0.5</v>
      </c>
      <c r="M343" s="113" t="s">
        <v>269</v>
      </c>
      <c r="N343" s="5">
        <f>VLOOKUP(M343,'Win Methods'!$C$4:$F$4992,4,FALSE)</f>
        <v>25.299999999999997</v>
      </c>
      <c r="O343" s="6"/>
      <c r="P343" s="5">
        <f>VLOOKUP(O343,'Win Methods'!$C$4:$F$4992,4,FALSE)</f>
        <v>0</v>
      </c>
      <c r="Q343" s="6"/>
      <c r="R343" s="5">
        <f>VLOOKUP(Q343,'Win Methods'!$C$4:$F$4992,4,FALSE)</f>
        <v>0</v>
      </c>
      <c r="S343" s="6"/>
      <c r="T343" s="5">
        <f>VLOOKUP(S343,'Win Methods'!$C$4:$F$4992,4,FALSE)</f>
        <v>0</v>
      </c>
      <c r="U343" s="6"/>
      <c r="V343" s="5">
        <f>VLOOKUP(U343,'Win Methods'!$C$4:$F$4992,4,FALSE)</f>
        <v>0</v>
      </c>
      <c r="W343" s="6"/>
      <c r="X343" s="5">
        <f>VLOOKUP(W343,'Win Methods'!$C$4:$F$4992,4,FALSE)</f>
        <v>0</v>
      </c>
      <c r="Y343" s="5" t="str">
        <f t="shared" si="18"/>
        <v>main-0|main-1|main-2|main-2|freeplayA-5||||| x 20</v>
      </c>
    </row>
    <row r="344" spans="2:25">
      <c r="B344" s="5">
        <v>341</v>
      </c>
      <c r="C344" s="5">
        <f t="shared" si="20"/>
        <v>69</v>
      </c>
      <c r="D344" s="12">
        <v>20</v>
      </c>
      <c r="E344" s="6" t="s">
        <v>208</v>
      </c>
      <c r="F344" s="5">
        <f>VLOOKUP(E344,'Win Methods'!$C$4:$F$4992,4,FALSE)</f>
        <v>0.1</v>
      </c>
      <c r="G344" s="6" t="s">
        <v>209</v>
      </c>
      <c r="H344" s="5">
        <f>VLOOKUP(G344,'Win Methods'!$C$4:$F$4992,4,FALSE)</f>
        <v>0.2</v>
      </c>
      <c r="I344" s="6" t="s">
        <v>209</v>
      </c>
      <c r="J344" s="5">
        <f>VLOOKUP(I344,'Win Methods'!$C$4:$F$4992,4,FALSE)</f>
        <v>0.2</v>
      </c>
      <c r="K344" s="6" t="s">
        <v>212</v>
      </c>
      <c r="L344" s="5">
        <f>VLOOKUP(K344,'Win Methods'!$C$4:$F$4992,4,FALSE)</f>
        <v>1.5</v>
      </c>
      <c r="M344" s="113" t="s">
        <v>270</v>
      </c>
      <c r="N344" s="5">
        <f>VLOOKUP(M344,'Win Methods'!$C$4:$F$4992,4,FALSE)</f>
        <v>29</v>
      </c>
      <c r="O344" s="6"/>
      <c r="P344" s="5">
        <f>VLOOKUP(O344,'Win Methods'!$C$4:$F$4992,4,FALSE)</f>
        <v>0</v>
      </c>
      <c r="Q344" s="6"/>
      <c r="R344" s="5">
        <f>VLOOKUP(Q344,'Win Methods'!$C$4:$F$4992,4,FALSE)</f>
        <v>0</v>
      </c>
      <c r="S344" s="6"/>
      <c r="T344" s="5">
        <f>VLOOKUP(S344,'Win Methods'!$C$4:$F$4992,4,FALSE)</f>
        <v>0</v>
      </c>
      <c r="U344" s="6"/>
      <c r="V344" s="5">
        <f>VLOOKUP(U344,'Win Methods'!$C$4:$F$4992,4,FALSE)</f>
        <v>0</v>
      </c>
      <c r="W344" s="6"/>
      <c r="X344" s="5">
        <f>VLOOKUP(W344,'Win Methods'!$C$4:$F$4992,4,FALSE)</f>
        <v>0</v>
      </c>
      <c r="Y344" s="5" t="str">
        <f t="shared" si="18"/>
        <v>main-0|main-1|main-1|main-4|freeplayA-6||||| x 20</v>
      </c>
    </row>
    <row r="345" spans="2:25">
      <c r="B345" s="5">
        <v>342</v>
      </c>
      <c r="C345" s="5">
        <f t="shared" si="20"/>
        <v>69.900000000000006</v>
      </c>
      <c r="D345" s="12">
        <v>20</v>
      </c>
      <c r="E345" s="6" t="s">
        <v>208</v>
      </c>
      <c r="F345" s="5">
        <f>VLOOKUP(E345,'Win Methods'!$C$4:$F$4992,4,FALSE)</f>
        <v>0.1</v>
      </c>
      <c r="G345" s="6" t="s">
        <v>208</v>
      </c>
      <c r="H345" s="5">
        <f>VLOOKUP(G345,'Win Methods'!$C$4:$F$4992,4,FALSE)</f>
        <v>0.1</v>
      </c>
      <c r="I345" s="6" t="s">
        <v>209</v>
      </c>
      <c r="J345" s="5">
        <f>VLOOKUP(I345,'Win Methods'!$C$4:$F$4992,4,FALSE)</f>
        <v>0.2</v>
      </c>
      <c r="K345" s="6" t="s">
        <v>218</v>
      </c>
      <c r="L345" s="5">
        <f>VLOOKUP(K345,'Win Methods'!$C$4:$F$4992,4,FALSE)</f>
        <v>1</v>
      </c>
      <c r="M345" s="113" t="s">
        <v>271</v>
      </c>
      <c r="N345" s="5">
        <f>VLOOKUP(M345,'Win Methods'!$C$4:$F$4992,4,FALSE)</f>
        <v>41.9</v>
      </c>
      <c r="O345" s="6"/>
      <c r="P345" s="5">
        <f>VLOOKUP(O345,'Win Methods'!$C$4:$F$4992,4,FALSE)</f>
        <v>0</v>
      </c>
      <c r="Q345" s="6"/>
      <c r="R345" s="5">
        <f>VLOOKUP(Q345,'Win Methods'!$C$4:$F$4992,4,FALSE)</f>
        <v>0</v>
      </c>
      <c r="S345" s="6"/>
      <c r="T345" s="5">
        <f>VLOOKUP(S345,'Win Methods'!$C$4:$F$4992,4,FALSE)</f>
        <v>0</v>
      </c>
      <c r="U345" s="6"/>
      <c r="V345" s="5">
        <f>VLOOKUP(U345,'Win Methods'!$C$4:$F$4992,4,FALSE)</f>
        <v>0</v>
      </c>
      <c r="W345" s="6"/>
      <c r="X345" s="5">
        <f>VLOOKUP(W345,'Win Methods'!$C$4:$F$4992,4,FALSE)</f>
        <v>0</v>
      </c>
      <c r="Y345" s="5" t="str">
        <f t="shared" si="18"/>
        <v>main-0|main-0|main-1|main-10|freeplayA-7||||| x 20</v>
      </c>
    </row>
    <row r="346" spans="2:25">
      <c r="B346" s="5">
        <v>343</v>
      </c>
      <c r="C346" s="5">
        <f t="shared" si="20"/>
        <v>37</v>
      </c>
      <c r="D346" s="12">
        <v>20</v>
      </c>
      <c r="E346" s="6" t="s">
        <v>208</v>
      </c>
      <c r="F346" s="5">
        <f>VLOOKUP(E346,'Win Methods'!$C$4:$F$4992,4,FALSE)</f>
        <v>0.1</v>
      </c>
      <c r="G346" s="6" t="s">
        <v>208</v>
      </c>
      <c r="H346" s="5">
        <f>VLOOKUP(G346,'Win Methods'!$C$4:$F$4992,4,FALSE)</f>
        <v>0.1</v>
      </c>
      <c r="I346" s="6" t="s">
        <v>208</v>
      </c>
      <c r="J346" s="5">
        <f>VLOOKUP(I346,'Win Methods'!$C$4:$F$4992,4,FALSE)</f>
        <v>0.1</v>
      </c>
      <c r="K346" s="6" t="s">
        <v>209</v>
      </c>
      <c r="L346" s="5">
        <f>VLOOKUP(K346,'Win Methods'!$C$4:$F$4992,4,FALSE)</f>
        <v>0.2</v>
      </c>
      <c r="M346" s="113" t="s">
        <v>272</v>
      </c>
      <c r="N346" s="5">
        <f>VLOOKUP(M346,'Win Methods'!$C$4:$F$4992,4,FALSE)</f>
        <v>27</v>
      </c>
      <c r="O346" s="6"/>
      <c r="P346" s="5">
        <f>VLOOKUP(O346,'Win Methods'!$C$4:$F$4992,4,FALSE)</f>
        <v>0</v>
      </c>
      <c r="Q346" s="6"/>
      <c r="R346" s="5">
        <f>VLOOKUP(Q346,'Win Methods'!$C$4:$F$4992,4,FALSE)</f>
        <v>0</v>
      </c>
      <c r="S346" s="6"/>
      <c r="T346" s="5">
        <f>VLOOKUP(S346,'Win Methods'!$C$4:$F$4992,4,FALSE)</f>
        <v>0</v>
      </c>
      <c r="U346" s="6"/>
      <c r="V346" s="5">
        <f>VLOOKUP(U346,'Win Methods'!$C$4:$F$4992,4,FALSE)</f>
        <v>0</v>
      </c>
      <c r="W346" s="6"/>
      <c r="X346" s="5">
        <f>VLOOKUP(W346,'Win Methods'!$C$4:$F$4992,4,FALSE)</f>
        <v>0</v>
      </c>
      <c r="Y346" s="5" t="str">
        <f t="shared" si="18"/>
        <v>main-0|main-0|main-0|main-1|freeplayA-8||||| x 20</v>
      </c>
    </row>
    <row r="347" spans="2:25">
      <c r="B347" s="5">
        <v>344</v>
      </c>
      <c r="C347" s="5">
        <f t="shared" si="20"/>
        <v>30.6</v>
      </c>
      <c r="D347" s="12">
        <v>20</v>
      </c>
      <c r="E347" s="6" t="s">
        <v>208</v>
      </c>
      <c r="F347" s="5">
        <f>VLOOKUP(E347,'Win Methods'!$C$4:$F$4992,4,FALSE)</f>
        <v>0.1</v>
      </c>
      <c r="G347" s="6" t="s">
        <v>208</v>
      </c>
      <c r="H347" s="5">
        <f>VLOOKUP(G347,'Win Methods'!$C$4:$F$4992,4,FALSE)</f>
        <v>0.1</v>
      </c>
      <c r="I347" s="6" t="s">
        <v>209</v>
      </c>
      <c r="J347" s="5">
        <f>VLOOKUP(I347,'Win Methods'!$C$4:$F$4992,4,FALSE)</f>
        <v>0.2</v>
      </c>
      <c r="K347" s="6" t="s">
        <v>209</v>
      </c>
      <c r="L347" s="5">
        <f>VLOOKUP(K347,'Win Methods'!$C$4:$F$4992,4,FALSE)</f>
        <v>0.2</v>
      </c>
      <c r="M347" s="113" t="s">
        <v>268</v>
      </c>
      <c r="N347" s="5">
        <f>VLOOKUP(M347,'Win Methods'!$C$4:$F$4992,4,FALSE)</f>
        <v>18.600000000000001</v>
      </c>
      <c r="O347" s="6"/>
      <c r="P347" s="5">
        <f>VLOOKUP(O347,'Win Methods'!$C$4:$F$4992,4,FALSE)</f>
        <v>0</v>
      </c>
      <c r="Q347" s="6"/>
      <c r="R347" s="5">
        <f>VLOOKUP(Q347,'Win Methods'!$C$4:$F$4992,4,FALSE)</f>
        <v>0</v>
      </c>
      <c r="S347" s="6"/>
      <c r="T347" s="5">
        <f>VLOOKUP(S347,'Win Methods'!$C$4:$F$4992,4,FALSE)</f>
        <v>0</v>
      </c>
      <c r="U347" s="6"/>
      <c r="V347" s="5">
        <f>VLOOKUP(U347,'Win Methods'!$C$4:$F$4992,4,FALSE)</f>
        <v>0</v>
      </c>
      <c r="W347" s="6"/>
      <c r="X347" s="5">
        <f>VLOOKUP(W347,'Win Methods'!$C$4:$F$4992,4,FALSE)</f>
        <v>0</v>
      </c>
      <c r="Y347" s="5" t="str">
        <f t="shared" si="18"/>
        <v>main-0|main-0|main-1|main-1|freeplayA-4||||| x 20</v>
      </c>
    </row>
    <row r="348" spans="2:25">
      <c r="B348" s="5">
        <v>345</v>
      </c>
      <c r="C348" s="5">
        <f t="shared" si="20"/>
        <v>73.3</v>
      </c>
      <c r="D348" s="12">
        <v>20</v>
      </c>
      <c r="E348" s="6" t="s">
        <v>208</v>
      </c>
      <c r="F348" s="5">
        <f>VLOOKUP(E348,'Win Methods'!$C$4:$F$4992,4,FALSE)</f>
        <v>0.1</v>
      </c>
      <c r="G348" s="6" t="s">
        <v>208</v>
      </c>
      <c r="H348" s="5">
        <f>VLOOKUP(G348,'Win Methods'!$C$4:$F$4992,4,FALSE)</f>
        <v>0.1</v>
      </c>
      <c r="I348" s="6" t="s">
        <v>209</v>
      </c>
      <c r="J348" s="5">
        <f>VLOOKUP(I348,'Win Methods'!$C$4:$F$4992,4,FALSE)</f>
        <v>0.2</v>
      </c>
      <c r="K348" s="6" t="s">
        <v>238</v>
      </c>
      <c r="L348" s="5">
        <f>VLOOKUP(K348,'Win Methods'!$C$4:$F$4992,4,FALSE)</f>
        <v>2</v>
      </c>
      <c r="M348" s="113" t="s">
        <v>269</v>
      </c>
      <c r="N348" s="5">
        <f>VLOOKUP(M348,'Win Methods'!$C$4:$F$4992,4,FALSE)</f>
        <v>25.299999999999997</v>
      </c>
      <c r="O348" s="6"/>
      <c r="P348" s="5">
        <f>VLOOKUP(O348,'Win Methods'!$C$4:$F$4992,4,FALSE)</f>
        <v>0</v>
      </c>
      <c r="Q348" s="6"/>
      <c r="R348" s="5">
        <f>VLOOKUP(Q348,'Win Methods'!$C$4:$F$4992,4,FALSE)</f>
        <v>0</v>
      </c>
      <c r="S348" s="6"/>
      <c r="T348" s="5">
        <f>VLOOKUP(S348,'Win Methods'!$C$4:$F$4992,4,FALSE)</f>
        <v>0</v>
      </c>
      <c r="U348" s="6"/>
      <c r="V348" s="5">
        <f>VLOOKUP(U348,'Win Methods'!$C$4:$F$4992,4,FALSE)</f>
        <v>0</v>
      </c>
      <c r="W348" s="6"/>
      <c r="X348" s="5">
        <f>VLOOKUP(W348,'Win Methods'!$C$4:$F$4992,4,FALSE)</f>
        <v>0</v>
      </c>
      <c r="Y348" s="5" t="str">
        <f t="shared" si="18"/>
        <v>main-0|main-0|main-1|main-30|freeplayA-5||||| x 20</v>
      </c>
    </row>
    <row r="349" spans="2:25">
      <c r="B349" s="5">
        <v>346</v>
      </c>
      <c r="C349" s="5">
        <f>(F349+H349+J349+L349+N349)*D349+P349+R349+T349+V349+X349</f>
        <v>40.6</v>
      </c>
      <c r="D349" s="12">
        <v>20</v>
      </c>
      <c r="E349" s="6" t="s">
        <v>208</v>
      </c>
      <c r="F349" s="5">
        <f>VLOOKUP(E349,'Win Methods'!$C$4:$F$4992,4,FALSE)</f>
        <v>0.1</v>
      </c>
      <c r="G349" s="6" t="s">
        <v>208</v>
      </c>
      <c r="H349" s="5">
        <f>VLOOKUP(G349,'Win Methods'!$C$4:$F$4992,4,FALSE)</f>
        <v>0.1</v>
      </c>
      <c r="I349" s="6" t="s">
        <v>209</v>
      </c>
      <c r="J349" s="5">
        <f>VLOOKUP(I349,'Win Methods'!$C$4:$F$4992,4,FALSE)</f>
        <v>0.2</v>
      </c>
      <c r="K349" s="6" t="s">
        <v>209</v>
      </c>
      <c r="L349" s="5">
        <f>VLOOKUP(K349,'Win Methods'!$C$4:$F$4992,4,FALSE)</f>
        <v>0.2</v>
      </c>
      <c r="M349" s="6" t="s">
        <v>210</v>
      </c>
      <c r="N349" s="5">
        <f>VLOOKUP(M349,'Win Methods'!$C$4:$F$4992,4,FALSE)</f>
        <v>0.5</v>
      </c>
      <c r="O349" s="113" t="s">
        <v>268</v>
      </c>
      <c r="P349" s="5">
        <f>VLOOKUP(O349,'Win Methods'!$C$4:$F$4992,4,FALSE)</f>
        <v>18.600000000000001</v>
      </c>
      <c r="Q349" s="6"/>
      <c r="R349" s="5">
        <f>VLOOKUP(Q349,'Win Methods'!$C$4:$F$4992,4,FALSE)</f>
        <v>0</v>
      </c>
      <c r="S349" s="6"/>
      <c r="T349" s="5">
        <f>VLOOKUP(S349,'Win Methods'!$C$4:$F$4992,4,FALSE)</f>
        <v>0</v>
      </c>
      <c r="U349" s="6"/>
      <c r="V349" s="5">
        <f>VLOOKUP(U349,'Win Methods'!$C$4:$F$4992,4,FALSE)</f>
        <v>0</v>
      </c>
      <c r="W349" s="6"/>
      <c r="X349" s="5">
        <f>VLOOKUP(W349,'Win Methods'!$C$4:$F$4992,4,FALSE)</f>
        <v>0</v>
      </c>
      <c r="Y349" s="5" t="str">
        <f t="shared" si="18"/>
        <v>main-0|main-0|main-1|main-1|main-2|freeplayA-4|||| x 20</v>
      </c>
    </row>
    <row r="350" spans="2:25">
      <c r="B350" s="5">
        <v>347</v>
      </c>
      <c r="C350" s="5">
        <f>(F350+H350+J350+L350+N350)*D350+P350+R350+T350+V350+X350</f>
        <v>83.3</v>
      </c>
      <c r="D350" s="12">
        <v>20</v>
      </c>
      <c r="E350" s="6" t="s">
        <v>208</v>
      </c>
      <c r="F350" s="5">
        <f>VLOOKUP(E350,'Win Methods'!$C$4:$F$4992,4,FALSE)</f>
        <v>0.1</v>
      </c>
      <c r="G350" s="6" t="s">
        <v>208</v>
      </c>
      <c r="H350" s="5">
        <f>VLOOKUP(G350,'Win Methods'!$C$4:$F$4992,4,FALSE)</f>
        <v>0.1</v>
      </c>
      <c r="I350" s="6" t="s">
        <v>209</v>
      </c>
      <c r="J350" s="5">
        <f>VLOOKUP(I350,'Win Methods'!$C$4:$F$4992,4,FALSE)</f>
        <v>0.2</v>
      </c>
      <c r="K350" s="6" t="s">
        <v>218</v>
      </c>
      <c r="L350" s="5">
        <f>VLOOKUP(K350,'Win Methods'!$C$4:$F$4992,4,FALSE)</f>
        <v>1</v>
      </c>
      <c r="M350" s="6" t="s">
        <v>228</v>
      </c>
      <c r="N350" s="5">
        <f>VLOOKUP(M350,'Win Methods'!$C$4:$F$4992,4,FALSE)</f>
        <v>1.5</v>
      </c>
      <c r="O350" s="113" t="s">
        <v>269</v>
      </c>
      <c r="P350" s="5">
        <f>VLOOKUP(O350,'Win Methods'!$C$4:$F$4992,4,FALSE)</f>
        <v>25.299999999999997</v>
      </c>
      <c r="Q350" s="6"/>
      <c r="R350" s="5">
        <f>VLOOKUP(Q350,'Win Methods'!$C$4:$F$4992,4,FALSE)</f>
        <v>0</v>
      </c>
      <c r="S350" s="6"/>
      <c r="T350" s="5">
        <f>VLOOKUP(S350,'Win Methods'!$C$4:$F$4992,4,FALSE)</f>
        <v>0</v>
      </c>
      <c r="U350" s="6"/>
      <c r="V350" s="5">
        <f>VLOOKUP(U350,'Win Methods'!$C$4:$F$4992,4,FALSE)</f>
        <v>0</v>
      </c>
      <c r="W350" s="6"/>
      <c r="X350" s="5">
        <f>VLOOKUP(W350,'Win Methods'!$C$4:$F$4992,4,FALSE)</f>
        <v>0</v>
      </c>
      <c r="Y350" s="5" t="str">
        <f t="shared" si="18"/>
        <v>main-0|main-0|main-1|main-10|main-20|freeplayA-5|||| x 20</v>
      </c>
    </row>
    <row r="351" spans="2:25">
      <c r="B351" s="5">
        <v>348</v>
      </c>
      <c r="C351" s="5">
        <f t="shared" ref="C351:C357" si="21">(F351+H351+J351+L351+N351+P351+R351+T351+V351+X351)*D351</f>
        <v>10</v>
      </c>
      <c r="D351" s="4">
        <v>1</v>
      </c>
      <c r="E351" s="110" t="s">
        <v>251</v>
      </c>
      <c r="F351" s="5">
        <f>VLOOKUP(E351,'Win Methods'!$C$4:$F$4992,4,FALSE)</f>
        <v>10</v>
      </c>
      <c r="G351" s="6"/>
      <c r="H351" s="5">
        <f>VLOOKUP(G351,'Win Methods'!$C$4:$F$4992,4,FALSE)</f>
        <v>0</v>
      </c>
      <c r="I351" s="6"/>
      <c r="J351" s="5">
        <f>VLOOKUP(I351,'Win Methods'!$C$4:$F$4992,4,FALSE)</f>
        <v>0</v>
      </c>
      <c r="K351" s="6"/>
      <c r="L351" s="5">
        <f>VLOOKUP(K351,'Win Methods'!$C$4:$F$4992,4,FALSE)</f>
        <v>0</v>
      </c>
      <c r="M351" s="6"/>
      <c r="N351" s="5">
        <f>VLOOKUP(M351,'Win Methods'!$C$4:$F$4992,4,FALSE)</f>
        <v>0</v>
      </c>
      <c r="O351" s="6"/>
      <c r="P351" s="5">
        <f>VLOOKUP(O351,'Win Methods'!$C$4:$F$4992,4,FALSE)</f>
        <v>0</v>
      </c>
      <c r="Q351" s="6"/>
      <c r="R351" s="5">
        <f>VLOOKUP(Q351,'Win Methods'!$C$4:$F$4992,4,FALSE)</f>
        <v>0</v>
      </c>
      <c r="S351" s="6"/>
      <c r="T351" s="5">
        <f>VLOOKUP(S351,'Win Methods'!$C$4:$F$4992,4,FALSE)</f>
        <v>0</v>
      </c>
      <c r="U351" s="6"/>
      <c r="V351" s="5">
        <f>VLOOKUP(U351,'Win Methods'!$C$4:$F$4992,4,FALSE)</f>
        <v>0</v>
      </c>
      <c r="W351" s="6"/>
      <c r="X351" s="5">
        <f>VLOOKUP(W351,'Win Methods'!$C$4:$F$4992,4,FALSE)</f>
        <v>0</v>
      </c>
      <c r="Y351" s="5" t="str">
        <f t="shared" si="18"/>
        <v>bonusA-0||||||||| x 1</v>
      </c>
    </row>
    <row r="352" spans="2:25">
      <c r="B352" s="5">
        <v>349</v>
      </c>
      <c r="C352" s="5">
        <f t="shared" si="21"/>
        <v>15</v>
      </c>
      <c r="D352" s="4">
        <v>1</v>
      </c>
      <c r="E352" s="110" t="s">
        <v>252</v>
      </c>
      <c r="F352" s="5">
        <f>VLOOKUP(E352,'Win Methods'!$C$4:$F$4992,4,FALSE)</f>
        <v>15</v>
      </c>
      <c r="G352" s="6"/>
      <c r="H352" s="5">
        <f>VLOOKUP(G352,'Win Methods'!$C$4:$F$4992,4,FALSE)</f>
        <v>0</v>
      </c>
      <c r="I352" s="6"/>
      <c r="J352" s="5">
        <f>VLOOKUP(I352,'Win Methods'!$C$4:$F$4992,4,FALSE)</f>
        <v>0</v>
      </c>
      <c r="K352" s="6"/>
      <c r="L352" s="5">
        <f>VLOOKUP(K352,'Win Methods'!$C$4:$F$4992,4,FALSE)</f>
        <v>0</v>
      </c>
      <c r="M352" s="6"/>
      <c r="N352" s="5">
        <f>VLOOKUP(M352,'Win Methods'!$C$4:$F$4992,4,FALSE)</f>
        <v>0</v>
      </c>
      <c r="O352" s="6"/>
      <c r="P352" s="5">
        <f>VLOOKUP(O352,'Win Methods'!$C$4:$F$4992,4,FALSE)</f>
        <v>0</v>
      </c>
      <c r="Q352" s="6"/>
      <c r="R352" s="5">
        <f>VLOOKUP(Q352,'Win Methods'!$C$4:$F$4992,4,FALSE)</f>
        <v>0</v>
      </c>
      <c r="S352" s="6"/>
      <c r="T352" s="5">
        <f>VLOOKUP(S352,'Win Methods'!$C$4:$F$4992,4,FALSE)</f>
        <v>0</v>
      </c>
      <c r="U352" s="6"/>
      <c r="V352" s="5">
        <f>VLOOKUP(U352,'Win Methods'!$C$4:$F$4992,4,FALSE)</f>
        <v>0</v>
      </c>
      <c r="W352" s="6"/>
      <c r="X352" s="5">
        <f>VLOOKUP(W352,'Win Methods'!$C$4:$F$4992,4,FALSE)</f>
        <v>0</v>
      </c>
      <c r="Y352" s="5" t="str">
        <f t="shared" si="18"/>
        <v>bonusA-1||||||||| x 1</v>
      </c>
    </row>
    <row r="353" spans="2:25">
      <c r="B353" s="5">
        <v>350</v>
      </c>
      <c r="C353" s="5">
        <f t="shared" si="21"/>
        <v>20</v>
      </c>
      <c r="D353" s="4">
        <v>1</v>
      </c>
      <c r="E353" s="110" t="s">
        <v>253</v>
      </c>
      <c r="F353" s="5">
        <f>VLOOKUP(E353,'Win Methods'!$C$4:$F$4992,4,FALSE)</f>
        <v>20</v>
      </c>
      <c r="G353" s="6"/>
      <c r="H353" s="5">
        <f>VLOOKUP(G353,'Win Methods'!$C$4:$F$4992,4,FALSE)</f>
        <v>0</v>
      </c>
      <c r="I353" s="6"/>
      <c r="J353" s="5">
        <f>VLOOKUP(I353,'Win Methods'!$C$4:$F$4992,4,FALSE)</f>
        <v>0</v>
      </c>
      <c r="K353" s="6"/>
      <c r="L353" s="5">
        <f>VLOOKUP(K353,'Win Methods'!$C$4:$F$4992,4,FALSE)</f>
        <v>0</v>
      </c>
      <c r="M353" s="6"/>
      <c r="N353" s="5">
        <f>VLOOKUP(M353,'Win Methods'!$C$4:$F$4992,4,FALSE)</f>
        <v>0</v>
      </c>
      <c r="O353" s="6"/>
      <c r="P353" s="5">
        <f>VLOOKUP(O353,'Win Methods'!$C$4:$F$4992,4,FALSE)</f>
        <v>0</v>
      </c>
      <c r="Q353" s="6"/>
      <c r="R353" s="5">
        <f>VLOOKUP(Q353,'Win Methods'!$C$4:$F$4992,4,FALSE)</f>
        <v>0</v>
      </c>
      <c r="S353" s="6"/>
      <c r="T353" s="5">
        <f>VLOOKUP(S353,'Win Methods'!$C$4:$F$4992,4,FALSE)</f>
        <v>0</v>
      </c>
      <c r="U353" s="6"/>
      <c r="V353" s="5">
        <f>VLOOKUP(U353,'Win Methods'!$C$4:$F$4992,4,FALSE)</f>
        <v>0</v>
      </c>
      <c r="W353" s="6"/>
      <c r="X353" s="5">
        <f>VLOOKUP(W353,'Win Methods'!$C$4:$F$4992,4,FALSE)</f>
        <v>0</v>
      </c>
      <c r="Y353" s="5" t="str">
        <f t="shared" si="18"/>
        <v>bonusA-2||||||||| x 1</v>
      </c>
    </row>
    <row r="354" spans="2:25">
      <c r="B354" s="5">
        <v>351</v>
      </c>
      <c r="C354" s="5">
        <f t="shared" si="21"/>
        <v>25</v>
      </c>
      <c r="D354" s="4">
        <v>1</v>
      </c>
      <c r="E354" s="110" t="s">
        <v>254</v>
      </c>
      <c r="F354" s="5">
        <f>VLOOKUP(E354,'Win Methods'!$C$4:$F$4992,4,FALSE)</f>
        <v>25</v>
      </c>
      <c r="G354" s="6"/>
      <c r="H354" s="5">
        <f>VLOOKUP(G354,'Win Methods'!$C$4:$F$4992,4,FALSE)</f>
        <v>0</v>
      </c>
      <c r="I354" s="6"/>
      <c r="J354" s="5">
        <f>VLOOKUP(I354,'Win Methods'!$C$4:$F$4992,4,FALSE)</f>
        <v>0</v>
      </c>
      <c r="K354" s="6"/>
      <c r="L354" s="5">
        <f>VLOOKUP(K354,'Win Methods'!$C$4:$F$4992,4,FALSE)</f>
        <v>0</v>
      </c>
      <c r="M354" s="6"/>
      <c r="N354" s="5">
        <f>VLOOKUP(M354,'Win Methods'!$C$4:$F$4992,4,FALSE)</f>
        <v>0</v>
      </c>
      <c r="O354" s="6"/>
      <c r="P354" s="5">
        <f>VLOOKUP(O354,'Win Methods'!$C$4:$F$4992,4,FALSE)</f>
        <v>0</v>
      </c>
      <c r="Q354" s="6"/>
      <c r="R354" s="5">
        <f>VLOOKUP(Q354,'Win Methods'!$C$4:$F$4992,4,FALSE)</f>
        <v>0</v>
      </c>
      <c r="S354" s="6"/>
      <c r="T354" s="5">
        <f>VLOOKUP(S354,'Win Methods'!$C$4:$F$4992,4,FALSE)</f>
        <v>0</v>
      </c>
      <c r="U354" s="6"/>
      <c r="V354" s="5">
        <f>VLOOKUP(U354,'Win Methods'!$C$4:$F$4992,4,FALSE)</f>
        <v>0</v>
      </c>
      <c r="W354" s="6"/>
      <c r="X354" s="5">
        <f>VLOOKUP(W354,'Win Methods'!$C$4:$F$4992,4,FALSE)</f>
        <v>0</v>
      </c>
      <c r="Y354" s="5" t="str">
        <f t="shared" si="18"/>
        <v>bonusA-3||||||||| x 1</v>
      </c>
    </row>
    <row r="355" spans="2:25">
      <c r="B355" s="5">
        <v>352</v>
      </c>
      <c r="C355" s="5">
        <f t="shared" si="21"/>
        <v>30</v>
      </c>
      <c r="D355" s="4">
        <v>1</v>
      </c>
      <c r="E355" s="110" t="s">
        <v>255</v>
      </c>
      <c r="F355" s="5">
        <f>VLOOKUP(E355,'Win Methods'!$C$4:$F$4992,4,FALSE)</f>
        <v>30</v>
      </c>
      <c r="G355" s="6"/>
      <c r="H355" s="5">
        <f>VLOOKUP(G355,'Win Methods'!$C$4:$F$4992,4,FALSE)</f>
        <v>0</v>
      </c>
      <c r="I355" s="6"/>
      <c r="J355" s="5">
        <f>VLOOKUP(I355,'Win Methods'!$C$4:$F$4992,4,FALSE)</f>
        <v>0</v>
      </c>
      <c r="K355" s="6"/>
      <c r="L355" s="5">
        <f>VLOOKUP(K355,'Win Methods'!$C$4:$F$4992,4,FALSE)</f>
        <v>0</v>
      </c>
      <c r="M355" s="6"/>
      <c r="N355" s="5">
        <f>VLOOKUP(M355,'Win Methods'!$C$4:$F$4992,4,FALSE)</f>
        <v>0</v>
      </c>
      <c r="O355" s="6"/>
      <c r="P355" s="5">
        <f>VLOOKUP(O355,'Win Methods'!$C$4:$F$4992,4,FALSE)</f>
        <v>0</v>
      </c>
      <c r="Q355" s="6"/>
      <c r="R355" s="5">
        <f>VLOOKUP(Q355,'Win Methods'!$C$4:$F$4992,4,FALSE)</f>
        <v>0</v>
      </c>
      <c r="S355" s="6"/>
      <c r="T355" s="5">
        <f>VLOOKUP(S355,'Win Methods'!$C$4:$F$4992,4,FALSE)</f>
        <v>0</v>
      </c>
      <c r="U355" s="6"/>
      <c r="V355" s="5">
        <f>VLOOKUP(U355,'Win Methods'!$C$4:$F$4992,4,FALSE)</f>
        <v>0</v>
      </c>
      <c r="W355" s="6"/>
      <c r="X355" s="5">
        <f>VLOOKUP(W355,'Win Methods'!$C$4:$F$4992,4,FALSE)</f>
        <v>0</v>
      </c>
      <c r="Y355" s="5" t="str">
        <f t="shared" si="18"/>
        <v>bonusA-4||||||||| x 1</v>
      </c>
    </row>
    <row r="356" spans="2:25">
      <c r="B356" s="5">
        <v>353</v>
      </c>
      <c r="C356" s="5">
        <f t="shared" si="21"/>
        <v>50</v>
      </c>
      <c r="D356" s="4">
        <v>1</v>
      </c>
      <c r="E356" s="110" t="s">
        <v>256</v>
      </c>
      <c r="F356" s="5">
        <f>VLOOKUP(E356,'Win Methods'!$C$4:$F$4992,4,FALSE)</f>
        <v>50</v>
      </c>
      <c r="G356" s="6"/>
      <c r="H356" s="5">
        <f>VLOOKUP(G356,'Win Methods'!$C$4:$F$4992,4,FALSE)</f>
        <v>0</v>
      </c>
      <c r="I356" s="6"/>
      <c r="J356" s="5">
        <f>VLOOKUP(I356,'Win Methods'!$C$4:$F$4992,4,FALSE)</f>
        <v>0</v>
      </c>
      <c r="K356" s="6"/>
      <c r="L356" s="5">
        <f>VLOOKUP(K356,'Win Methods'!$C$4:$F$4992,4,FALSE)</f>
        <v>0</v>
      </c>
      <c r="M356" s="6"/>
      <c r="N356" s="5">
        <f>VLOOKUP(M356,'Win Methods'!$C$4:$F$4992,4,FALSE)</f>
        <v>0</v>
      </c>
      <c r="O356" s="6"/>
      <c r="P356" s="5">
        <f>VLOOKUP(O356,'Win Methods'!$C$4:$F$4992,4,FALSE)</f>
        <v>0</v>
      </c>
      <c r="Q356" s="6"/>
      <c r="R356" s="5">
        <f>VLOOKUP(Q356,'Win Methods'!$C$4:$F$4992,4,FALSE)</f>
        <v>0</v>
      </c>
      <c r="S356" s="6"/>
      <c r="T356" s="5">
        <f>VLOOKUP(S356,'Win Methods'!$C$4:$F$4992,4,FALSE)</f>
        <v>0</v>
      </c>
      <c r="U356" s="6"/>
      <c r="V356" s="5">
        <f>VLOOKUP(U356,'Win Methods'!$C$4:$F$4992,4,FALSE)</f>
        <v>0</v>
      </c>
      <c r="W356" s="6"/>
      <c r="X356" s="5">
        <f>VLOOKUP(W356,'Win Methods'!$C$4:$F$4992,4,FALSE)</f>
        <v>0</v>
      </c>
      <c r="Y356" s="5" t="str">
        <f t="shared" si="18"/>
        <v>bonusA-5||||||||| x 1</v>
      </c>
    </row>
    <row r="357" spans="2:25">
      <c r="B357" s="5">
        <v>354</v>
      </c>
      <c r="C357" s="5">
        <f t="shared" si="21"/>
        <v>100</v>
      </c>
      <c r="D357" s="4">
        <v>1</v>
      </c>
      <c r="E357" s="110" t="s">
        <v>257</v>
      </c>
      <c r="F357" s="5">
        <f>VLOOKUP(E357,'Win Methods'!$C$4:$F$4992,4,FALSE)</f>
        <v>100</v>
      </c>
      <c r="G357" s="6"/>
      <c r="H357" s="5">
        <f>VLOOKUP(G357,'Win Methods'!$C$4:$F$4992,4,FALSE)</f>
        <v>0</v>
      </c>
      <c r="I357" s="6"/>
      <c r="J357" s="5">
        <f>VLOOKUP(I357,'Win Methods'!$C$4:$F$4992,4,FALSE)</f>
        <v>0</v>
      </c>
      <c r="K357" s="6"/>
      <c r="L357" s="5">
        <f>VLOOKUP(K357,'Win Methods'!$C$4:$F$4992,4,FALSE)</f>
        <v>0</v>
      </c>
      <c r="M357" s="6"/>
      <c r="N357" s="5">
        <f>VLOOKUP(M357,'Win Methods'!$C$4:$F$4992,4,FALSE)</f>
        <v>0</v>
      </c>
      <c r="O357" s="6"/>
      <c r="P357" s="5">
        <f>VLOOKUP(O357,'Win Methods'!$C$4:$F$4992,4,FALSE)</f>
        <v>0</v>
      </c>
      <c r="Q357" s="6"/>
      <c r="R357" s="5">
        <f>VLOOKUP(Q357,'Win Methods'!$C$4:$F$4992,4,FALSE)</f>
        <v>0</v>
      </c>
      <c r="S357" s="6"/>
      <c r="T357" s="5">
        <f>VLOOKUP(S357,'Win Methods'!$C$4:$F$4992,4,FALSE)</f>
        <v>0</v>
      </c>
      <c r="U357" s="6"/>
      <c r="V357" s="5">
        <f>VLOOKUP(U357,'Win Methods'!$C$4:$F$4992,4,FALSE)</f>
        <v>0</v>
      </c>
      <c r="W357" s="6"/>
      <c r="X357" s="5">
        <f>VLOOKUP(W357,'Win Methods'!$C$4:$F$4992,4,FALSE)</f>
        <v>0</v>
      </c>
      <c r="Y357" s="5" t="str">
        <f t="shared" si="18"/>
        <v>bonusA-6||||||||| x 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W169"/>
  <sheetViews>
    <sheetView topLeftCell="A57" zoomScaleNormal="100" workbookViewId="0">
      <selection activeCell="F5" sqref="F5:F85"/>
    </sheetView>
  </sheetViews>
  <sheetFormatPr defaultRowHeight="13.2"/>
  <cols>
    <col min="1" max="1" width="8.88671875" customWidth="1"/>
    <col min="2" max="2" width="14.88671875" style="10" customWidth="1"/>
    <col min="3" max="3" width="14.44140625" customWidth="1"/>
    <col min="4" max="4" width="10.33203125" customWidth="1"/>
    <col min="6" max="6" width="10.33203125" customWidth="1"/>
    <col min="7" max="7" width="16.88671875" customWidth="1"/>
    <col min="8" max="8" width="13" customWidth="1"/>
  </cols>
  <sheetData>
    <row r="2" spans="2:8">
      <c r="B2" s="95" t="s">
        <v>295</v>
      </c>
      <c r="C2" s="95"/>
      <c r="D2" s="95"/>
      <c r="E2" s="95"/>
      <c r="F2" s="95"/>
      <c r="G2" s="95"/>
      <c r="H2" s="95"/>
    </row>
    <row r="3" spans="2:8">
      <c r="B3" s="119" t="s">
        <v>296</v>
      </c>
      <c r="C3" s="119" t="s">
        <v>127</v>
      </c>
      <c r="D3" s="119" t="s">
        <v>128</v>
      </c>
      <c r="E3" s="119" t="s">
        <v>297</v>
      </c>
      <c r="F3" s="119" t="s">
        <v>61</v>
      </c>
      <c r="G3" s="119" t="s">
        <v>186</v>
      </c>
      <c r="H3" s="119" t="s">
        <v>298</v>
      </c>
    </row>
    <row r="4" spans="2:8">
      <c r="C4">
        <v>0</v>
      </c>
    </row>
    <row r="5" spans="2:8">
      <c r="B5" s="10">
        <v>1</v>
      </c>
      <c r="C5" t="s">
        <v>208</v>
      </c>
      <c r="D5" s="10" t="s">
        <v>130</v>
      </c>
      <c r="E5">
        <v>3</v>
      </c>
      <c r="F5">
        <f>VLOOKUP(D5,'Pay Table'!$C$3:$M$13,E5-1,FALSE)*G5*Frequency!$N$7</f>
        <v>0.1</v>
      </c>
      <c r="G5" s="10">
        <v>1</v>
      </c>
    </row>
    <row r="6" spans="2:8">
      <c r="B6" s="10">
        <v>2</v>
      </c>
      <c r="C6" t="s">
        <v>209</v>
      </c>
      <c r="D6" s="10" t="s">
        <v>130</v>
      </c>
      <c r="E6">
        <v>4</v>
      </c>
      <c r="F6">
        <f>VLOOKUP(D6,'Pay Table'!$C$3:$M$13,E6-1,FALSE)*G6*Frequency!$N$7</f>
        <v>0.2</v>
      </c>
      <c r="G6" s="10">
        <v>1</v>
      </c>
    </row>
    <row r="7" spans="2:8">
      <c r="B7" s="10">
        <v>3</v>
      </c>
      <c r="C7" t="s">
        <v>210</v>
      </c>
      <c r="D7" s="10" t="s">
        <v>130</v>
      </c>
      <c r="E7">
        <v>5</v>
      </c>
      <c r="F7">
        <f>VLOOKUP(D7,'Pay Table'!$C$3:$M$13,E7-1,FALSE)*G7*Frequency!$N$7</f>
        <v>0.5</v>
      </c>
      <c r="G7" s="10">
        <v>1</v>
      </c>
    </row>
    <row r="8" spans="2:8">
      <c r="B8" s="10">
        <v>4</v>
      </c>
      <c r="C8" t="s">
        <v>211</v>
      </c>
      <c r="D8" s="10" t="s">
        <v>130</v>
      </c>
      <c r="E8">
        <v>6</v>
      </c>
      <c r="F8">
        <f>VLOOKUP(D8,'Pay Table'!$C$3:$M$13,E8-1,FALSE)*G8*Frequency!$N$7</f>
        <v>1</v>
      </c>
      <c r="G8" s="10">
        <v>1</v>
      </c>
    </row>
    <row r="9" spans="2:8">
      <c r="B9" s="10">
        <v>5</v>
      </c>
      <c r="C9" t="s">
        <v>212</v>
      </c>
      <c r="D9" s="10" t="s">
        <v>130</v>
      </c>
      <c r="E9">
        <v>7</v>
      </c>
      <c r="F9">
        <f>VLOOKUP(D9,'Pay Table'!$C$3:$M$13,E9-1,FALSE)*G9*Frequency!$N$7</f>
        <v>1.5</v>
      </c>
      <c r="G9" s="10">
        <v>1</v>
      </c>
    </row>
    <row r="10" spans="2:8">
      <c r="B10" s="10">
        <v>6</v>
      </c>
      <c r="C10" t="s">
        <v>213</v>
      </c>
      <c r="D10" s="10" t="s">
        <v>130</v>
      </c>
      <c r="E10">
        <v>8</v>
      </c>
      <c r="F10">
        <f>VLOOKUP(D10,'Pay Table'!$C$3:$M$13,E10-1,FALSE)*G10*Frequency!$N$7</f>
        <v>2</v>
      </c>
      <c r="G10" s="10">
        <v>1</v>
      </c>
    </row>
    <row r="11" spans="2:8">
      <c r="B11" s="10">
        <v>7</v>
      </c>
      <c r="C11" t="s">
        <v>214</v>
      </c>
      <c r="D11" s="10" t="s">
        <v>130</v>
      </c>
      <c r="E11">
        <v>9</v>
      </c>
      <c r="F11">
        <f>VLOOKUP(D11,'Pay Table'!$C$3:$M$13,E11-1,FALSE)*G11*Frequency!$N$7</f>
        <v>2.5</v>
      </c>
      <c r="G11" s="10">
        <v>1</v>
      </c>
    </row>
    <row r="12" spans="2:8">
      <c r="B12" s="10">
        <v>8</v>
      </c>
      <c r="C12" t="s">
        <v>215</v>
      </c>
      <c r="D12" s="10" t="s">
        <v>130</v>
      </c>
      <c r="E12">
        <v>10</v>
      </c>
      <c r="F12">
        <f>VLOOKUP(D12,'Pay Table'!$C$3:$M$13,E12-1,FALSE)*G12*Frequency!$N$7</f>
        <v>3</v>
      </c>
      <c r="G12" s="10">
        <v>1</v>
      </c>
    </row>
    <row r="13" spans="2:8">
      <c r="B13" s="10">
        <v>9</v>
      </c>
      <c r="C13" t="s">
        <v>216</v>
      </c>
      <c r="D13" s="10" t="s">
        <v>130</v>
      </c>
      <c r="E13">
        <v>11</v>
      </c>
      <c r="F13">
        <f>VLOOKUP(D13,'Pay Table'!$C$3:$M$13,E13-1,FALSE)*G13*Frequency!$N$7</f>
        <v>5</v>
      </c>
      <c r="G13" s="10">
        <v>1</v>
      </c>
    </row>
    <row r="14" spans="2:8">
      <c r="B14" s="10">
        <v>10</v>
      </c>
      <c r="C14" t="s">
        <v>217</v>
      </c>
      <c r="D14" s="10">
        <v>0</v>
      </c>
      <c r="E14">
        <v>12</v>
      </c>
      <c r="F14">
        <f>VLOOKUP(D14,'Pay Table'!$C$3:$M$13,E14-1,FALSE)*G14*Frequency!$N$7</f>
        <v>10</v>
      </c>
      <c r="G14" s="10">
        <v>1</v>
      </c>
    </row>
    <row r="15" spans="2:8">
      <c r="B15" s="10">
        <v>11</v>
      </c>
      <c r="C15" t="s">
        <v>218</v>
      </c>
      <c r="D15" s="10">
        <v>4</v>
      </c>
      <c r="E15">
        <v>3</v>
      </c>
      <c r="F15">
        <f>VLOOKUP(D15,'Pay Table'!$C$3:$M$13,E15-1,FALSE)*G15*Frequency!$N$7</f>
        <v>1</v>
      </c>
      <c r="G15" s="10">
        <v>1</v>
      </c>
    </row>
    <row r="16" spans="2:8">
      <c r="B16" s="10">
        <v>12</v>
      </c>
      <c r="C16" t="s">
        <v>219</v>
      </c>
      <c r="D16" s="10">
        <v>4</v>
      </c>
      <c r="E16">
        <v>4</v>
      </c>
      <c r="F16">
        <f>VLOOKUP(D16,'Pay Table'!$C$3:$M$13,E16-1,FALSE)*G16*Frequency!$N$7</f>
        <v>1.5</v>
      </c>
      <c r="G16" s="10">
        <v>1</v>
      </c>
    </row>
    <row r="17" spans="2:7">
      <c r="B17" s="10">
        <v>13</v>
      </c>
      <c r="C17" t="s">
        <v>220</v>
      </c>
      <c r="D17" s="10">
        <v>4</v>
      </c>
      <c r="E17">
        <v>5</v>
      </c>
      <c r="F17">
        <f>VLOOKUP(D17,'Pay Table'!$C$3:$M$13,E17-1,FALSE)*G17*Frequency!$N$7</f>
        <v>2</v>
      </c>
      <c r="G17" s="10">
        <v>1</v>
      </c>
    </row>
    <row r="18" spans="2:7">
      <c r="B18" s="10">
        <v>14</v>
      </c>
      <c r="C18" t="s">
        <v>221</v>
      </c>
      <c r="D18" s="10">
        <v>4</v>
      </c>
      <c r="E18">
        <v>6</v>
      </c>
      <c r="F18">
        <f>VLOOKUP(D18,'Pay Table'!$C$3:$M$13,E18-1,FALSE)*G18*Frequency!$N$7</f>
        <v>5</v>
      </c>
      <c r="G18" s="10">
        <v>1</v>
      </c>
    </row>
    <row r="19" spans="2:7">
      <c r="B19" s="10">
        <v>15</v>
      </c>
      <c r="C19" t="s">
        <v>222</v>
      </c>
      <c r="D19" s="10">
        <v>4</v>
      </c>
      <c r="E19">
        <v>7</v>
      </c>
      <c r="F19">
        <f>VLOOKUP(D19,'Pay Table'!$C$3:$M$13,E19-1,FALSE)*G19*Frequency!$N$7</f>
        <v>10</v>
      </c>
      <c r="G19" s="10">
        <v>1</v>
      </c>
    </row>
    <row r="20" spans="2:7">
      <c r="B20" s="10">
        <v>16</v>
      </c>
      <c r="C20" t="s">
        <v>223</v>
      </c>
      <c r="D20" s="10">
        <v>4</v>
      </c>
      <c r="E20">
        <v>8</v>
      </c>
      <c r="F20">
        <f>VLOOKUP(D20,'Pay Table'!$C$3:$M$13,E20-1,FALSE)*G20*Frequency!$N$7</f>
        <v>15</v>
      </c>
      <c r="G20" s="10">
        <v>1</v>
      </c>
    </row>
    <row r="21" spans="2:7">
      <c r="B21" s="10">
        <v>17</v>
      </c>
      <c r="C21" t="s">
        <v>224</v>
      </c>
      <c r="D21" s="10">
        <v>4</v>
      </c>
      <c r="E21">
        <v>9</v>
      </c>
      <c r="F21">
        <f>VLOOKUP(D21,'Pay Table'!$C$3:$M$13,E21-1,FALSE)*G21*Frequency!$N$7</f>
        <v>20</v>
      </c>
      <c r="G21" s="10">
        <v>1</v>
      </c>
    </row>
    <row r="22" spans="2:7">
      <c r="B22" s="10">
        <v>18</v>
      </c>
      <c r="C22" t="s">
        <v>225</v>
      </c>
      <c r="D22" s="10">
        <v>4</v>
      </c>
      <c r="E22">
        <v>10</v>
      </c>
      <c r="F22">
        <f>VLOOKUP(D22,'Pay Table'!$C$3:$M$13,E22-1,FALSE)*G22*Frequency!$N$7</f>
        <v>50</v>
      </c>
      <c r="G22" s="10">
        <v>1</v>
      </c>
    </row>
    <row r="23" spans="2:7">
      <c r="B23" s="10">
        <v>19</v>
      </c>
      <c r="C23" t="s">
        <v>226</v>
      </c>
      <c r="D23" s="10">
        <v>4</v>
      </c>
      <c r="E23">
        <v>11</v>
      </c>
      <c r="F23">
        <f>VLOOKUP(D23,'Pay Table'!$C$3:$M$13,E23-1,FALSE)*G23*Frequency!$N$7</f>
        <v>100</v>
      </c>
      <c r="G23" s="10">
        <v>1</v>
      </c>
    </row>
    <row r="24" spans="2:7">
      <c r="B24" s="10">
        <v>20</v>
      </c>
      <c r="C24" t="s">
        <v>227</v>
      </c>
      <c r="D24" s="10">
        <v>4</v>
      </c>
      <c r="E24">
        <v>12</v>
      </c>
      <c r="F24">
        <f>VLOOKUP(D24,'Pay Table'!$C$3:$M$13,E24-1,FALSE)*G24*Frequency!$N$7</f>
        <v>200</v>
      </c>
      <c r="G24" s="10">
        <v>1</v>
      </c>
    </row>
    <row r="25" spans="2:7">
      <c r="B25" s="10">
        <v>21</v>
      </c>
      <c r="C25" t="s">
        <v>228</v>
      </c>
      <c r="D25" s="10">
        <v>5</v>
      </c>
      <c r="E25">
        <v>3</v>
      </c>
      <c r="F25">
        <f>VLOOKUP(D25,'Pay Table'!$C$3:$M$13,E25-1,FALSE)*G25*Frequency!$N$7</f>
        <v>1.5</v>
      </c>
      <c r="G25" s="10">
        <v>1</v>
      </c>
    </row>
    <row r="26" spans="2:7">
      <c r="B26" s="10">
        <v>22</v>
      </c>
      <c r="C26" t="s">
        <v>229</v>
      </c>
      <c r="D26" s="10">
        <v>5</v>
      </c>
      <c r="E26">
        <v>4</v>
      </c>
      <c r="F26">
        <f>VLOOKUP(D26,'Pay Table'!$C$3:$M$13,E26-1,FALSE)*G26*Frequency!$N$7</f>
        <v>2</v>
      </c>
      <c r="G26" s="10">
        <v>1</v>
      </c>
    </row>
    <row r="27" spans="2:7">
      <c r="B27" s="10">
        <v>23</v>
      </c>
      <c r="C27" t="s">
        <v>230</v>
      </c>
      <c r="D27" s="10">
        <v>5</v>
      </c>
      <c r="E27">
        <v>5</v>
      </c>
      <c r="F27">
        <f>VLOOKUP(D27,'Pay Table'!$C$3:$M$13,E27-1,FALSE)*G27*Frequency!$N$7</f>
        <v>5</v>
      </c>
      <c r="G27" s="10">
        <v>1</v>
      </c>
    </row>
    <row r="28" spans="2:7">
      <c r="B28" s="10">
        <v>24</v>
      </c>
      <c r="C28" t="s">
        <v>231</v>
      </c>
      <c r="D28" s="10">
        <v>5</v>
      </c>
      <c r="E28">
        <v>6</v>
      </c>
      <c r="F28">
        <f>VLOOKUP(D28,'Pay Table'!$C$3:$M$13,E28-1,FALSE)*G28*Frequency!$N$7</f>
        <v>10</v>
      </c>
      <c r="G28" s="10">
        <v>1</v>
      </c>
    </row>
    <row r="29" spans="2:7">
      <c r="B29" s="10">
        <v>25</v>
      </c>
      <c r="C29" t="s">
        <v>232</v>
      </c>
      <c r="D29" s="10">
        <v>5</v>
      </c>
      <c r="E29">
        <v>7</v>
      </c>
      <c r="F29">
        <f>VLOOKUP(D29,'Pay Table'!$C$3:$M$13,E29-1,FALSE)*G29*Frequency!$N$7</f>
        <v>15</v>
      </c>
      <c r="G29" s="10">
        <v>1</v>
      </c>
    </row>
    <row r="30" spans="2:7">
      <c r="B30" s="10">
        <v>26</v>
      </c>
      <c r="C30" t="s">
        <v>233</v>
      </c>
      <c r="D30" s="10">
        <v>5</v>
      </c>
      <c r="E30">
        <v>8</v>
      </c>
      <c r="F30">
        <f>VLOOKUP(D30,'Pay Table'!$C$3:$M$13,E30-1,FALSE)*G30*Frequency!$N$7</f>
        <v>20</v>
      </c>
      <c r="G30" s="10">
        <v>1</v>
      </c>
    </row>
    <row r="31" spans="2:7">
      <c r="B31" s="10">
        <v>27</v>
      </c>
      <c r="C31" t="s">
        <v>234</v>
      </c>
      <c r="D31" s="10">
        <v>5</v>
      </c>
      <c r="E31">
        <v>9</v>
      </c>
      <c r="F31">
        <f>VLOOKUP(D31,'Pay Table'!$C$3:$M$13,E31-1,FALSE)*G31*Frequency!$N$7</f>
        <v>50</v>
      </c>
      <c r="G31" s="10">
        <v>1</v>
      </c>
    </row>
    <row r="32" spans="2:7">
      <c r="B32" s="10">
        <v>28</v>
      </c>
      <c r="C32" t="s">
        <v>235</v>
      </c>
      <c r="D32" s="10">
        <v>5</v>
      </c>
      <c r="E32">
        <v>10</v>
      </c>
      <c r="F32">
        <f>VLOOKUP(D32,'Pay Table'!$C$3:$M$13,E32-1,FALSE)*G32*Frequency!$N$7</f>
        <v>100</v>
      </c>
      <c r="G32" s="10">
        <v>1</v>
      </c>
    </row>
    <row r="33" spans="2:18">
      <c r="B33" s="10">
        <v>29</v>
      </c>
      <c r="C33" t="s">
        <v>236</v>
      </c>
      <c r="D33" s="10">
        <v>5</v>
      </c>
      <c r="E33">
        <v>11</v>
      </c>
      <c r="F33">
        <f>VLOOKUP(D33,'Pay Table'!$C$3:$M$13,E33-1,FALSE)*G33*Frequency!$N$7</f>
        <v>200</v>
      </c>
      <c r="G33" s="10">
        <v>1</v>
      </c>
    </row>
    <row r="34" spans="2:18">
      <c r="B34" s="10">
        <v>30</v>
      </c>
      <c r="C34" t="s">
        <v>237</v>
      </c>
      <c r="D34" s="10">
        <v>5</v>
      </c>
      <c r="E34">
        <v>12</v>
      </c>
      <c r="F34">
        <f>VLOOKUP(D34,'Pay Table'!$C$3:$M$13,E34-1,FALSE)*G34*Frequency!$N$7</f>
        <v>500</v>
      </c>
      <c r="G34" s="10">
        <v>1</v>
      </c>
    </row>
    <row r="35" spans="2:18">
      <c r="B35" s="10">
        <v>31</v>
      </c>
      <c r="C35" t="s">
        <v>238</v>
      </c>
      <c r="D35" s="10">
        <v>6</v>
      </c>
      <c r="E35">
        <v>3</v>
      </c>
      <c r="F35">
        <f>VLOOKUP(D35,'Pay Table'!$C$3:$M$13,E35-1,FALSE)*G35*Frequency!$N$7</f>
        <v>2</v>
      </c>
      <c r="G35" s="10">
        <v>1</v>
      </c>
    </row>
    <row r="36" spans="2:18">
      <c r="B36" s="10">
        <v>32</v>
      </c>
      <c r="C36" t="s">
        <v>239</v>
      </c>
      <c r="D36" s="10">
        <v>6</v>
      </c>
      <c r="E36">
        <v>4</v>
      </c>
      <c r="F36">
        <f>VLOOKUP(D36,'Pay Table'!$C$3:$M$13,E36-1,FALSE)*G36*Frequency!$N$7</f>
        <v>5</v>
      </c>
      <c r="G36" s="10">
        <v>1</v>
      </c>
      <c r="H36" s="10"/>
    </row>
    <row r="37" spans="2:18">
      <c r="B37" s="10">
        <v>33</v>
      </c>
      <c r="C37" t="s">
        <v>240</v>
      </c>
      <c r="D37" s="10">
        <v>6</v>
      </c>
      <c r="E37">
        <v>5</v>
      </c>
      <c r="F37">
        <f>VLOOKUP(D37,'Pay Table'!$C$3:$M$13,E37-1,FALSE)*G37*Frequency!$N$7</f>
        <v>10</v>
      </c>
      <c r="G37" s="10">
        <v>1</v>
      </c>
      <c r="H37" s="10"/>
    </row>
    <row r="38" spans="2:18">
      <c r="B38" s="10">
        <v>34</v>
      </c>
      <c r="C38" t="s">
        <v>241</v>
      </c>
      <c r="D38" s="10">
        <v>6</v>
      </c>
      <c r="E38">
        <v>6</v>
      </c>
      <c r="F38">
        <f>VLOOKUP(D38,'Pay Table'!$C$3:$M$13,E38-1,FALSE)*G38*Frequency!$N$7</f>
        <v>15</v>
      </c>
      <c r="G38" s="10">
        <v>1</v>
      </c>
      <c r="H38" s="10"/>
    </row>
    <row r="39" spans="2:18">
      <c r="B39" s="10">
        <v>35</v>
      </c>
      <c r="C39" t="s">
        <v>242</v>
      </c>
      <c r="D39" s="10">
        <v>6</v>
      </c>
      <c r="E39">
        <v>7</v>
      </c>
      <c r="F39">
        <f>VLOOKUP(D39,'Pay Table'!$C$3:$M$13,E39-1,FALSE)*G39*Frequency!$N$7</f>
        <v>20</v>
      </c>
      <c r="G39" s="10">
        <v>1</v>
      </c>
      <c r="H39" s="10"/>
    </row>
    <row r="40" spans="2:18">
      <c r="B40" s="10">
        <v>36</v>
      </c>
      <c r="C40" t="s">
        <v>243</v>
      </c>
      <c r="D40" s="10">
        <v>6</v>
      </c>
      <c r="E40">
        <v>8</v>
      </c>
      <c r="F40">
        <f>VLOOKUP(D40,'Pay Table'!$C$3:$M$13,E40-1,FALSE)*G40*Frequency!$N$7</f>
        <v>50</v>
      </c>
      <c r="G40" s="10">
        <v>1</v>
      </c>
      <c r="H40" s="10"/>
    </row>
    <row r="41" spans="2:18">
      <c r="B41" s="10">
        <v>37</v>
      </c>
      <c r="C41" t="s">
        <v>244</v>
      </c>
      <c r="D41" s="10">
        <v>6</v>
      </c>
      <c r="E41">
        <v>9</v>
      </c>
      <c r="F41">
        <f>VLOOKUP(D41,'Pay Table'!$C$3:$M$13,E41-1,FALSE)*G41*Frequency!$N$7</f>
        <v>100</v>
      </c>
      <c r="G41" s="10">
        <v>1</v>
      </c>
      <c r="H41" s="10"/>
    </row>
    <row r="42" spans="2:18">
      <c r="B42" s="10">
        <v>38</v>
      </c>
      <c r="C42" t="s">
        <v>245</v>
      </c>
      <c r="D42" s="10">
        <v>6</v>
      </c>
      <c r="E42">
        <v>10</v>
      </c>
      <c r="F42">
        <f>VLOOKUP(D42,'Pay Table'!$C$3:$M$13,E42-1,FALSE)*G42*Frequency!$N$7</f>
        <v>200</v>
      </c>
      <c r="G42" s="10">
        <v>1</v>
      </c>
    </row>
    <row r="43" spans="2:18">
      <c r="B43" s="10">
        <v>39</v>
      </c>
      <c r="C43" t="s">
        <v>246</v>
      </c>
      <c r="D43" s="10">
        <v>6</v>
      </c>
      <c r="E43">
        <v>11</v>
      </c>
      <c r="F43">
        <f>VLOOKUP(D43,'Pay Table'!$C$3:$M$13,E43-1,FALSE)*G43*Frequency!$N$7</f>
        <v>500</v>
      </c>
      <c r="G43" s="10">
        <v>1</v>
      </c>
    </row>
    <row r="44" spans="2:18">
      <c r="B44" s="10">
        <v>40</v>
      </c>
      <c r="C44" t="s">
        <v>247</v>
      </c>
      <c r="D44" s="10">
        <v>6</v>
      </c>
      <c r="E44">
        <v>12</v>
      </c>
      <c r="F44">
        <f>VLOOKUP(D44,'Pay Table'!$C$3:$M$13,E44-1,FALSE)*G44*Frequency!$N$7</f>
        <v>1000</v>
      </c>
      <c r="G44" s="10">
        <v>1</v>
      </c>
    </row>
    <row r="45" spans="2:18">
      <c r="B45" s="10">
        <v>41</v>
      </c>
      <c r="C45" t="s">
        <v>248</v>
      </c>
      <c r="D45" s="10">
        <v>1</v>
      </c>
      <c r="E45">
        <v>12</v>
      </c>
      <c r="F45">
        <f>VLOOKUP(D45,'Pay Table'!$C$3:$M$13,E45-1,FALSE)*G45*Frequency!$N$7</f>
        <v>15</v>
      </c>
      <c r="G45" s="10">
        <v>1</v>
      </c>
    </row>
    <row r="46" spans="2:18">
      <c r="B46" s="10">
        <v>42</v>
      </c>
      <c r="C46" t="s">
        <v>249</v>
      </c>
      <c r="D46" s="10">
        <v>2</v>
      </c>
      <c r="E46">
        <v>12</v>
      </c>
      <c r="F46">
        <f>VLOOKUP(D46,'Pay Table'!$C$3:$M$13,E46-1,FALSE)*G46*Frequency!$N$7</f>
        <v>20</v>
      </c>
      <c r="G46" s="10">
        <v>1</v>
      </c>
    </row>
    <row r="47" spans="2:18">
      <c r="B47" s="10">
        <v>43</v>
      </c>
      <c r="C47" t="s">
        <v>250</v>
      </c>
      <c r="D47" s="10">
        <v>3</v>
      </c>
      <c r="E47">
        <v>12</v>
      </c>
      <c r="F47">
        <f>VLOOKUP(D47,'Pay Table'!$C$3:$M$13,E47-1,FALSE)*G47*Frequency!$N$7</f>
        <v>30</v>
      </c>
      <c r="G47" s="10">
        <v>1</v>
      </c>
    </row>
    <row r="48" spans="2:18">
      <c r="B48" s="10">
        <v>224</v>
      </c>
      <c r="C48" s="47" t="s">
        <v>264</v>
      </c>
      <c r="F48" cm="1">
        <f t="array" ref="F48">SUM(VLOOKUP('Free Plays'!E3:AH3,Tiers!$B:$C,2,FALSE))*G48</f>
        <v>16.3</v>
      </c>
      <c r="G48" s="10">
        <v>1</v>
      </c>
      <c r="H48" s="10"/>
      <c r="I48" s="10"/>
      <c r="J48" s="10"/>
      <c r="K48" s="10"/>
      <c r="L48" s="10"/>
      <c r="M48" s="10"/>
      <c r="P48" s="10"/>
      <c r="Q48" s="10"/>
      <c r="R48" s="10"/>
    </row>
    <row r="49" spans="2:18">
      <c r="B49" s="10">
        <v>225</v>
      </c>
      <c r="C49" s="47" t="s">
        <v>265</v>
      </c>
      <c r="F49" cm="1">
        <f t="array" ref="F49">SUM(VLOOKUP('Free Plays'!E4:AH4,Tiers!$B:$C,2,FALSE))*G49</f>
        <v>24.7</v>
      </c>
      <c r="G49" s="10">
        <v>1</v>
      </c>
      <c r="H49" s="10"/>
      <c r="I49" s="10"/>
      <c r="J49" s="10"/>
      <c r="K49" s="10"/>
      <c r="L49" s="10"/>
      <c r="M49" s="10"/>
      <c r="P49" s="10"/>
      <c r="Q49" s="10"/>
      <c r="R49" s="10"/>
    </row>
    <row r="50" spans="2:18">
      <c r="B50" s="10">
        <v>226</v>
      </c>
      <c r="C50" s="47" t="s">
        <v>266</v>
      </c>
      <c r="F50" cm="1">
        <f t="array" ref="F50">SUM(VLOOKUP('Free Plays'!E5:AH5,Tiers!$B:$C,2,FALSE))*G50</f>
        <v>11.399999999999999</v>
      </c>
      <c r="G50" s="10">
        <v>1</v>
      </c>
      <c r="H50" s="10"/>
      <c r="I50" s="10"/>
      <c r="J50" s="10"/>
      <c r="K50" s="10"/>
      <c r="L50" s="10"/>
      <c r="M50" s="10"/>
      <c r="P50" s="10"/>
      <c r="Q50" s="10"/>
      <c r="R50" s="10"/>
    </row>
    <row r="51" spans="2:18">
      <c r="B51" s="10">
        <v>227</v>
      </c>
      <c r="C51" s="47" t="s">
        <v>267</v>
      </c>
      <c r="F51" cm="1">
        <f t="array" ref="F51">SUM(VLOOKUP('Free Plays'!E6:AH6,Tiers!$B:$C,2,FALSE))*G51</f>
        <v>35</v>
      </c>
      <c r="G51" s="10">
        <v>1</v>
      </c>
      <c r="H51" s="10"/>
      <c r="I51" s="10"/>
      <c r="J51" s="10"/>
      <c r="K51" s="10"/>
      <c r="L51" s="10"/>
      <c r="M51" s="10"/>
      <c r="P51" s="10"/>
      <c r="Q51" s="10"/>
      <c r="R51" s="10"/>
    </row>
    <row r="52" spans="2:18">
      <c r="B52" s="10">
        <v>228</v>
      </c>
      <c r="C52" s="47" t="s">
        <v>268</v>
      </c>
      <c r="F52" cm="1">
        <f t="array" ref="F52">SUM(VLOOKUP('Free Plays'!E7:AH7,Tiers!$B:$C,2,FALSE))*G52</f>
        <v>18.600000000000001</v>
      </c>
      <c r="G52" s="10">
        <v>1</v>
      </c>
      <c r="H52" s="10"/>
      <c r="I52" s="10"/>
      <c r="J52" s="10"/>
      <c r="K52" s="10"/>
      <c r="L52" s="10"/>
      <c r="M52" s="10"/>
    </row>
    <row r="53" spans="2:18">
      <c r="B53" s="10">
        <v>229</v>
      </c>
      <c r="C53" s="47" t="s">
        <v>269</v>
      </c>
      <c r="F53" cm="1">
        <f t="array" ref="F53">SUM(VLOOKUP('Free Plays'!E8:AH8,Tiers!$B:$C,2,FALSE))*G53</f>
        <v>25.299999999999997</v>
      </c>
      <c r="G53" s="10">
        <v>1</v>
      </c>
      <c r="H53" s="10"/>
      <c r="I53" s="10"/>
      <c r="J53" s="10"/>
      <c r="K53" s="10"/>
      <c r="L53" s="10"/>
      <c r="M53" s="10"/>
      <c r="P53" s="10"/>
      <c r="Q53" s="10"/>
      <c r="R53" s="10"/>
    </row>
    <row r="54" spans="2:18">
      <c r="B54" s="10">
        <v>230</v>
      </c>
      <c r="C54" s="47" t="s">
        <v>270</v>
      </c>
      <c r="F54" cm="1">
        <f t="array" ref="F54">SUM(VLOOKUP('Free Plays'!E9:AH9,Tiers!$B:$C,2,FALSE))*G54</f>
        <v>29</v>
      </c>
      <c r="G54" s="10">
        <v>1</v>
      </c>
      <c r="H54" s="10"/>
      <c r="I54" s="10"/>
      <c r="J54" s="10"/>
      <c r="K54" s="10"/>
      <c r="L54" s="10"/>
      <c r="M54" s="10"/>
      <c r="P54" s="10"/>
      <c r="Q54" s="10"/>
      <c r="R54" s="10"/>
    </row>
    <row r="55" spans="2:18">
      <c r="B55" s="10">
        <v>231</v>
      </c>
      <c r="C55" s="47" t="s">
        <v>271</v>
      </c>
      <c r="F55" cm="1">
        <f t="array" ref="F55">SUM(VLOOKUP('Free Plays'!E10:AH10,Tiers!$B:$C,2,FALSE))*G55</f>
        <v>41.9</v>
      </c>
      <c r="G55" s="10">
        <v>1</v>
      </c>
      <c r="H55" s="10"/>
      <c r="I55" s="10"/>
      <c r="J55" s="10"/>
      <c r="K55" s="10"/>
      <c r="L55" s="10"/>
      <c r="M55" s="10"/>
      <c r="P55" s="10"/>
      <c r="Q55" s="10"/>
      <c r="R55" s="10"/>
    </row>
    <row r="56" spans="2:18">
      <c r="B56" s="10">
        <v>232</v>
      </c>
      <c r="C56" s="47" t="s">
        <v>272</v>
      </c>
      <c r="F56" cm="1">
        <f t="array" ref="F56">SUM(VLOOKUP('Free Plays'!E11:AH11,Tiers!$B:$C,2,FALSE))*G56</f>
        <v>27</v>
      </c>
      <c r="G56" s="10">
        <v>1</v>
      </c>
      <c r="H56" s="10"/>
      <c r="I56" s="10"/>
      <c r="J56" s="10"/>
      <c r="K56" s="10"/>
      <c r="L56" s="10"/>
      <c r="M56" s="10"/>
      <c r="P56" s="10"/>
      <c r="Q56" s="10"/>
      <c r="R56" s="10"/>
    </row>
    <row r="57" spans="2:18">
      <c r="B57" s="10">
        <v>233</v>
      </c>
      <c r="C57" s="47" t="s">
        <v>273</v>
      </c>
      <c r="F57" cm="1">
        <f t="array" ref="F57">SUM(VLOOKUP('Free Plays'!E12:AH12,Tiers!$B:$C,2,FALSE))*G57</f>
        <v>44.099999999999994</v>
      </c>
      <c r="G57" s="10">
        <v>1</v>
      </c>
      <c r="H57" s="10"/>
      <c r="I57" s="10"/>
      <c r="J57" s="10"/>
      <c r="K57" s="10"/>
      <c r="L57" s="10"/>
      <c r="M57" s="10"/>
    </row>
    <row r="58" spans="2:18">
      <c r="B58" s="10">
        <v>234</v>
      </c>
      <c r="C58" s="47" t="s">
        <v>274</v>
      </c>
      <c r="F58" cm="1">
        <f t="array" ref="F58">SUM(VLOOKUP('Free Plays'!E13:AH13,Tiers!$B:$C,2,FALSE))*G58</f>
        <v>16</v>
      </c>
      <c r="G58" s="10">
        <v>1</v>
      </c>
      <c r="H58" s="10"/>
      <c r="I58" s="10"/>
      <c r="J58" s="10"/>
      <c r="K58" s="10"/>
      <c r="L58" s="10"/>
      <c r="M58" s="10"/>
    </row>
    <row r="59" spans="2:18">
      <c r="B59" s="10">
        <v>235</v>
      </c>
      <c r="C59" s="47" t="s">
        <v>275</v>
      </c>
      <c r="F59" cm="1">
        <f t="array" ref="F59">SUM(VLOOKUP('Free Plays'!E14:AH14,Tiers!$B:$C,2,FALSE))*G59</f>
        <v>25.400000000000002</v>
      </c>
      <c r="G59" s="10">
        <v>1</v>
      </c>
      <c r="H59" s="10"/>
      <c r="I59" s="10"/>
      <c r="J59" s="10"/>
      <c r="K59" s="10"/>
      <c r="L59" s="10"/>
      <c r="M59" s="10"/>
    </row>
    <row r="60" spans="2:18">
      <c r="B60" s="10">
        <v>236</v>
      </c>
      <c r="C60" s="47" t="s">
        <v>276</v>
      </c>
      <c r="F60" cm="1">
        <f t="array" ref="F60">SUM(VLOOKUP('Free Plays'!E15:AH15,Tiers!$B:$C,2,FALSE))*G60</f>
        <v>34.900000000000006</v>
      </c>
      <c r="G60" s="10">
        <v>1</v>
      </c>
      <c r="H60" s="10"/>
      <c r="I60" s="10"/>
      <c r="J60" s="10"/>
      <c r="K60" s="10"/>
      <c r="L60" s="10"/>
      <c r="M60" s="10"/>
    </row>
    <row r="61" spans="2:18">
      <c r="B61" s="10">
        <v>237</v>
      </c>
      <c r="C61" s="47" t="s">
        <v>277</v>
      </c>
      <c r="F61" cm="1">
        <f t="array" ref="F61">SUM(VLOOKUP('Free Plays'!E16:AH16,Tiers!$B:$C,2,FALSE))*G61</f>
        <v>23.3</v>
      </c>
      <c r="G61" s="10">
        <v>1</v>
      </c>
      <c r="H61" s="10"/>
      <c r="I61" s="10"/>
      <c r="J61" s="10"/>
      <c r="K61" s="10"/>
      <c r="L61" s="10"/>
      <c r="M61" s="10"/>
    </row>
    <row r="62" spans="2:18">
      <c r="B62" s="10">
        <v>238</v>
      </c>
      <c r="C62" s="47" t="s">
        <v>278</v>
      </c>
      <c r="F62" cm="1">
        <f t="array" ref="F62">SUM(VLOOKUP('Free Plays'!E17:AH17,Tiers!$B:$C,2,FALSE))*G62</f>
        <v>17.999999999999996</v>
      </c>
      <c r="G62" s="10">
        <v>1</v>
      </c>
      <c r="H62" s="10"/>
      <c r="I62" s="10"/>
      <c r="J62" s="10"/>
      <c r="K62" s="10"/>
      <c r="L62" s="10"/>
      <c r="M62" s="10"/>
    </row>
    <row r="63" spans="2:18">
      <c r="B63" s="10">
        <v>239</v>
      </c>
      <c r="C63" s="47" t="s">
        <v>279</v>
      </c>
      <c r="F63" cm="1">
        <f t="array" ref="F63">SUM(VLOOKUP('Free Plays'!E18:AH18,Tiers!$B:$C,2,FALSE))*G63</f>
        <v>21.3</v>
      </c>
      <c r="G63" s="10">
        <v>1</v>
      </c>
      <c r="H63" s="10"/>
      <c r="I63" s="10"/>
      <c r="J63" s="10"/>
      <c r="K63" s="10"/>
      <c r="L63" s="10"/>
      <c r="M63" s="10"/>
    </row>
    <row r="64" spans="2:18">
      <c r="B64" s="10">
        <v>240</v>
      </c>
      <c r="C64" s="47" t="s">
        <v>280</v>
      </c>
      <c r="F64" cm="1">
        <f t="array" ref="F64">SUM(VLOOKUP('Free Plays'!E19:AH19,Tiers!$B:$C,2,FALSE))*G64</f>
        <v>37.299999999999997</v>
      </c>
      <c r="G64" s="10">
        <v>1</v>
      </c>
      <c r="H64" s="10"/>
      <c r="I64" s="10"/>
      <c r="J64" s="10"/>
      <c r="K64" s="10"/>
      <c r="L64" s="10"/>
      <c r="M64" s="10"/>
    </row>
    <row r="65" spans="2:16">
      <c r="B65" s="10">
        <v>241</v>
      </c>
      <c r="C65" s="47" t="s">
        <v>281</v>
      </c>
      <c r="F65" cm="1">
        <f t="array" ref="F65">SUM(VLOOKUP('Free Plays'!E20:AH20,Tiers!$B:$C,2,FALSE))*G65</f>
        <v>26.7</v>
      </c>
      <c r="G65" s="10">
        <v>1</v>
      </c>
      <c r="H65" s="10"/>
      <c r="I65" s="10"/>
      <c r="J65" s="10"/>
      <c r="K65" s="10"/>
      <c r="L65" s="10"/>
      <c r="M65" s="10"/>
    </row>
    <row r="66" spans="2:16">
      <c r="B66" s="10">
        <v>242</v>
      </c>
      <c r="C66" s="47" t="s">
        <v>282</v>
      </c>
      <c r="F66" cm="1">
        <f t="array" ref="F66">SUM(VLOOKUP('Free Plays'!E21:AH21,Tiers!$B:$C,2,FALSE))*G66</f>
        <v>40.9</v>
      </c>
      <c r="G66" s="10">
        <v>1</v>
      </c>
      <c r="H66" s="10"/>
      <c r="I66" s="10"/>
      <c r="J66" s="10"/>
      <c r="K66" s="10"/>
      <c r="L66" s="10"/>
      <c r="M66" s="10"/>
      <c r="N66" s="10"/>
      <c r="O66" s="10"/>
      <c r="P66" s="10"/>
    </row>
    <row r="67" spans="2:16">
      <c r="B67" s="10">
        <v>243</v>
      </c>
      <c r="C67" s="47" t="s">
        <v>283</v>
      </c>
      <c r="F67" cm="1">
        <f t="array" ref="F67">SUM(VLOOKUP('Free Plays'!E22:AH22,Tiers!$B:$C,2,FALSE))*G67</f>
        <v>48.900000000000006</v>
      </c>
      <c r="G67" s="10">
        <v>1</v>
      </c>
      <c r="H67" s="10"/>
      <c r="I67" s="10"/>
      <c r="J67" s="10"/>
      <c r="K67" s="10"/>
      <c r="L67" s="10"/>
      <c r="M67" s="10"/>
      <c r="N67" s="10"/>
      <c r="O67" s="10"/>
      <c r="P67" s="10"/>
    </row>
    <row r="68" spans="2:16">
      <c r="B68" s="10">
        <v>244</v>
      </c>
      <c r="C68" s="47" t="s">
        <v>284</v>
      </c>
      <c r="F68" cm="1">
        <f t="array" ref="F68">SUM(VLOOKUP('Free Plays'!E23:AH23,Tiers!$B:$C,2,FALSE))*G68</f>
        <v>66.900000000000006</v>
      </c>
      <c r="G68" s="10">
        <v>1</v>
      </c>
      <c r="H68" s="10"/>
      <c r="I68" s="10"/>
      <c r="J68" s="10"/>
      <c r="K68" s="10"/>
      <c r="L68" s="10"/>
      <c r="M68" s="10"/>
      <c r="N68" s="10"/>
      <c r="O68" s="10"/>
      <c r="P68" s="10"/>
    </row>
    <row r="69" spans="2:16">
      <c r="B69" s="10">
        <v>245</v>
      </c>
      <c r="C69" s="47" t="s">
        <v>285</v>
      </c>
      <c r="F69" cm="1">
        <f t="array" ref="F69">SUM(VLOOKUP('Free Plays'!E24:AH24,Tiers!$B:$C,2,FALSE))*G69</f>
        <v>59.9</v>
      </c>
      <c r="G69" s="10">
        <v>1</v>
      </c>
      <c r="I69" s="10"/>
      <c r="J69" s="10"/>
      <c r="K69" s="10"/>
      <c r="L69" s="10"/>
      <c r="M69" s="10"/>
      <c r="O69" s="10"/>
      <c r="P69" s="10"/>
    </row>
    <row r="70" spans="2:16">
      <c r="B70" s="10">
        <v>246</v>
      </c>
      <c r="C70" s="47" t="s">
        <v>286</v>
      </c>
      <c r="F70" cm="1">
        <f t="array" ref="F70">SUM(VLOOKUP('Free Plays'!E25:AH25,Tiers!$B:$C,2,FALSE))*G70</f>
        <v>65.599999999999994</v>
      </c>
      <c r="G70" s="10">
        <v>1</v>
      </c>
      <c r="I70" s="10"/>
      <c r="J70" s="10"/>
      <c r="K70" s="10"/>
      <c r="L70" s="10"/>
      <c r="M70" s="10"/>
      <c r="O70" s="10"/>
      <c r="P70" s="10"/>
    </row>
    <row r="71" spans="2:16">
      <c r="B71" s="10">
        <v>247</v>
      </c>
      <c r="C71" s="47" t="s">
        <v>287</v>
      </c>
      <c r="F71" cm="1">
        <f t="array" ref="F71">SUM(VLOOKUP('Free Plays'!E26:AH26,Tiers!$B:$C,2,FALSE))*G71</f>
        <v>66.5</v>
      </c>
      <c r="G71" s="10">
        <v>1</v>
      </c>
      <c r="I71" s="10"/>
      <c r="J71" s="10"/>
      <c r="K71" s="10"/>
      <c r="L71" s="10"/>
      <c r="M71" s="10"/>
      <c r="O71" s="10"/>
      <c r="P71" s="10"/>
    </row>
    <row r="72" spans="2:16">
      <c r="B72" s="10">
        <v>248</v>
      </c>
      <c r="C72" s="47" t="s">
        <v>288</v>
      </c>
      <c r="F72" cm="1">
        <f t="array" ref="F72">SUM(VLOOKUP('Free Plays'!E27:AH27,Tiers!$B:$C,2,FALSE))*G72</f>
        <v>87.9</v>
      </c>
      <c r="G72" s="10">
        <v>1</v>
      </c>
      <c r="I72" s="10"/>
      <c r="J72" s="10"/>
      <c r="K72" s="10"/>
      <c r="L72" s="10"/>
      <c r="M72" s="10"/>
      <c r="O72" s="10"/>
      <c r="P72" s="10"/>
    </row>
    <row r="73" spans="2:16">
      <c r="B73" s="10">
        <v>249</v>
      </c>
      <c r="C73" s="47" t="s">
        <v>289</v>
      </c>
      <c r="F73" cm="1">
        <f t="array" ref="F73">SUM(VLOOKUP('Free Plays'!E28:AH28,Tiers!$B:$C,2,FALSE))*G73</f>
        <v>58.6</v>
      </c>
      <c r="G73" s="10">
        <v>1</v>
      </c>
      <c r="H73" t="s">
        <v>299</v>
      </c>
      <c r="I73" s="10"/>
      <c r="J73" s="10"/>
      <c r="K73" s="10"/>
      <c r="L73" s="10"/>
      <c r="M73" s="10"/>
      <c r="O73" s="10"/>
      <c r="P73" s="10"/>
    </row>
    <row r="74" spans="2:16">
      <c r="B74" s="10">
        <v>250</v>
      </c>
      <c r="C74" s="47" t="s">
        <v>290</v>
      </c>
      <c r="F74" cm="1">
        <f t="array" ref="F74">SUM(VLOOKUP('Free Plays'!E29:AH29,Tiers!$B:$C,2,FALSE))*G74</f>
        <v>72.800000000000011</v>
      </c>
      <c r="G74" s="10">
        <v>1</v>
      </c>
      <c r="H74" t="s">
        <v>299</v>
      </c>
      <c r="I74" s="10"/>
      <c r="J74" s="10"/>
      <c r="K74" s="10"/>
      <c r="L74" s="10"/>
      <c r="M74" s="10"/>
      <c r="O74" s="10"/>
      <c r="P74" s="10"/>
    </row>
    <row r="75" spans="2:16">
      <c r="B75" s="10">
        <v>251</v>
      </c>
      <c r="C75" s="47" t="s">
        <v>291</v>
      </c>
      <c r="F75" cm="1">
        <f t="array" ref="F75">SUM(VLOOKUP('Free Plays'!E30:AH30,Tiers!$B:$C,2,FALSE))*G75</f>
        <v>56</v>
      </c>
      <c r="G75" s="10">
        <v>1</v>
      </c>
      <c r="H75" t="s">
        <v>299</v>
      </c>
      <c r="I75" s="10"/>
      <c r="J75" s="10"/>
      <c r="K75" s="10"/>
      <c r="L75" s="10"/>
      <c r="M75" s="10"/>
      <c r="O75" s="10"/>
      <c r="P75" s="10"/>
    </row>
    <row r="76" spans="2:16">
      <c r="B76" s="10">
        <v>252</v>
      </c>
      <c r="C76" s="47" t="s">
        <v>292</v>
      </c>
      <c r="F76" cm="1">
        <f t="array" ref="F76">SUM(VLOOKUP('Free Plays'!E31:AH31,Tiers!$B:$C,2,FALSE))*G76</f>
        <v>44.1</v>
      </c>
      <c r="G76" s="10">
        <v>1</v>
      </c>
      <c r="H76" t="s">
        <v>299</v>
      </c>
      <c r="I76" s="10"/>
      <c r="J76" s="10"/>
      <c r="K76" s="10"/>
      <c r="L76" s="10"/>
      <c r="M76" s="10"/>
      <c r="O76" s="10"/>
      <c r="P76" s="10"/>
    </row>
    <row r="77" spans="2:16">
      <c r="B77" s="10">
        <v>253</v>
      </c>
      <c r="C77" s="47" t="s">
        <v>293</v>
      </c>
      <c r="F77" cm="1">
        <f t="array" ref="F77">SUM(VLOOKUP('Free Plays'!E32:AH32,Tiers!$B:$C,2,FALSE))*G77</f>
        <v>81.5</v>
      </c>
      <c r="G77" s="10">
        <v>1</v>
      </c>
      <c r="H77" t="s">
        <v>299</v>
      </c>
      <c r="I77" s="10"/>
      <c r="J77" s="10"/>
      <c r="K77" s="10"/>
      <c r="L77" s="10"/>
      <c r="M77" s="10"/>
      <c r="O77" s="10"/>
      <c r="P77" s="10"/>
    </row>
    <row r="78" spans="2:16">
      <c r="B78" s="10">
        <v>254</v>
      </c>
      <c r="C78" s="47" t="s">
        <v>294</v>
      </c>
      <c r="F78" cm="1">
        <f t="array" ref="F78">SUM(VLOOKUP('Free Plays'!E33:AH33,Tiers!$B:$C,2,FALSE))*G78</f>
        <v>46.9</v>
      </c>
      <c r="G78" s="10">
        <v>1</v>
      </c>
      <c r="H78" t="s">
        <v>299</v>
      </c>
      <c r="I78" s="10"/>
      <c r="J78" s="10"/>
      <c r="K78" s="10"/>
      <c r="L78" s="10"/>
      <c r="M78" s="10"/>
      <c r="O78" s="10"/>
      <c r="P78" s="10"/>
    </row>
    <row r="79" spans="2:16">
      <c r="B79" s="10">
        <v>348</v>
      </c>
      <c r="C79" s="46" t="s">
        <v>251</v>
      </c>
      <c r="F79">
        <f>VLOOKUP(C79,'Pay Table'!$B:$C,2,FALSE)*G79*Frequency!$N$7</f>
        <v>10</v>
      </c>
      <c r="G79" s="10">
        <v>1</v>
      </c>
      <c r="H79" s="10" t="s">
        <v>158</v>
      </c>
      <c r="I79" s="10"/>
      <c r="J79" s="10"/>
      <c r="K79" s="10"/>
      <c r="L79" s="10"/>
      <c r="M79" s="10"/>
      <c r="N79" s="10"/>
      <c r="O79" s="10"/>
      <c r="P79" s="10"/>
    </row>
    <row r="80" spans="2:16">
      <c r="B80" s="10">
        <v>349</v>
      </c>
      <c r="C80" s="46" t="s">
        <v>252</v>
      </c>
      <c r="F80">
        <f>VLOOKUP(C80,'Pay Table'!$B:$C,2,FALSE)*G80*Frequency!$N$7</f>
        <v>15</v>
      </c>
      <c r="G80" s="10">
        <v>1</v>
      </c>
      <c r="H80" s="10"/>
      <c r="I80" s="10"/>
      <c r="J80" s="10"/>
      <c r="K80" s="10"/>
      <c r="L80" s="10"/>
      <c r="M80" s="10"/>
      <c r="N80" s="10"/>
      <c r="O80" s="10"/>
      <c r="P80" s="10"/>
    </row>
    <row r="81" spans="2:22">
      <c r="B81" s="10">
        <v>350</v>
      </c>
      <c r="C81" s="46" t="s">
        <v>253</v>
      </c>
      <c r="F81">
        <f>VLOOKUP(C81,'Pay Table'!$B:$C,2,FALSE)*G81*Frequency!$N$7</f>
        <v>20</v>
      </c>
      <c r="G81" s="10">
        <v>1</v>
      </c>
      <c r="H81" s="10"/>
      <c r="I81" s="10"/>
      <c r="J81" s="10"/>
      <c r="K81" s="10"/>
      <c r="L81" s="10"/>
      <c r="M81" s="10"/>
      <c r="N81" s="10"/>
      <c r="O81" s="10"/>
      <c r="P81" s="10"/>
    </row>
    <row r="82" spans="2:22">
      <c r="B82" s="10">
        <v>351</v>
      </c>
      <c r="C82" s="46" t="s">
        <v>254</v>
      </c>
      <c r="F82">
        <f>VLOOKUP(C82,'Pay Table'!$B:$C,2,FALSE)*G82*Frequency!$N$7</f>
        <v>25</v>
      </c>
      <c r="G82" s="10">
        <v>1</v>
      </c>
      <c r="H82" s="10"/>
      <c r="I82" s="10"/>
      <c r="J82" s="10"/>
      <c r="K82" s="10"/>
      <c r="L82" s="10"/>
      <c r="M82" s="10"/>
      <c r="N82" s="10"/>
      <c r="O82" s="10"/>
      <c r="P82" s="10"/>
      <c r="Q82" s="10"/>
      <c r="R82" s="10"/>
    </row>
    <row r="83" spans="2:22">
      <c r="B83" s="10">
        <v>352</v>
      </c>
      <c r="C83" s="46" t="s">
        <v>255</v>
      </c>
      <c r="F83">
        <f>VLOOKUP(C83,'Pay Table'!$B:$C,2,FALSE)*G83*Frequency!$N$7</f>
        <v>30</v>
      </c>
      <c r="G83" s="10">
        <v>1</v>
      </c>
      <c r="H83" s="10"/>
      <c r="I83" s="10"/>
      <c r="J83" s="10"/>
      <c r="K83" s="10"/>
      <c r="L83" s="10"/>
      <c r="M83" s="10"/>
      <c r="N83" s="10"/>
      <c r="O83" s="10"/>
      <c r="P83" s="10"/>
      <c r="Q83" s="10"/>
      <c r="R83" s="10"/>
    </row>
    <row r="84" spans="2:22">
      <c r="B84" s="10">
        <v>353</v>
      </c>
      <c r="C84" s="46" t="s">
        <v>256</v>
      </c>
      <c r="F84">
        <f>VLOOKUP(C84,'Pay Table'!$B:$C,2,FALSE)*G84*Frequency!$N$7</f>
        <v>50</v>
      </c>
      <c r="G84" s="10">
        <v>1</v>
      </c>
      <c r="H84" s="10"/>
      <c r="I84" s="10"/>
      <c r="J84" s="10"/>
      <c r="K84" s="10"/>
      <c r="L84" s="10"/>
      <c r="M84" s="10"/>
      <c r="N84" s="10"/>
      <c r="O84" s="10"/>
      <c r="P84" s="10"/>
      <c r="Q84" s="10"/>
      <c r="R84" s="10"/>
    </row>
    <row r="85" spans="2:22">
      <c r="B85" s="10">
        <v>354</v>
      </c>
      <c r="C85" s="46" t="s">
        <v>257</v>
      </c>
      <c r="F85">
        <f>VLOOKUP(C85,'Pay Table'!$B:$C,2,FALSE)*G85*Frequency!$N$7</f>
        <v>100</v>
      </c>
      <c r="G85" s="10">
        <v>1</v>
      </c>
      <c r="H85" s="10"/>
      <c r="I85" s="10"/>
      <c r="J85" s="10"/>
      <c r="K85" s="10"/>
      <c r="L85" s="10"/>
      <c r="M85" s="10"/>
      <c r="N85" s="10"/>
      <c r="O85" s="10"/>
      <c r="P85" s="10"/>
      <c r="Q85" s="10"/>
      <c r="R85" s="10"/>
    </row>
    <row r="86" spans="2:22">
      <c r="G86" s="10"/>
      <c r="H86" s="10"/>
      <c r="I86" s="10"/>
      <c r="J86" s="10"/>
      <c r="K86" s="10"/>
      <c r="L86" s="10"/>
      <c r="M86" s="10"/>
      <c r="N86" s="10"/>
      <c r="O86" s="10"/>
      <c r="P86" s="10"/>
      <c r="Q86" s="10"/>
      <c r="R86" s="10"/>
    </row>
    <row r="87" spans="2:22">
      <c r="G87" s="10"/>
      <c r="H87" s="10"/>
      <c r="I87" s="10"/>
      <c r="J87" s="10"/>
      <c r="K87" s="10"/>
      <c r="L87" s="10"/>
      <c r="M87" s="10"/>
      <c r="N87" s="10"/>
      <c r="O87" s="10"/>
      <c r="P87" s="10"/>
      <c r="Q87" s="10"/>
      <c r="R87" s="10"/>
    </row>
    <row r="88" spans="2:22">
      <c r="G88" s="10"/>
      <c r="H88" s="10"/>
      <c r="I88" s="10"/>
      <c r="J88" s="10"/>
      <c r="K88" s="10"/>
      <c r="L88" s="10"/>
      <c r="M88" s="10"/>
      <c r="N88" s="10"/>
      <c r="O88" s="10"/>
      <c r="P88" s="10"/>
      <c r="Q88" s="10"/>
      <c r="R88" s="10"/>
    </row>
    <row r="89" spans="2:22">
      <c r="G89" s="10"/>
      <c r="H89" s="10"/>
      <c r="I89" s="10"/>
      <c r="J89" s="10"/>
      <c r="K89" s="10"/>
      <c r="L89" s="10"/>
      <c r="M89" s="10"/>
      <c r="N89" s="10"/>
      <c r="O89" s="10"/>
      <c r="P89" s="10"/>
      <c r="Q89" s="10"/>
      <c r="R89" s="10"/>
    </row>
    <row r="90" spans="2:22">
      <c r="G90" s="10"/>
      <c r="H90" s="10"/>
      <c r="I90" s="10"/>
      <c r="J90" s="10"/>
      <c r="K90" s="10"/>
      <c r="L90" s="10"/>
      <c r="M90" s="10"/>
      <c r="N90" s="10"/>
      <c r="O90" s="10"/>
      <c r="P90" s="10"/>
      <c r="Q90" s="10"/>
      <c r="R90" s="10"/>
    </row>
    <row r="91" spans="2:22">
      <c r="G91" s="10"/>
      <c r="H91" s="10"/>
      <c r="I91" s="10"/>
      <c r="J91" s="10"/>
      <c r="K91" s="10"/>
      <c r="L91" s="10"/>
      <c r="M91" s="10"/>
      <c r="N91" s="10"/>
      <c r="O91" s="10"/>
      <c r="P91" s="10"/>
      <c r="Q91" s="10"/>
      <c r="R91" s="10"/>
    </row>
    <row r="92" spans="2:22">
      <c r="G92" s="10"/>
      <c r="H92" s="10"/>
      <c r="I92" s="10"/>
      <c r="J92" s="10"/>
      <c r="K92" s="10"/>
      <c r="L92" s="10"/>
      <c r="M92" s="10"/>
      <c r="N92" s="10"/>
      <c r="O92" s="10"/>
      <c r="P92" s="10"/>
      <c r="Q92" s="10"/>
      <c r="R92" s="10"/>
    </row>
    <row r="93" spans="2:22">
      <c r="G93" s="10"/>
      <c r="H93" s="10"/>
      <c r="I93" s="10"/>
      <c r="J93" s="10"/>
      <c r="K93" s="10"/>
      <c r="L93" s="10"/>
      <c r="M93" s="10"/>
      <c r="N93" s="10"/>
      <c r="O93" s="10"/>
      <c r="P93" s="10"/>
      <c r="Q93" s="10"/>
      <c r="R93" s="10"/>
      <c r="S93" s="10"/>
      <c r="T93" s="10"/>
      <c r="U93" s="10"/>
      <c r="V93" s="10"/>
    </row>
    <row r="94" spans="2:22">
      <c r="G94" s="10"/>
      <c r="H94" s="10"/>
      <c r="I94" s="10"/>
      <c r="J94" s="10"/>
      <c r="K94" s="10"/>
      <c r="L94" s="10"/>
      <c r="M94" s="10"/>
      <c r="N94" s="10"/>
      <c r="O94" s="10"/>
      <c r="P94" s="10"/>
      <c r="Q94" s="10"/>
      <c r="R94" s="10"/>
      <c r="S94" s="10"/>
      <c r="T94" s="10"/>
      <c r="U94" s="10"/>
      <c r="V94" s="10"/>
    </row>
    <row r="95" spans="2:22">
      <c r="G95" s="10"/>
      <c r="H95" s="10"/>
      <c r="I95" s="10"/>
      <c r="J95" s="10"/>
      <c r="K95" s="10"/>
      <c r="L95" s="10"/>
      <c r="M95" s="10"/>
      <c r="N95" s="10"/>
      <c r="O95" s="10"/>
      <c r="P95" s="10"/>
      <c r="Q95" s="10"/>
      <c r="R95" s="10"/>
      <c r="S95" s="10"/>
      <c r="T95" s="10"/>
      <c r="U95" s="10"/>
      <c r="V95" s="10"/>
    </row>
    <row r="96" spans="2:22">
      <c r="G96" s="10"/>
      <c r="H96" s="10"/>
      <c r="I96" s="10"/>
      <c r="J96" s="10"/>
      <c r="K96" s="10"/>
      <c r="L96" s="10"/>
      <c r="M96" s="10"/>
      <c r="N96" s="10"/>
      <c r="O96" s="10"/>
      <c r="P96" s="10"/>
      <c r="Q96" s="10"/>
      <c r="R96" s="10"/>
      <c r="S96" s="10"/>
      <c r="T96" s="10"/>
      <c r="U96" s="10"/>
      <c r="V96" s="10"/>
    </row>
    <row r="97" spans="7:22">
      <c r="G97" s="10"/>
      <c r="H97" s="10"/>
      <c r="I97" s="10"/>
      <c r="J97" s="10"/>
      <c r="K97" s="10"/>
      <c r="L97" s="10"/>
      <c r="M97" s="10"/>
      <c r="N97" s="10"/>
      <c r="O97" s="10"/>
      <c r="P97" s="10"/>
      <c r="Q97" s="10"/>
      <c r="R97" s="10"/>
      <c r="S97" s="10"/>
      <c r="T97" s="10"/>
      <c r="U97" s="10"/>
      <c r="V97" s="10"/>
    </row>
    <row r="98" spans="7:22">
      <c r="G98" s="10"/>
      <c r="H98" s="10"/>
      <c r="I98" s="10"/>
      <c r="J98" s="10"/>
      <c r="K98" s="10"/>
      <c r="L98" s="10"/>
      <c r="M98" s="10"/>
      <c r="N98" s="10"/>
      <c r="O98" s="10"/>
      <c r="P98" s="10"/>
      <c r="Q98" s="10"/>
      <c r="R98" s="10"/>
      <c r="S98" s="10"/>
      <c r="T98" s="10"/>
      <c r="U98" s="10"/>
      <c r="V98" s="10"/>
    </row>
    <row r="99" spans="7:22">
      <c r="G99" s="10"/>
      <c r="H99" s="10"/>
      <c r="I99" s="10"/>
      <c r="J99" s="10"/>
      <c r="K99" s="10"/>
      <c r="L99" s="10"/>
      <c r="M99" s="10"/>
      <c r="N99" s="10"/>
      <c r="O99" s="10"/>
      <c r="P99" s="10"/>
      <c r="Q99" s="10"/>
      <c r="R99" s="10"/>
      <c r="S99" s="10"/>
      <c r="T99" s="10"/>
      <c r="U99" s="10"/>
      <c r="V99" s="10"/>
    </row>
    <row r="100" spans="7:22">
      <c r="G100" s="10"/>
      <c r="H100" s="10"/>
      <c r="I100" s="10"/>
      <c r="J100" s="10"/>
      <c r="K100" s="10"/>
      <c r="L100" s="10"/>
      <c r="M100" s="10"/>
      <c r="N100" s="10"/>
      <c r="O100" s="10"/>
      <c r="P100" s="10"/>
      <c r="Q100" s="10"/>
      <c r="R100" s="10"/>
      <c r="S100" s="10"/>
      <c r="T100" s="10"/>
      <c r="U100" s="10"/>
      <c r="V100" s="10"/>
    </row>
    <row r="101" spans="7:22">
      <c r="G101" s="10"/>
      <c r="H101" s="10"/>
      <c r="I101" s="10"/>
      <c r="J101" s="10"/>
      <c r="K101" s="10"/>
      <c r="L101" s="10"/>
      <c r="M101" s="10"/>
      <c r="N101" s="10"/>
      <c r="O101" s="10"/>
      <c r="P101" s="10"/>
      <c r="Q101" s="10"/>
      <c r="R101" s="10"/>
      <c r="S101" s="10"/>
      <c r="T101" s="10"/>
      <c r="U101" s="10"/>
      <c r="V101" s="10"/>
    </row>
    <row r="102" spans="7:22">
      <c r="G102" s="10"/>
      <c r="H102" s="10"/>
      <c r="I102" s="10"/>
      <c r="J102" s="10"/>
      <c r="K102" s="10"/>
      <c r="L102" s="10"/>
      <c r="M102" s="10"/>
      <c r="N102" s="10"/>
      <c r="O102" s="10"/>
      <c r="P102" s="10"/>
      <c r="Q102" s="10"/>
      <c r="R102" s="10"/>
      <c r="S102" s="10"/>
      <c r="T102" s="10"/>
      <c r="U102" s="10"/>
      <c r="V102" s="10"/>
    </row>
    <row r="103" spans="7:22">
      <c r="G103" s="10"/>
      <c r="H103" s="10"/>
      <c r="I103" s="10"/>
      <c r="J103" s="10"/>
      <c r="K103" s="10"/>
      <c r="L103" s="10"/>
      <c r="M103" s="10"/>
      <c r="N103" s="10"/>
      <c r="O103" s="10"/>
      <c r="P103" s="10"/>
      <c r="Q103" s="10"/>
      <c r="R103" s="10"/>
      <c r="S103" s="10"/>
      <c r="T103" s="10"/>
      <c r="U103" s="10"/>
      <c r="V103" s="10"/>
    </row>
    <row r="104" spans="7:22">
      <c r="G104" s="10"/>
      <c r="H104" s="10"/>
      <c r="I104" s="10"/>
      <c r="J104" s="10"/>
      <c r="K104" s="10"/>
      <c r="L104" s="10"/>
      <c r="M104" s="10"/>
      <c r="N104" s="10"/>
      <c r="O104" s="10"/>
      <c r="P104" s="10"/>
      <c r="Q104" s="10"/>
      <c r="R104" s="10"/>
      <c r="S104" s="10"/>
      <c r="T104" s="10"/>
      <c r="U104" s="10"/>
      <c r="V104" s="10"/>
    </row>
    <row r="105" spans="7:22">
      <c r="G105" s="10"/>
      <c r="H105" s="10"/>
      <c r="I105" s="10"/>
      <c r="J105" s="10"/>
      <c r="K105" s="10"/>
      <c r="L105" s="10"/>
      <c r="M105" s="10"/>
      <c r="N105" s="10"/>
      <c r="O105" s="10"/>
      <c r="P105" s="10"/>
      <c r="Q105" s="10"/>
      <c r="R105" s="10"/>
      <c r="S105" s="10"/>
      <c r="T105" s="10"/>
      <c r="U105" s="10"/>
      <c r="V105" s="10"/>
    </row>
    <row r="106" spans="7:22">
      <c r="G106" s="10"/>
      <c r="H106" s="10"/>
      <c r="I106" s="10"/>
      <c r="J106" s="10"/>
      <c r="K106" s="10"/>
      <c r="L106" s="10"/>
      <c r="M106" s="10"/>
      <c r="N106" s="10"/>
      <c r="O106" s="10"/>
      <c r="P106" s="10"/>
      <c r="Q106" s="10"/>
      <c r="R106" s="10"/>
      <c r="S106" s="10"/>
      <c r="T106" s="10"/>
      <c r="U106" s="10"/>
      <c r="V106" s="10"/>
    </row>
    <row r="107" spans="7:22">
      <c r="G107" s="10"/>
      <c r="H107" s="10"/>
      <c r="I107" s="10"/>
      <c r="J107" s="10"/>
      <c r="K107" s="10"/>
      <c r="L107" s="10"/>
      <c r="M107" s="10"/>
      <c r="N107" s="10"/>
      <c r="O107" s="10"/>
      <c r="P107" s="10"/>
      <c r="Q107" s="10"/>
      <c r="R107" s="10"/>
      <c r="S107" s="10"/>
      <c r="T107" s="10"/>
      <c r="U107" s="10"/>
      <c r="V107" s="10"/>
    </row>
    <row r="108" spans="7:22">
      <c r="G108" s="10"/>
      <c r="H108" s="10"/>
      <c r="I108" s="10"/>
      <c r="J108" s="10"/>
      <c r="K108" s="10"/>
      <c r="L108" s="10"/>
      <c r="M108" s="10"/>
      <c r="N108" s="10"/>
      <c r="O108" s="10"/>
      <c r="P108" s="10"/>
      <c r="Q108" s="10"/>
      <c r="R108" s="10"/>
      <c r="S108" s="10"/>
      <c r="T108" s="10"/>
      <c r="U108" s="10"/>
      <c r="V108" s="10"/>
    </row>
    <row r="109" spans="7:22">
      <c r="G109" s="10"/>
      <c r="H109" s="10"/>
      <c r="I109" s="10"/>
      <c r="J109" s="10"/>
      <c r="K109" s="10"/>
      <c r="L109" s="10"/>
      <c r="M109" s="10"/>
      <c r="N109" s="10"/>
      <c r="O109" s="10"/>
      <c r="P109" s="10"/>
      <c r="Q109" s="10"/>
      <c r="R109" s="10"/>
      <c r="S109" s="10"/>
      <c r="T109" s="10"/>
      <c r="U109" s="10"/>
      <c r="V109" s="10"/>
    </row>
    <row r="110" spans="7:22">
      <c r="G110" s="10"/>
      <c r="H110" s="10"/>
      <c r="I110" s="10"/>
      <c r="J110" s="10"/>
      <c r="K110" s="10"/>
      <c r="L110" s="10"/>
      <c r="M110" s="10"/>
      <c r="N110" s="10"/>
      <c r="O110" s="10"/>
      <c r="P110" s="10"/>
      <c r="Q110" s="10"/>
      <c r="R110" s="10"/>
      <c r="S110" s="10"/>
      <c r="T110" s="10"/>
      <c r="U110" s="10"/>
      <c r="V110" s="10"/>
    </row>
    <row r="111" spans="7:22">
      <c r="G111" s="10"/>
      <c r="H111" s="10"/>
      <c r="I111" s="10"/>
      <c r="J111" s="10"/>
      <c r="K111" s="10"/>
      <c r="L111" s="10"/>
      <c r="M111" s="10"/>
      <c r="N111" s="10"/>
      <c r="O111" s="10"/>
      <c r="P111" s="10"/>
      <c r="Q111" s="10"/>
      <c r="R111" s="10"/>
      <c r="S111" s="10"/>
      <c r="T111" s="10"/>
      <c r="U111" s="10"/>
      <c r="V111" s="10"/>
    </row>
    <row r="112" spans="7:22">
      <c r="G112" s="10"/>
      <c r="H112" s="10"/>
      <c r="I112" s="10"/>
      <c r="J112" s="10"/>
      <c r="K112" s="10"/>
      <c r="L112" s="10"/>
      <c r="M112" s="10"/>
      <c r="N112" s="10"/>
      <c r="O112" s="10"/>
      <c r="P112" s="10"/>
      <c r="Q112" s="10"/>
      <c r="R112" s="10"/>
      <c r="S112" s="10"/>
      <c r="T112" s="10"/>
      <c r="U112" s="10"/>
      <c r="V112" s="10"/>
    </row>
    <row r="113" spans="7:22">
      <c r="G113" s="10"/>
      <c r="H113" s="10"/>
      <c r="I113" s="10"/>
      <c r="J113" s="10"/>
      <c r="K113" s="10"/>
      <c r="L113" s="10"/>
      <c r="M113" s="10"/>
      <c r="N113" s="10"/>
      <c r="O113" s="10"/>
      <c r="P113" s="10"/>
      <c r="Q113" s="10"/>
      <c r="R113" s="10"/>
      <c r="S113" s="10"/>
      <c r="T113" s="10"/>
      <c r="U113" s="10"/>
      <c r="V113" s="10"/>
    </row>
    <row r="114" spans="7:22">
      <c r="G114" s="10"/>
      <c r="H114" s="10"/>
      <c r="I114" s="10"/>
      <c r="J114" s="10"/>
      <c r="K114" s="10"/>
      <c r="L114" s="10"/>
    </row>
    <row r="115" spans="7:22">
      <c r="G115" s="10"/>
      <c r="H115" s="10"/>
      <c r="I115" s="10"/>
      <c r="J115" s="10"/>
      <c r="K115" s="10"/>
      <c r="L115" s="10"/>
    </row>
    <row r="116" spans="7:22">
      <c r="G116" s="10"/>
      <c r="H116" s="10"/>
      <c r="I116" s="10"/>
      <c r="J116" s="10"/>
      <c r="K116" s="10"/>
      <c r="L116" s="10"/>
    </row>
    <row r="117" spans="7:22">
      <c r="G117" s="10"/>
      <c r="H117" s="10"/>
      <c r="I117" s="10"/>
      <c r="J117" s="10"/>
      <c r="K117" s="10"/>
      <c r="L117" s="10"/>
    </row>
    <row r="118" spans="7:22">
      <c r="G118" s="10"/>
      <c r="H118" s="10"/>
      <c r="I118" s="10"/>
      <c r="J118" s="10"/>
      <c r="K118" s="10"/>
      <c r="L118" s="10"/>
    </row>
    <row r="119" spans="7:22">
      <c r="G119" s="10"/>
      <c r="H119" s="10"/>
      <c r="I119" s="10"/>
      <c r="J119" s="10"/>
      <c r="K119" s="10"/>
      <c r="L119" s="10"/>
    </row>
    <row r="120" spans="7:22">
      <c r="G120" s="10"/>
      <c r="H120" s="10"/>
      <c r="I120" s="10"/>
      <c r="J120" s="10"/>
      <c r="K120" s="10"/>
      <c r="L120" s="10"/>
    </row>
    <row r="121" spans="7:22">
      <c r="G121" s="10"/>
      <c r="H121" s="10"/>
      <c r="I121" s="10"/>
      <c r="J121" s="10"/>
      <c r="K121" s="10"/>
      <c r="L121" s="10"/>
    </row>
    <row r="122" spans="7:22">
      <c r="G122" s="10"/>
      <c r="H122" s="10"/>
      <c r="I122" s="10"/>
      <c r="J122" s="10"/>
      <c r="K122" s="10"/>
      <c r="L122" s="10"/>
    </row>
    <row r="123" spans="7:22">
      <c r="G123" s="10"/>
      <c r="H123" s="10"/>
      <c r="I123" s="10"/>
      <c r="J123" s="10"/>
      <c r="K123" s="10"/>
      <c r="L123" s="10"/>
    </row>
    <row r="124" spans="7:22">
      <c r="G124" s="10"/>
      <c r="H124" s="10"/>
      <c r="I124" s="10"/>
      <c r="J124" s="10"/>
      <c r="K124" s="10"/>
      <c r="L124" s="10"/>
    </row>
    <row r="125" spans="7:22">
      <c r="G125" s="10"/>
      <c r="H125" s="10"/>
      <c r="I125" s="10"/>
      <c r="J125" s="10"/>
      <c r="K125" s="10"/>
      <c r="L125" s="10"/>
    </row>
    <row r="126" spans="7:22">
      <c r="G126" s="10"/>
      <c r="H126" s="10"/>
      <c r="I126" s="10"/>
      <c r="J126" s="10"/>
      <c r="K126" s="10"/>
      <c r="L126" s="10"/>
    </row>
    <row r="127" spans="7:22">
      <c r="G127" s="10"/>
      <c r="H127" s="10"/>
      <c r="I127" s="10"/>
      <c r="J127" s="10"/>
      <c r="K127" s="10"/>
      <c r="L127" s="10"/>
    </row>
    <row r="128" spans="7:22">
      <c r="G128" s="10"/>
      <c r="H128" s="10"/>
      <c r="I128" s="10"/>
      <c r="J128" s="10"/>
      <c r="K128" s="10"/>
      <c r="L128" s="10"/>
    </row>
    <row r="129" spans="7:12">
      <c r="G129" s="10"/>
      <c r="H129" s="10"/>
      <c r="I129" s="10"/>
      <c r="J129" s="10"/>
      <c r="K129" s="10"/>
      <c r="L129" s="10"/>
    </row>
    <row r="130" spans="7:12">
      <c r="G130" s="10"/>
      <c r="H130" s="10"/>
      <c r="I130" s="10"/>
      <c r="J130" s="10"/>
      <c r="K130" s="10"/>
      <c r="L130" s="10"/>
    </row>
    <row r="131" spans="7:12">
      <c r="G131" s="10"/>
      <c r="H131" s="10"/>
      <c r="I131" s="10"/>
      <c r="J131" s="10"/>
      <c r="K131" s="10"/>
      <c r="L131" s="10"/>
    </row>
    <row r="132" spans="7:12">
      <c r="G132" s="10"/>
      <c r="H132" s="10"/>
      <c r="I132" s="10"/>
      <c r="J132" s="10"/>
      <c r="K132" s="10"/>
      <c r="L132" s="10"/>
    </row>
    <row r="133" spans="7:12">
      <c r="G133" s="10"/>
      <c r="H133" s="10"/>
      <c r="I133" s="10"/>
      <c r="J133" s="10"/>
      <c r="K133" s="10"/>
      <c r="L133" s="10"/>
    </row>
    <row r="134" spans="7:12">
      <c r="G134" s="10"/>
      <c r="H134" s="10"/>
      <c r="I134" s="10"/>
      <c r="J134" s="10"/>
      <c r="K134" s="10"/>
      <c r="L134" s="10"/>
    </row>
    <row r="135" spans="7:12">
      <c r="G135" s="10"/>
      <c r="H135" s="10"/>
      <c r="I135" s="10"/>
      <c r="J135" s="10"/>
      <c r="K135" s="10"/>
      <c r="L135" s="10"/>
    </row>
    <row r="136" spans="7:12">
      <c r="G136" s="10"/>
      <c r="H136" s="10"/>
      <c r="I136" s="10"/>
      <c r="J136" s="10"/>
      <c r="K136" s="10"/>
      <c r="L136" s="10"/>
    </row>
    <row r="137" spans="7:12">
      <c r="G137" s="10"/>
      <c r="H137" s="10"/>
      <c r="I137" s="10"/>
      <c r="J137" s="10"/>
      <c r="K137" s="10"/>
      <c r="L137" s="10"/>
    </row>
    <row r="138" spans="7:12">
      <c r="G138" s="10"/>
      <c r="H138" s="10"/>
      <c r="I138" s="10"/>
      <c r="J138" s="10"/>
      <c r="K138" s="10"/>
      <c r="L138" s="10"/>
    </row>
    <row r="139" spans="7:12">
      <c r="G139" s="10"/>
      <c r="H139" s="10"/>
      <c r="I139" s="10"/>
      <c r="J139" s="10"/>
      <c r="K139" s="10"/>
      <c r="L139" s="10"/>
    </row>
    <row r="140" spans="7:12">
      <c r="G140" s="10"/>
      <c r="H140" s="10"/>
      <c r="I140" s="10"/>
      <c r="J140" s="10"/>
      <c r="K140" s="10"/>
      <c r="L140" s="10"/>
    </row>
    <row r="141" spans="7:12">
      <c r="G141" s="10"/>
      <c r="H141" s="10"/>
      <c r="I141" s="10"/>
      <c r="J141" s="10"/>
      <c r="K141" s="10"/>
      <c r="L141" s="10"/>
    </row>
    <row r="142" spans="7:12">
      <c r="G142" s="10"/>
      <c r="H142" s="10"/>
      <c r="I142" s="10"/>
      <c r="J142" s="10"/>
      <c r="K142" s="10"/>
      <c r="L142" s="10"/>
    </row>
    <row r="143" spans="7:12">
      <c r="G143" s="10"/>
      <c r="H143" s="10"/>
      <c r="I143" s="10"/>
      <c r="J143" s="10"/>
      <c r="K143" s="10"/>
      <c r="L143" s="10"/>
    </row>
    <row r="144" spans="7:12">
      <c r="G144" s="10"/>
      <c r="H144" s="10"/>
      <c r="I144" s="10"/>
      <c r="J144" s="10"/>
      <c r="K144" s="10"/>
      <c r="L144" s="10"/>
    </row>
    <row r="145" spans="7:23">
      <c r="G145" s="10"/>
      <c r="H145" s="10"/>
      <c r="I145" s="10"/>
      <c r="J145" s="10"/>
      <c r="K145" s="10"/>
      <c r="L145" s="10"/>
    </row>
    <row r="146" spans="7:23">
      <c r="G146" s="10"/>
      <c r="H146" s="10"/>
      <c r="I146" s="10"/>
      <c r="J146" s="10"/>
      <c r="K146" s="10"/>
      <c r="L146" s="10"/>
    </row>
    <row r="147" spans="7:23">
      <c r="G147" s="10"/>
      <c r="H147" s="10"/>
      <c r="I147" s="10"/>
      <c r="J147" s="10"/>
      <c r="K147" s="10"/>
      <c r="L147" s="10"/>
    </row>
    <row r="148" spans="7:23">
      <c r="G148" s="10"/>
      <c r="H148" s="10"/>
      <c r="I148" s="10"/>
      <c r="J148" s="10"/>
      <c r="K148" s="10"/>
      <c r="L148" s="10"/>
    </row>
    <row r="149" spans="7:23">
      <c r="G149" s="10"/>
      <c r="H149" s="10"/>
      <c r="I149" s="10"/>
      <c r="J149" s="10"/>
      <c r="K149" s="10"/>
      <c r="L149" s="10"/>
      <c r="W149" s="10"/>
    </row>
    <row r="150" spans="7:23">
      <c r="G150" s="10"/>
      <c r="H150" s="10"/>
      <c r="I150" s="10"/>
      <c r="J150" s="10"/>
      <c r="K150" s="10"/>
      <c r="L150" s="10"/>
      <c r="W150" s="10"/>
    </row>
    <row r="151" spans="7:23">
      <c r="G151" s="10"/>
      <c r="H151" s="10"/>
      <c r="I151" s="10"/>
      <c r="J151" s="10"/>
      <c r="K151" s="10"/>
      <c r="L151" s="10"/>
      <c r="W151" s="10"/>
    </row>
    <row r="152" spans="7:23">
      <c r="G152" s="10"/>
      <c r="H152" s="10"/>
      <c r="I152" s="10"/>
      <c r="J152" s="10"/>
      <c r="K152" s="10"/>
      <c r="L152" s="10"/>
      <c r="W152" s="10"/>
    </row>
    <row r="153" spans="7:23">
      <c r="G153" s="10"/>
      <c r="H153" s="10"/>
      <c r="I153" s="10"/>
      <c r="J153" s="10"/>
      <c r="K153" s="10"/>
      <c r="L153" s="10"/>
      <c r="W153" s="10"/>
    </row>
    <row r="154" spans="7:23">
      <c r="G154" s="10"/>
      <c r="H154" s="10"/>
      <c r="I154" s="10"/>
      <c r="J154" s="10"/>
      <c r="K154" s="10"/>
      <c r="L154" s="10"/>
      <c r="W154" s="10"/>
    </row>
    <row r="155" spans="7:23">
      <c r="G155" s="10"/>
      <c r="H155" s="10"/>
      <c r="I155" s="10"/>
      <c r="J155" s="10"/>
      <c r="K155" s="10"/>
      <c r="L155" s="10"/>
      <c r="W155" s="10"/>
    </row>
    <row r="156" spans="7:23">
      <c r="G156" s="10"/>
      <c r="H156" s="10"/>
      <c r="I156" s="10"/>
      <c r="J156" s="10"/>
      <c r="K156" s="10"/>
      <c r="L156" s="10"/>
      <c r="W156" s="10"/>
    </row>
    <row r="157" spans="7:23">
      <c r="G157" s="10"/>
      <c r="H157" s="10"/>
      <c r="I157" s="10"/>
      <c r="J157" s="10"/>
      <c r="K157" s="10"/>
      <c r="L157" s="10"/>
      <c r="W157" s="10"/>
    </row>
    <row r="158" spans="7:23">
      <c r="G158" s="10"/>
      <c r="H158" s="10"/>
      <c r="I158" s="10"/>
      <c r="J158" s="10"/>
      <c r="K158" s="10"/>
      <c r="L158" s="10"/>
      <c r="W158" s="10"/>
    </row>
    <row r="159" spans="7:23">
      <c r="G159" s="10"/>
      <c r="H159" s="10"/>
      <c r="I159" s="10"/>
      <c r="J159" s="10"/>
      <c r="K159" s="10"/>
      <c r="L159" s="10"/>
      <c r="W159" s="10"/>
    </row>
    <row r="160" spans="7:23">
      <c r="G160" s="10"/>
      <c r="H160" s="10"/>
      <c r="I160" s="10"/>
      <c r="J160" s="10"/>
      <c r="K160" s="10"/>
      <c r="L160" s="10"/>
      <c r="W160" s="10"/>
    </row>
    <row r="161" spans="7:23">
      <c r="G161" s="10"/>
      <c r="H161" s="10"/>
      <c r="I161" s="10"/>
      <c r="J161" s="10"/>
      <c r="K161" s="10"/>
      <c r="L161" s="10"/>
      <c r="W161" s="10"/>
    </row>
    <row r="162" spans="7:23">
      <c r="G162" s="10"/>
      <c r="H162" s="10"/>
      <c r="I162" s="10"/>
      <c r="J162" s="10"/>
      <c r="K162" s="10"/>
      <c r="L162" s="10"/>
      <c r="W162" s="10"/>
    </row>
    <row r="163" spans="7:23">
      <c r="G163" s="10"/>
      <c r="H163" s="10"/>
      <c r="I163" s="10"/>
      <c r="J163" s="10"/>
      <c r="K163" s="10"/>
      <c r="L163" s="10"/>
      <c r="W163" s="10"/>
    </row>
    <row r="164" spans="7:23">
      <c r="G164" s="10"/>
      <c r="H164" s="10"/>
      <c r="I164" s="10"/>
      <c r="J164" s="10"/>
      <c r="K164" s="10"/>
      <c r="L164" s="10"/>
      <c r="W164" s="10"/>
    </row>
    <row r="165" spans="7:23">
      <c r="G165" s="10"/>
      <c r="H165" s="10"/>
      <c r="I165" s="10"/>
      <c r="J165" s="10"/>
      <c r="K165" s="10"/>
      <c r="L165" s="10"/>
      <c r="W165" s="10"/>
    </row>
    <row r="166" spans="7:23">
      <c r="G166" s="10"/>
      <c r="H166" s="10"/>
      <c r="I166" s="10"/>
      <c r="J166" s="10"/>
      <c r="K166" s="10"/>
      <c r="L166" s="10"/>
      <c r="W166" s="10"/>
    </row>
    <row r="167" spans="7:23">
      <c r="G167" s="10"/>
      <c r="H167" s="10"/>
      <c r="I167" s="10"/>
      <c r="J167" s="10"/>
      <c r="K167" s="10"/>
      <c r="L167" s="10"/>
      <c r="W167" s="10"/>
    </row>
    <row r="168" spans="7:23">
      <c r="W168" s="10"/>
    </row>
    <row r="169" spans="7:23">
      <c r="W169"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H33"/>
  <sheetViews>
    <sheetView workbookViewId="0">
      <selection activeCell="F88" sqref="F88"/>
    </sheetView>
  </sheetViews>
  <sheetFormatPr defaultRowHeight="13.2"/>
  <cols>
    <col min="4" max="4" width="24.33203125" customWidth="1"/>
    <col min="5" max="34" width="13.6640625" customWidth="1"/>
  </cols>
  <sheetData>
    <row r="2" spans="2:34" s="95" customFormat="1">
      <c r="B2" s="95" t="s">
        <v>0</v>
      </c>
      <c r="C2" s="95" t="s">
        <v>300</v>
      </c>
      <c r="D2" s="95" t="s">
        <v>6</v>
      </c>
      <c r="E2" s="95" t="s">
        <v>301</v>
      </c>
      <c r="F2" s="95" t="s">
        <v>302</v>
      </c>
      <c r="G2" s="95" t="s">
        <v>303</v>
      </c>
      <c r="H2" s="95" t="s">
        <v>304</v>
      </c>
      <c r="I2" s="95" t="s">
        <v>305</v>
      </c>
      <c r="J2" s="95" t="s">
        <v>306</v>
      </c>
      <c r="K2" s="95" t="s">
        <v>307</v>
      </c>
      <c r="L2" s="95" t="s">
        <v>308</v>
      </c>
      <c r="M2" s="95" t="s">
        <v>309</v>
      </c>
      <c r="N2" s="95" t="s">
        <v>310</v>
      </c>
      <c r="O2" s="95" t="s">
        <v>311</v>
      </c>
      <c r="P2" s="95" t="s">
        <v>312</v>
      </c>
      <c r="Q2" s="95" t="s">
        <v>313</v>
      </c>
      <c r="R2" s="95" t="s">
        <v>314</v>
      </c>
      <c r="S2" s="95" t="s">
        <v>315</v>
      </c>
      <c r="T2" s="95" t="s">
        <v>316</v>
      </c>
      <c r="U2" s="95" t="s">
        <v>317</v>
      </c>
      <c r="V2" s="95" t="s">
        <v>318</v>
      </c>
      <c r="W2" s="95" t="s">
        <v>319</v>
      </c>
      <c r="X2" s="95" t="s">
        <v>320</v>
      </c>
      <c r="Y2" s="95" t="s">
        <v>321</v>
      </c>
      <c r="Z2" s="95" t="s">
        <v>322</v>
      </c>
      <c r="AA2" s="95" t="s">
        <v>323</v>
      </c>
      <c r="AB2" s="95" t="s">
        <v>324</v>
      </c>
      <c r="AC2" s="95" t="s">
        <v>325</v>
      </c>
      <c r="AD2" s="95" t="s">
        <v>326</v>
      </c>
      <c r="AE2" s="95" t="s">
        <v>327</v>
      </c>
      <c r="AF2" s="95" t="s">
        <v>328</v>
      </c>
      <c r="AG2" s="95" t="s">
        <v>329</v>
      </c>
      <c r="AH2" s="95" t="s">
        <v>330</v>
      </c>
    </row>
    <row r="3" spans="2:34">
      <c r="B3">
        <v>224</v>
      </c>
      <c r="C3">
        <v>20</v>
      </c>
      <c r="D3" s="47" t="s">
        <v>264</v>
      </c>
      <c r="E3">
        <v>48</v>
      </c>
      <c r="F3">
        <v>3</v>
      </c>
      <c r="G3">
        <v>45</v>
      </c>
      <c r="H3">
        <v>6</v>
      </c>
      <c r="I3">
        <v>8</v>
      </c>
      <c r="J3">
        <v>7</v>
      </c>
      <c r="K3">
        <v>1</v>
      </c>
      <c r="L3">
        <v>3</v>
      </c>
      <c r="M3">
        <v>23</v>
      </c>
      <c r="N3">
        <v>46</v>
      </c>
    </row>
    <row r="4" spans="2:34">
      <c r="B4">
        <v>225</v>
      </c>
      <c r="C4">
        <v>20</v>
      </c>
      <c r="D4" s="47" t="s">
        <v>265</v>
      </c>
      <c r="E4">
        <v>7</v>
      </c>
      <c r="F4">
        <v>9</v>
      </c>
      <c r="G4">
        <v>1</v>
      </c>
      <c r="H4">
        <v>13</v>
      </c>
      <c r="I4">
        <v>44</v>
      </c>
      <c r="J4">
        <v>108</v>
      </c>
      <c r="K4">
        <v>45</v>
      </c>
      <c r="L4">
        <v>46</v>
      </c>
      <c r="M4">
        <v>15</v>
      </c>
      <c r="N4">
        <v>2</v>
      </c>
    </row>
    <row r="5" spans="2:34">
      <c r="B5">
        <v>226</v>
      </c>
      <c r="C5">
        <v>20</v>
      </c>
      <c r="D5" s="47" t="s">
        <v>266</v>
      </c>
      <c r="E5">
        <v>3</v>
      </c>
      <c r="F5">
        <v>1</v>
      </c>
      <c r="G5">
        <v>23</v>
      </c>
      <c r="H5">
        <v>46</v>
      </c>
      <c r="I5">
        <v>76</v>
      </c>
      <c r="J5">
        <v>2</v>
      </c>
      <c r="K5">
        <v>6</v>
      </c>
      <c r="L5">
        <v>3</v>
      </c>
      <c r="M5">
        <v>3</v>
      </c>
      <c r="N5">
        <v>2</v>
      </c>
    </row>
    <row r="6" spans="2:34">
      <c r="B6">
        <v>227</v>
      </c>
      <c r="C6">
        <v>20</v>
      </c>
      <c r="D6" s="47" t="s">
        <v>267</v>
      </c>
      <c r="E6">
        <v>12</v>
      </c>
      <c r="F6">
        <v>4</v>
      </c>
      <c r="G6">
        <v>32</v>
      </c>
      <c r="H6">
        <v>31</v>
      </c>
      <c r="I6">
        <v>14</v>
      </c>
      <c r="J6">
        <v>111</v>
      </c>
      <c r="K6">
        <v>4</v>
      </c>
      <c r="L6">
        <v>6</v>
      </c>
      <c r="M6">
        <v>46</v>
      </c>
      <c r="N6">
        <v>1</v>
      </c>
      <c r="O6">
        <v>9</v>
      </c>
    </row>
    <row r="7" spans="2:34">
      <c r="B7">
        <v>228</v>
      </c>
      <c r="C7">
        <v>20</v>
      </c>
      <c r="D7" s="47" t="s">
        <v>268</v>
      </c>
      <c r="E7">
        <v>13</v>
      </c>
      <c r="F7">
        <v>3</v>
      </c>
      <c r="G7">
        <v>3</v>
      </c>
      <c r="H7">
        <v>5</v>
      </c>
      <c r="I7">
        <v>6</v>
      </c>
      <c r="J7">
        <v>5</v>
      </c>
      <c r="K7">
        <v>8</v>
      </c>
      <c r="L7">
        <v>1</v>
      </c>
      <c r="M7">
        <v>5</v>
      </c>
      <c r="N7">
        <v>14</v>
      </c>
      <c r="O7">
        <v>11</v>
      </c>
    </row>
    <row r="8" spans="2:34">
      <c r="B8">
        <v>229</v>
      </c>
      <c r="C8">
        <v>20</v>
      </c>
      <c r="D8" s="47" t="s">
        <v>269</v>
      </c>
      <c r="E8">
        <v>1</v>
      </c>
      <c r="F8">
        <v>1</v>
      </c>
      <c r="G8">
        <v>46</v>
      </c>
      <c r="H8">
        <v>82</v>
      </c>
      <c r="I8">
        <v>51</v>
      </c>
      <c r="J8">
        <v>2</v>
      </c>
      <c r="K8">
        <v>108</v>
      </c>
      <c r="L8">
        <v>5</v>
      </c>
      <c r="M8">
        <v>31</v>
      </c>
      <c r="N8">
        <v>13</v>
      </c>
      <c r="O8">
        <v>7</v>
      </c>
    </row>
    <row r="9" spans="2:34">
      <c r="B9">
        <v>230</v>
      </c>
      <c r="C9">
        <v>20</v>
      </c>
      <c r="D9" s="47" t="s">
        <v>270</v>
      </c>
      <c r="E9">
        <v>85</v>
      </c>
      <c r="F9">
        <v>48</v>
      </c>
      <c r="G9">
        <v>45</v>
      </c>
      <c r="H9">
        <v>44</v>
      </c>
      <c r="I9">
        <v>77</v>
      </c>
      <c r="J9">
        <v>53</v>
      </c>
      <c r="K9">
        <v>122</v>
      </c>
      <c r="L9">
        <v>3</v>
      </c>
      <c r="M9">
        <v>50</v>
      </c>
      <c r="N9">
        <v>46</v>
      </c>
      <c r="O9">
        <v>47</v>
      </c>
    </row>
    <row r="10" spans="2:34">
      <c r="B10">
        <v>231</v>
      </c>
      <c r="C10">
        <v>20</v>
      </c>
      <c r="D10" s="47" t="s">
        <v>271</v>
      </c>
      <c r="E10">
        <v>1</v>
      </c>
      <c r="F10">
        <v>74</v>
      </c>
      <c r="G10">
        <v>76</v>
      </c>
      <c r="H10">
        <v>13</v>
      </c>
      <c r="I10">
        <v>9</v>
      </c>
      <c r="J10">
        <v>77</v>
      </c>
      <c r="K10">
        <v>2</v>
      </c>
      <c r="L10">
        <v>46</v>
      </c>
      <c r="M10">
        <v>91</v>
      </c>
      <c r="N10">
        <v>81</v>
      </c>
      <c r="O10">
        <v>14</v>
      </c>
      <c r="P10">
        <v>12</v>
      </c>
    </row>
    <row r="11" spans="2:34">
      <c r="B11">
        <v>232</v>
      </c>
      <c r="C11">
        <v>20</v>
      </c>
      <c r="D11" s="47" t="s">
        <v>272</v>
      </c>
      <c r="E11">
        <v>53</v>
      </c>
      <c r="F11">
        <v>48</v>
      </c>
      <c r="G11">
        <v>48</v>
      </c>
      <c r="H11">
        <v>46</v>
      </c>
      <c r="I11">
        <v>76</v>
      </c>
      <c r="J11">
        <v>7</v>
      </c>
      <c r="K11">
        <v>77</v>
      </c>
      <c r="L11">
        <v>85</v>
      </c>
      <c r="M11">
        <v>3</v>
      </c>
      <c r="N11">
        <v>76</v>
      </c>
      <c r="O11">
        <v>5</v>
      </c>
      <c r="P11">
        <v>1</v>
      </c>
    </row>
    <row r="12" spans="2:34">
      <c r="B12">
        <v>233</v>
      </c>
      <c r="C12">
        <v>20</v>
      </c>
      <c r="D12" s="47" t="s">
        <v>273</v>
      </c>
      <c r="E12">
        <v>44</v>
      </c>
      <c r="F12">
        <v>108</v>
      </c>
      <c r="G12">
        <v>5</v>
      </c>
      <c r="H12">
        <v>6</v>
      </c>
      <c r="I12">
        <v>14</v>
      </c>
      <c r="J12">
        <v>12</v>
      </c>
      <c r="K12">
        <v>8</v>
      </c>
      <c r="L12">
        <v>53</v>
      </c>
      <c r="M12">
        <v>46</v>
      </c>
      <c r="N12">
        <v>61</v>
      </c>
      <c r="O12">
        <v>77</v>
      </c>
      <c r="P12">
        <v>49</v>
      </c>
    </row>
    <row r="13" spans="2:34">
      <c r="B13">
        <v>234</v>
      </c>
      <c r="C13">
        <v>20</v>
      </c>
      <c r="D13" s="47" t="s">
        <v>274</v>
      </c>
      <c r="E13">
        <v>3</v>
      </c>
      <c r="F13">
        <v>2</v>
      </c>
      <c r="G13">
        <v>3</v>
      </c>
      <c r="H13">
        <v>2</v>
      </c>
      <c r="I13">
        <v>3</v>
      </c>
      <c r="J13">
        <v>5</v>
      </c>
      <c r="K13">
        <v>9</v>
      </c>
      <c r="L13">
        <v>45</v>
      </c>
      <c r="M13">
        <v>77</v>
      </c>
      <c r="N13">
        <v>1</v>
      </c>
      <c r="O13">
        <v>2</v>
      </c>
      <c r="P13">
        <v>13</v>
      </c>
      <c r="Q13">
        <v>0</v>
      </c>
    </row>
    <row r="14" spans="2:34">
      <c r="B14">
        <v>235</v>
      </c>
      <c r="C14">
        <v>20</v>
      </c>
      <c r="D14" s="47" t="s">
        <v>275</v>
      </c>
      <c r="E14">
        <v>77</v>
      </c>
      <c r="F14">
        <v>2</v>
      </c>
      <c r="G14">
        <v>46</v>
      </c>
      <c r="H14">
        <v>23</v>
      </c>
      <c r="I14">
        <v>9</v>
      </c>
      <c r="J14">
        <v>45</v>
      </c>
      <c r="K14">
        <v>4</v>
      </c>
      <c r="L14">
        <v>46</v>
      </c>
      <c r="M14">
        <v>47</v>
      </c>
      <c r="N14">
        <v>1</v>
      </c>
      <c r="O14">
        <v>23</v>
      </c>
      <c r="P14">
        <v>46</v>
      </c>
      <c r="Q14">
        <v>76</v>
      </c>
    </row>
    <row r="15" spans="2:34">
      <c r="B15">
        <v>236</v>
      </c>
      <c r="C15">
        <v>20</v>
      </c>
      <c r="D15" s="47" t="s">
        <v>276</v>
      </c>
      <c r="E15">
        <v>7</v>
      </c>
      <c r="F15">
        <v>1</v>
      </c>
      <c r="G15">
        <v>21</v>
      </c>
      <c r="H15">
        <v>22</v>
      </c>
      <c r="I15">
        <v>48</v>
      </c>
      <c r="J15">
        <v>12</v>
      </c>
      <c r="K15">
        <v>14</v>
      </c>
      <c r="L15">
        <v>3</v>
      </c>
      <c r="M15">
        <v>108</v>
      </c>
      <c r="N15">
        <v>44</v>
      </c>
      <c r="O15">
        <v>15</v>
      </c>
      <c r="P15">
        <v>47</v>
      </c>
      <c r="Q15">
        <v>14</v>
      </c>
    </row>
    <row r="16" spans="2:34">
      <c r="B16">
        <v>237</v>
      </c>
      <c r="C16">
        <v>20</v>
      </c>
      <c r="D16" s="47" t="s">
        <v>277</v>
      </c>
      <c r="E16">
        <v>12</v>
      </c>
      <c r="F16">
        <v>1</v>
      </c>
      <c r="G16">
        <v>3</v>
      </c>
      <c r="H16">
        <v>1</v>
      </c>
      <c r="I16">
        <v>21</v>
      </c>
      <c r="J16">
        <v>76</v>
      </c>
      <c r="K16">
        <v>1</v>
      </c>
      <c r="L16">
        <v>5</v>
      </c>
      <c r="M16">
        <v>2</v>
      </c>
      <c r="N16">
        <v>64</v>
      </c>
      <c r="O16">
        <v>3</v>
      </c>
      <c r="P16">
        <v>45</v>
      </c>
      <c r="Q16">
        <v>82</v>
      </c>
    </row>
    <row r="17" spans="2:20">
      <c r="B17">
        <v>238</v>
      </c>
      <c r="C17">
        <v>20</v>
      </c>
      <c r="D17" s="47" t="s">
        <v>278</v>
      </c>
      <c r="E17">
        <v>3</v>
      </c>
      <c r="F17">
        <v>45</v>
      </c>
      <c r="G17">
        <v>6</v>
      </c>
      <c r="H17">
        <v>1</v>
      </c>
      <c r="I17">
        <v>3</v>
      </c>
      <c r="J17">
        <v>77</v>
      </c>
      <c r="K17">
        <v>9</v>
      </c>
      <c r="L17">
        <v>6</v>
      </c>
      <c r="M17">
        <v>1</v>
      </c>
      <c r="N17">
        <v>12</v>
      </c>
      <c r="O17">
        <v>46</v>
      </c>
      <c r="P17">
        <v>46</v>
      </c>
      <c r="Q17">
        <v>44</v>
      </c>
    </row>
    <row r="18" spans="2:20">
      <c r="B18">
        <v>239</v>
      </c>
      <c r="C18">
        <v>20</v>
      </c>
      <c r="D18" s="47" t="s">
        <v>279</v>
      </c>
      <c r="E18">
        <v>1</v>
      </c>
      <c r="F18">
        <v>3</v>
      </c>
      <c r="G18">
        <v>13</v>
      </c>
      <c r="H18">
        <v>2</v>
      </c>
      <c r="I18">
        <v>4</v>
      </c>
      <c r="J18">
        <v>12</v>
      </c>
      <c r="K18">
        <v>1</v>
      </c>
      <c r="L18">
        <v>11</v>
      </c>
      <c r="M18">
        <v>59</v>
      </c>
      <c r="N18">
        <v>13</v>
      </c>
      <c r="O18">
        <v>45</v>
      </c>
      <c r="P18">
        <v>47</v>
      </c>
      <c r="Q18">
        <v>77</v>
      </c>
      <c r="R18">
        <v>53</v>
      </c>
    </row>
    <row r="19" spans="2:20">
      <c r="B19">
        <v>240</v>
      </c>
      <c r="C19">
        <v>20</v>
      </c>
      <c r="D19" s="47" t="s">
        <v>280</v>
      </c>
      <c r="E19">
        <v>2</v>
      </c>
      <c r="F19">
        <v>23</v>
      </c>
      <c r="G19">
        <v>46</v>
      </c>
      <c r="H19">
        <v>3</v>
      </c>
      <c r="I19">
        <v>64</v>
      </c>
      <c r="J19">
        <v>108</v>
      </c>
      <c r="K19">
        <v>4</v>
      </c>
      <c r="L19">
        <v>44</v>
      </c>
      <c r="M19">
        <v>48</v>
      </c>
      <c r="N19">
        <v>14</v>
      </c>
      <c r="O19">
        <v>59</v>
      </c>
      <c r="P19">
        <v>13</v>
      </c>
      <c r="Q19">
        <v>9</v>
      </c>
      <c r="R19">
        <v>50</v>
      </c>
    </row>
    <row r="20" spans="2:20">
      <c r="B20">
        <v>241</v>
      </c>
      <c r="C20">
        <v>20</v>
      </c>
      <c r="D20" s="47" t="s">
        <v>281</v>
      </c>
      <c r="E20">
        <v>1</v>
      </c>
      <c r="F20">
        <v>5</v>
      </c>
      <c r="G20">
        <v>6</v>
      </c>
      <c r="H20">
        <v>4</v>
      </c>
      <c r="I20">
        <v>5</v>
      </c>
      <c r="J20">
        <v>1</v>
      </c>
      <c r="K20">
        <v>13</v>
      </c>
      <c r="L20">
        <v>3</v>
      </c>
      <c r="M20">
        <v>5</v>
      </c>
      <c r="N20">
        <v>1</v>
      </c>
      <c r="O20">
        <v>23</v>
      </c>
      <c r="P20">
        <v>46</v>
      </c>
      <c r="Q20">
        <v>76</v>
      </c>
      <c r="R20">
        <v>74</v>
      </c>
    </row>
    <row r="21" spans="2:20">
      <c r="B21">
        <v>242</v>
      </c>
      <c r="C21">
        <v>20</v>
      </c>
      <c r="D21" s="47" t="s">
        <v>282</v>
      </c>
      <c r="E21">
        <v>49</v>
      </c>
      <c r="F21">
        <v>3</v>
      </c>
      <c r="G21">
        <v>7</v>
      </c>
      <c r="H21">
        <v>76</v>
      </c>
      <c r="I21">
        <v>1</v>
      </c>
      <c r="J21">
        <v>108</v>
      </c>
      <c r="K21">
        <v>7</v>
      </c>
      <c r="L21">
        <v>46</v>
      </c>
      <c r="M21">
        <v>48</v>
      </c>
      <c r="N21">
        <v>50</v>
      </c>
      <c r="O21">
        <v>91</v>
      </c>
      <c r="P21">
        <v>44</v>
      </c>
      <c r="Q21">
        <v>74</v>
      </c>
      <c r="R21">
        <v>85</v>
      </c>
    </row>
    <row r="22" spans="2:20">
      <c r="B22">
        <v>243</v>
      </c>
      <c r="C22">
        <v>20</v>
      </c>
      <c r="D22" s="47" t="s">
        <v>283</v>
      </c>
      <c r="E22">
        <v>2</v>
      </c>
      <c r="F22">
        <v>46</v>
      </c>
      <c r="G22">
        <v>52</v>
      </c>
      <c r="H22">
        <v>5</v>
      </c>
      <c r="I22">
        <v>11</v>
      </c>
      <c r="J22">
        <v>14</v>
      </c>
      <c r="K22">
        <v>9</v>
      </c>
      <c r="L22">
        <v>45</v>
      </c>
      <c r="M22">
        <v>49</v>
      </c>
      <c r="N22">
        <v>77</v>
      </c>
      <c r="O22">
        <v>2</v>
      </c>
      <c r="P22">
        <v>45</v>
      </c>
      <c r="Q22">
        <v>61</v>
      </c>
      <c r="R22">
        <v>23</v>
      </c>
    </row>
    <row r="23" spans="2:20">
      <c r="B23">
        <v>244</v>
      </c>
      <c r="C23">
        <v>20</v>
      </c>
      <c r="D23" s="47" t="s">
        <v>284</v>
      </c>
      <c r="E23">
        <v>6</v>
      </c>
      <c r="F23">
        <v>50</v>
      </c>
      <c r="G23">
        <v>51</v>
      </c>
      <c r="H23">
        <v>59</v>
      </c>
      <c r="I23">
        <v>82</v>
      </c>
      <c r="J23">
        <v>111</v>
      </c>
      <c r="K23">
        <v>4</v>
      </c>
      <c r="L23">
        <v>50</v>
      </c>
      <c r="M23">
        <v>13</v>
      </c>
      <c r="N23">
        <v>9</v>
      </c>
      <c r="O23">
        <v>108</v>
      </c>
      <c r="P23">
        <v>122</v>
      </c>
      <c r="Q23">
        <v>2</v>
      </c>
      <c r="R23">
        <v>53</v>
      </c>
      <c r="S23">
        <v>91</v>
      </c>
    </row>
    <row r="24" spans="2:20">
      <c r="B24">
        <v>245</v>
      </c>
      <c r="C24">
        <v>20</v>
      </c>
      <c r="D24" s="47" t="s">
        <v>285</v>
      </c>
      <c r="E24">
        <v>5</v>
      </c>
      <c r="F24">
        <v>77</v>
      </c>
      <c r="G24">
        <v>9</v>
      </c>
      <c r="H24">
        <v>1</v>
      </c>
      <c r="I24">
        <v>81</v>
      </c>
      <c r="J24">
        <v>48</v>
      </c>
      <c r="K24">
        <v>46</v>
      </c>
      <c r="L24">
        <v>47</v>
      </c>
      <c r="M24">
        <v>46</v>
      </c>
      <c r="N24">
        <v>76</v>
      </c>
      <c r="O24">
        <v>15</v>
      </c>
      <c r="P24">
        <v>3</v>
      </c>
      <c r="Q24">
        <v>46</v>
      </c>
      <c r="R24">
        <v>90</v>
      </c>
      <c r="S24">
        <v>76</v>
      </c>
    </row>
    <row r="25" spans="2:20">
      <c r="B25">
        <v>246</v>
      </c>
      <c r="C25">
        <v>20</v>
      </c>
      <c r="D25" s="47" t="s">
        <v>286</v>
      </c>
      <c r="E25">
        <v>12</v>
      </c>
      <c r="F25">
        <v>13</v>
      </c>
      <c r="G25">
        <v>13</v>
      </c>
      <c r="H25">
        <v>14</v>
      </c>
      <c r="I25">
        <v>3</v>
      </c>
      <c r="J25">
        <v>49</v>
      </c>
      <c r="K25">
        <v>3</v>
      </c>
      <c r="L25">
        <v>11</v>
      </c>
      <c r="M25">
        <v>1</v>
      </c>
      <c r="N25">
        <v>84</v>
      </c>
      <c r="O25">
        <v>59</v>
      </c>
      <c r="P25">
        <v>77</v>
      </c>
      <c r="Q25">
        <v>23</v>
      </c>
      <c r="R25">
        <v>15</v>
      </c>
      <c r="S25">
        <v>3</v>
      </c>
    </row>
    <row r="26" spans="2:20">
      <c r="B26">
        <v>247</v>
      </c>
      <c r="C26">
        <v>20</v>
      </c>
      <c r="D26" s="47" t="s">
        <v>287</v>
      </c>
      <c r="E26">
        <v>111</v>
      </c>
      <c r="F26">
        <v>1</v>
      </c>
      <c r="G26">
        <v>76</v>
      </c>
      <c r="H26">
        <v>111</v>
      </c>
      <c r="I26">
        <v>108</v>
      </c>
      <c r="J26">
        <v>7</v>
      </c>
      <c r="K26">
        <v>108</v>
      </c>
      <c r="L26">
        <v>77</v>
      </c>
      <c r="M26">
        <v>111</v>
      </c>
      <c r="N26">
        <v>8</v>
      </c>
      <c r="O26">
        <v>2</v>
      </c>
      <c r="P26">
        <v>49</v>
      </c>
      <c r="Q26">
        <v>2</v>
      </c>
      <c r="R26">
        <v>31</v>
      </c>
      <c r="S26">
        <v>32</v>
      </c>
      <c r="T26">
        <v>11</v>
      </c>
    </row>
    <row r="27" spans="2:20">
      <c r="B27">
        <v>248</v>
      </c>
      <c r="C27">
        <v>20</v>
      </c>
      <c r="D27" s="47" t="s">
        <v>288</v>
      </c>
      <c r="E27">
        <v>13</v>
      </c>
      <c r="F27">
        <v>9</v>
      </c>
      <c r="G27">
        <v>7</v>
      </c>
      <c r="H27">
        <v>5</v>
      </c>
      <c r="I27">
        <v>2</v>
      </c>
      <c r="J27">
        <v>2</v>
      </c>
      <c r="K27">
        <v>21</v>
      </c>
      <c r="L27">
        <v>32</v>
      </c>
      <c r="M27">
        <v>11</v>
      </c>
      <c r="N27">
        <v>55</v>
      </c>
      <c r="O27">
        <v>84</v>
      </c>
      <c r="P27">
        <v>50</v>
      </c>
      <c r="Q27">
        <v>108</v>
      </c>
      <c r="R27">
        <v>127</v>
      </c>
      <c r="S27">
        <v>108</v>
      </c>
      <c r="T27">
        <v>76</v>
      </c>
    </row>
    <row r="28" spans="2:20">
      <c r="B28">
        <v>249</v>
      </c>
      <c r="C28">
        <v>20</v>
      </c>
      <c r="D28" s="47" t="s">
        <v>289</v>
      </c>
      <c r="E28">
        <v>21</v>
      </c>
      <c r="F28">
        <v>46</v>
      </c>
      <c r="G28">
        <v>4</v>
      </c>
      <c r="H28">
        <v>22</v>
      </c>
      <c r="I28">
        <v>1</v>
      </c>
      <c r="J28">
        <v>108</v>
      </c>
      <c r="K28">
        <v>22</v>
      </c>
      <c r="L28">
        <v>3</v>
      </c>
      <c r="M28">
        <v>1</v>
      </c>
      <c r="N28">
        <v>3</v>
      </c>
      <c r="O28">
        <v>72</v>
      </c>
      <c r="P28">
        <v>45</v>
      </c>
      <c r="Q28">
        <v>44</v>
      </c>
      <c r="R28" s="46">
        <v>350</v>
      </c>
    </row>
    <row r="29" spans="2:20">
      <c r="B29">
        <v>250</v>
      </c>
      <c r="C29">
        <v>20</v>
      </c>
      <c r="D29" s="47" t="s">
        <v>290</v>
      </c>
      <c r="E29">
        <v>1</v>
      </c>
      <c r="F29">
        <v>14</v>
      </c>
      <c r="G29">
        <v>61</v>
      </c>
      <c r="H29">
        <v>77</v>
      </c>
      <c r="I29">
        <v>1</v>
      </c>
      <c r="J29">
        <v>44</v>
      </c>
      <c r="K29">
        <v>23</v>
      </c>
      <c r="L29">
        <v>4</v>
      </c>
      <c r="M29">
        <v>85</v>
      </c>
      <c r="N29">
        <v>11</v>
      </c>
      <c r="O29">
        <v>46</v>
      </c>
      <c r="P29">
        <v>77</v>
      </c>
      <c r="Q29">
        <v>76</v>
      </c>
      <c r="R29" s="46">
        <v>351</v>
      </c>
    </row>
    <row r="30" spans="2:20">
      <c r="B30">
        <v>251</v>
      </c>
      <c r="C30">
        <v>20</v>
      </c>
      <c r="D30" s="47" t="s">
        <v>291</v>
      </c>
      <c r="E30">
        <v>12</v>
      </c>
      <c r="F30">
        <v>45</v>
      </c>
      <c r="G30">
        <v>3</v>
      </c>
      <c r="H30">
        <v>14</v>
      </c>
      <c r="I30">
        <v>46</v>
      </c>
      <c r="J30">
        <v>108</v>
      </c>
      <c r="K30">
        <v>49</v>
      </c>
      <c r="L30">
        <v>5</v>
      </c>
      <c r="M30">
        <v>3</v>
      </c>
      <c r="N30">
        <v>5</v>
      </c>
      <c r="O30">
        <v>59</v>
      </c>
      <c r="P30">
        <v>45</v>
      </c>
      <c r="Q30">
        <v>77</v>
      </c>
      <c r="R30" s="46">
        <v>352</v>
      </c>
    </row>
    <row r="31" spans="2:20">
      <c r="B31">
        <v>252</v>
      </c>
      <c r="C31">
        <v>20</v>
      </c>
      <c r="D31" s="47" t="s">
        <v>292</v>
      </c>
      <c r="E31">
        <v>47</v>
      </c>
      <c r="F31">
        <v>59</v>
      </c>
      <c r="G31">
        <v>6</v>
      </c>
      <c r="H31">
        <v>108</v>
      </c>
      <c r="I31">
        <v>1</v>
      </c>
      <c r="J31">
        <v>44</v>
      </c>
      <c r="K31">
        <v>1</v>
      </c>
      <c r="L31">
        <v>6</v>
      </c>
      <c r="M31">
        <v>31</v>
      </c>
      <c r="N31">
        <v>49</v>
      </c>
      <c r="O31">
        <v>76</v>
      </c>
      <c r="P31">
        <v>32</v>
      </c>
      <c r="Q31">
        <v>47</v>
      </c>
      <c r="R31" s="46">
        <v>350</v>
      </c>
    </row>
    <row r="32" spans="2:20">
      <c r="B32">
        <v>253</v>
      </c>
      <c r="C32">
        <v>20</v>
      </c>
      <c r="D32" s="47" t="s">
        <v>293</v>
      </c>
      <c r="E32">
        <v>77</v>
      </c>
      <c r="F32">
        <v>53</v>
      </c>
      <c r="G32">
        <v>76</v>
      </c>
      <c r="H32">
        <v>127</v>
      </c>
      <c r="I32">
        <v>21</v>
      </c>
      <c r="J32">
        <v>3</v>
      </c>
      <c r="K32">
        <v>5</v>
      </c>
      <c r="L32">
        <v>8</v>
      </c>
      <c r="M32">
        <v>32</v>
      </c>
      <c r="N32">
        <v>108</v>
      </c>
      <c r="O32">
        <v>127</v>
      </c>
      <c r="P32">
        <v>108</v>
      </c>
      <c r="Q32">
        <v>53</v>
      </c>
      <c r="R32" s="46">
        <v>351</v>
      </c>
    </row>
    <row r="33" spans="2:18" s="7" customFormat="1" ht="13.8" customHeight="1" thickBot="1">
      <c r="B33" s="7">
        <v>254</v>
      </c>
      <c r="C33" s="7">
        <v>20</v>
      </c>
      <c r="D33" s="117" t="s">
        <v>294</v>
      </c>
      <c r="E33" s="7">
        <v>53</v>
      </c>
      <c r="F33" s="7">
        <v>11</v>
      </c>
      <c r="G33" s="7">
        <v>13</v>
      </c>
      <c r="H33" s="7">
        <v>46</v>
      </c>
      <c r="I33" s="7">
        <v>47</v>
      </c>
      <c r="J33" s="7">
        <v>21</v>
      </c>
      <c r="K33" s="7">
        <v>2</v>
      </c>
      <c r="L33" s="7">
        <v>8</v>
      </c>
      <c r="M33" s="7">
        <v>76</v>
      </c>
      <c r="N33" s="7">
        <v>11</v>
      </c>
      <c r="O33" s="7">
        <v>5</v>
      </c>
      <c r="P33" s="7">
        <v>2</v>
      </c>
      <c r="Q33" s="7">
        <v>3</v>
      </c>
      <c r="R33" s="118">
        <v>352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21"/>
  <sheetViews>
    <sheetView workbookViewId="0">
      <selection activeCell="M11" sqref="M11"/>
    </sheetView>
  </sheetViews>
  <sheetFormatPr defaultRowHeight="13.2"/>
  <cols>
    <col min="2" max="2" width="17.33203125" customWidth="1"/>
  </cols>
  <sheetData>
    <row r="2" spans="2:13">
      <c r="C2" t="s">
        <v>331</v>
      </c>
    </row>
    <row r="3" spans="2:13" ht="13.8" customHeight="1" thickBot="1">
      <c r="B3" s="7" t="s">
        <v>332</v>
      </c>
      <c r="C3" s="7" t="s">
        <v>333</v>
      </c>
      <c r="D3" s="7">
        <v>3</v>
      </c>
      <c r="E3" s="7">
        <v>4</v>
      </c>
      <c r="F3" s="7">
        <v>5</v>
      </c>
      <c r="G3" s="7">
        <v>6</v>
      </c>
      <c r="H3" s="7">
        <v>7</v>
      </c>
      <c r="I3" s="7">
        <v>8</v>
      </c>
      <c r="J3" s="7">
        <v>9</v>
      </c>
      <c r="K3" s="7">
        <v>10</v>
      </c>
      <c r="L3" s="7">
        <v>11</v>
      </c>
      <c r="M3" s="7">
        <v>12</v>
      </c>
    </row>
    <row r="4" spans="2:13">
      <c r="B4" s="10" t="s">
        <v>65</v>
      </c>
      <c r="C4" s="46">
        <v>0</v>
      </c>
      <c r="D4">
        <v>0.1</v>
      </c>
      <c r="E4">
        <v>0.2</v>
      </c>
      <c r="F4">
        <v>0.5</v>
      </c>
      <c r="G4">
        <v>1</v>
      </c>
      <c r="H4">
        <v>1.5</v>
      </c>
      <c r="I4">
        <v>2</v>
      </c>
      <c r="J4">
        <v>2.5</v>
      </c>
      <c r="K4">
        <v>3</v>
      </c>
      <c r="L4">
        <v>5</v>
      </c>
      <c r="M4">
        <v>10</v>
      </c>
    </row>
    <row r="5" spans="2:13">
      <c r="B5" s="10" t="s">
        <v>131</v>
      </c>
      <c r="C5" s="46">
        <v>1</v>
      </c>
      <c r="D5">
        <v>0.1</v>
      </c>
      <c r="E5">
        <v>0.2</v>
      </c>
      <c r="F5">
        <v>0.5</v>
      </c>
      <c r="G5">
        <v>1</v>
      </c>
      <c r="H5">
        <v>1.5</v>
      </c>
      <c r="I5">
        <v>2</v>
      </c>
      <c r="J5">
        <v>2.5</v>
      </c>
      <c r="K5">
        <v>3</v>
      </c>
      <c r="L5">
        <v>5</v>
      </c>
      <c r="M5">
        <v>15</v>
      </c>
    </row>
    <row r="6" spans="2:13">
      <c r="B6" s="10" t="s">
        <v>132</v>
      </c>
      <c r="C6" s="46">
        <v>2</v>
      </c>
      <c r="D6">
        <v>0.1</v>
      </c>
      <c r="E6">
        <v>0.2</v>
      </c>
      <c r="F6">
        <v>0.5</v>
      </c>
      <c r="G6">
        <v>1</v>
      </c>
      <c r="H6">
        <v>1.5</v>
      </c>
      <c r="I6">
        <v>2</v>
      </c>
      <c r="J6">
        <v>2.5</v>
      </c>
      <c r="K6">
        <v>3</v>
      </c>
      <c r="L6">
        <v>5</v>
      </c>
      <c r="M6">
        <v>20</v>
      </c>
    </row>
    <row r="7" spans="2:13" ht="13.8" customHeight="1" thickBot="1">
      <c r="B7" s="116" t="s">
        <v>133</v>
      </c>
      <c r="C7" s="118">
        <v>3</v>
      </c>
      <c r="D7" s="7">
        <v>0.1</v>
      </c>
      <c r="E7" s="7">
        <v>0.2</v>
      </c>
      <c r="F7" s="7">
        <v>0.5</v>
      </c>
      <c r="G7" s="7">
        <v>1</v>
      </c>
      <c r="H7" s="7">
        <v>1.5</v>
      </c>
      <c r="I7" s="7">
        <v>2</v>
      </c>
      <c r="J7" s="7">
        <v>2.5</v>
      </c>
      <c r="K7" s="7">
        <v>3</v>
      </c>
      <c r="L7" s="7">
        <v>5</v>
      </c>
      <c r="M7" s="7">
        <v>30</v>
      </c>
    </row>
    <row r="8" spans="2:13">
      <c r="B8" s="10" t="s">
        <v>134</v>
      </c>
      <c r="C8" s="47">
        <v>4</v>
      </c>
      <c r="D8">
        <v>1</v>
      </c>
      <c r="E8">
        <v>1.5</v>
      </c>
      <c r="F8">
        <v>2</v>
      </c>
      <c r="G8">
        <v>5</v>
      </c>
      <c r="H8">
        <v>10</v>
      </c>
      <c r="I8">
        <v>15</v>
      </c>
      <c r="J8">
        <v>20</v>
      </c>
      <c r="K8">
        <v>50</v>
      </c>
      <c r="L8">
        <v>100</v>
      </c>
      <c r="M8">
        <v>200</v>
      </c>
    </row>
    <row r="9" spans="2:13">
      <c r="B9" s="10" t="s">
        <v>135</v>
      </c>
      <c r="C9" s="47">
        <v>5</v>
      </c>
      <c r="D9">
        <v>1.5</v>
      </c>
      <c r="E9">
        <v>2</v>
      </c>
      <c r="F9">
        <v>5</v>
      </c>
      <c r="G9">
        <v>10</v>
      </c>
      <c r="H9">
        <v>15</v>
      </c>
      <c r="I9">
        <v>20</v>
      </c>
      <c r="J9">
        <v>50</v>
      </c>
      <c r="K9">
        <v>100</v>
      </c>
      <c r="L9">
        <v>200</v>
      </c>
      <c r="M9">
        <v>500</v>
      </c>
    </row>
    <row r="10" spans="2:13" ht="13.8" customHeight="1" thickBot="1">
      <c r="B10" s="116" t="s">
        <v>136</v>
      </c>
      <c r="C10" s="117">
        <v>6</v>
      </c>
      <c r="D10" s="7">
        <v>2</v>
      </c>
      <c r="E10" s="7">
        <v>5</v>
      </c>
      <c r="F10" s="7">
        <v>10</v>
      </c>
      <c r="G10" s="7">
        <v>15</v>
      </c>
      <c r="H10" s="7">
        <v>20</v>
      </c>
      <c r="I10" s="7">
        <v>50</v>
      </c>
      <c r="J10" s="7">
        <v>100</v>
      </c>
      <c r="K10" s="7">
        <v>200</v>
      </c>
      <c r="L10" s="7">
        <v>500</v>
      </c>
      <c r="M10" s="124">
        <v>1000</v>
      </c>
    </row>
    <row r="11" spans="2:13" ht="13.8" customHeight="1" thickBot="1">
      <c r="B11" s="9" t="s">
        <v>137</v>
      </c>
      <c r="C11" s="9" t="s">
        <v>130</v>
      </c>
      <c r="D11" s="9">
        <v>0.1</v>
      </c>
      <c r="E11" s="9">
        <v>0.2</v>
      </c>
      <c r="F11" s="9">
        <v>0.5</v>
      </c>
      <c r="G11" s="9">
        <v>1</v>
      </c>
      <c r="H11" s="9">
        <v>1.5</v>
      </c>
      <c r="I11" s="9">
        <v>2</v>
      </c>
      <c r="J11" s="9">
        <v>2.5</v>
      </c>
      <c r="K11" s="9">
        <v>3</v>
      </c>
      <c r="L11" s="9">
        <v>5</v>
      </c>
      <c r="M11" s="9" t="s">
        <v>138</v>
      </c>
    </row>
    <row r="14" spans="2:13">
      <c r="B14" s="95" t="s">
        <v>60</v>
      </c>
      <c r="C14" s="95" t="s">
        <v>61</v>
      </c>
    </row>
    <row r="15" spans="2:13">
      <c r="B15" s="46" t="s">
        <v>251</v>
      </c>
      <c r="C15">
        <v>10</v>
      </c>
    </row>
    <row r="16" spans="2:13">
      <c r="B16" s="46" t="s">
        <v>252</v>
      </c>
      <c r="C16">
        <v>15</v>
      </c>
    </row>
    <row r="17" spans="2:3">
      <c r="B17" s="46" t="s">
        <v>253</v>
      </c>
      <c r="C17">
        <v>20</v>
      </c>
    </row>
    <row r="18" spans="2:3">
      <c r="B18" s="46" t="s">
        <v>254</v>
      </c>
      <c r="C18">
        <v>25</v>
      </c>
    </row>
    <row r="19" spans="2:3">
      <c r="B19" s="46" t="s">
        <v>255</v>
      </c>
      <c r="C19">
        <v>30</v>
      </c>
    </row>
    <row r="20" spans="2:3">
      <c r="B20" s="46" t="s">
        <v>256</v>
      </c>
      <c r="C20">
        <v>50</v>
      </c>
    </row>
    <row r="21" spans="2:3">
      <c r="B21" s="46" t="s">
        <v>257</v>
      </c>
      <c r="C21">
        <v>100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S385"/>
  <sheetViews>
    <sheetView zoomScaleNormal="100" workbookViewId="0">
      <pane ySplit="1" topLeftCell="A343" activePane="bottomLeft" state="frozen"/>
      <selection pane="bottomLeft" activeCell="F365" sqref="F365"/>
    </sheetView>
  </sheetViews>
  <sheetFormatPr defaultRowHeight="13.2"/>
  <cols>
    <col min="3" max="3" width="58.6640625" customWidth="1"/>
    <col min="4" max="4" width="17.5546875" customWidth="1"/>
    <col min="5" max="38" width="14.88671875" customWidth="1"/>
    <col min="40" max="41" width="12.109375" customWidth="1"/>
    <col min="42" max="42" width="13.109375" customWidth="1"/>
    <col min="43" max="43" width="14.5546875" bestFit="1" customWidth="1"/>
    <col min="44" max="45" width="16.33203125" customWidth="1"/>
    <col min="46" max="47" width="14.5546875" customWidth="1"/>
    <col min="48" max="49" width="18.33203125" customWidth="1"/>
    <col min="50" max="51" width="19.109375" customWidth="1"/>
    <col min="52" max="52" width="18.33203125" customWidth="1"/>
    <col min="53" max="55" width="18.44140625" customWidth="1"/>
    <col min="56" max="56" width="14.6640625" customWidth="1"/>
    <col min="57" max="57" width="18.88671875" customWidth="1"/>
    <col min="58" max="58" width="13.33203125" customWidth="1"/>
    <col min="59" max="59" width="16.44140625" customWidth="1"/>
    <col min="60" max="61" width="12.5546875" customWidth="1"/>
    <col min="62" max="62" width="11.6640625" bestFit="1" customWidth="1"/>
    <col min="63" max="63" width="11.6640625" customWidth="1"/>
    <col min="64" max="64" width="15.109375" customWidth="1"/>
    <col min="65" max="65" width="17.88671875" customWidth="1"/>
    <col min="66" max="66" width="20.5546875" customWidth="1"/>
    <col min="68" max="69" width="14.33203125" customWidth="1"/>
    <col min="70" max="70" width="13.109375" customWidth="1"/>
    <col min="71" max="71" width="27.88671875" customWidth="1"/>
  </cols>
  <sheetData>
    <row r="1" spans="1:71" s="9" customFormat="1" ht="13.8" customHeight="1" thickBot="1">
      <c r="A1" s="8"/>
      <c r="B1" s="35" t="s">
        <v>334</v>
      </c>
      <c r="C1" s="33" t="s">
        <v>6</v>
      </c>
      <c r="D1" s="33" t="s">
        <v>2</v>
      </c>
      <c r="E1" s="9" t="s">
        <v>335</v>
      </c>
      <c r="F1" s="9" t="s">
        <v>336</v>
      </c>
      <c r="G1" s="9" t="s">
        <v>149</v>
      </c>
      <c r="H1" s="9" t="s">
        <v>337</v>
      </c>
      <c r="I1" s="29" t="s">
        <v>338</v>
      </c>
      <c r="J1" s="29" t="s">
        <v>339</v>
      </c>
      <c r="K1" s="29" t="s">
        <v>340</v>
      </c>
      <c r="L1" s="29" t="s">
        <v>341</v>
      </c>
      <c r="M1" s="29" t="s">
        <v>176</v>
      </c>
      <c r="N1" s="29" t="s">
        <v>342</v>
      </c>
      <c r="O1" s="29">
        <f>1</f>
        <v>1</v>
      </c>
      <c r="P1" s="29" t="s">
        <v>343</v>
      </c>
      <c r="Q1" s="29" t="s">
        <v>177</v>
      </c>
      <c r="R1" s="29" t="s">
        <v>344</v>
      </c>
      <c r="S1" s="29" t="s">
        <v>178</v>
      </c>
      <c r="T1" s="29" t="s">
        <v>345</v>
      </c>
      <c r="U1" s="29" t="s">
        <v>179</v>
      </c>
      <c r="V1" s="29" t="s">
        <v>346</v>
      </c>
      <c r="W1" s="29" t="s">
        <v>180</v>
      </c>
      <c r="X1" s="29" t="s">
        <v>347</v>
      </c>
      <c r="Y1" s="29" t="s">
        <v>181</v>
      </c>
      <c r="Z1" s="29" t="s">
        <v>348</v>
      </c>
      <c r="AA1" s="29" t="s">
        <v>182</v>
      </c>
      <c r="AB1" s="29" t="s">
        <v>349</v>
      </c>
      <c r="AC1" s="29" t="s">
        <v>183</v>
      </c>
      <c r="AD1" s="29" t="s">
        <v>350</v>
      </c>
      <c r="AE1" s="29" t="s">
        <v>184</v>
      </c>
      <c r="AF1" s="29" t="s">
        <v>351</v>
      </c>
      <c r="AG1" s="9" t="s">
        <v>352</v>
      </c>
      <c r="AH1" s="9" t="s">
        <v>353</v>
      </c>
      <c r="AI1" s="9" t="s">
        <v>354</v>
      </c>
      <c r="AJ1" s="9" t="s">
        <v>355</v>
      </c>
      <c r="AK1" s="9" t="s">
        <v>167</v>
      </c>
      <c r="AL1" s="9" t="s">
        <v>356</v>
      </c>
      <c r="AM1" s="33" t="s">
        <v>357</v>
      </c>
      <c r="AN1" s="33" t="s">
        <v>358</v>
      </c>
      <c r="AO1" s="33" t="s">
        <v>359</v>
      </c>
      <c r="AP1" s="33" t="s">
        <v>360</v>
      </c>
      <c r="AQ1" s="33" t="s">
        <v>361</v>
      </c>
      <c r="AR1" s="33" t="s">
        <v>362</v>
      </c>
      <c r="AS1" s="33" t="s">
        <v>363</v>
      </c>
      <c r="AT1" s="33" t="s">
        <v>364</v>
      </c>
      <c r="AU1" s="33" t="s">
        <v>365</v>
      </c>
      <c r="AV1" s="33" t="s">
        <v>366</v>
      </c>
      <c r="AW1" s="33" t="s">
        <v>367</v>
      </c>
      <c r="AX1" s="33" t="s">
        <v>368</v>
      </c>
      <c r="AY1" s="33" t="s">
        <v>369</v>
      </c>
      <c r="AZ1" s="33" t="s">
        <v>370</v>
      </c>
      <c r="BA1" s="33" t="s">
        <v>371</v>
      </c>
      <c r="BB1" s="33" t="s">
        <v>372</v>
      </c>
      <c r="BC1" s="33" t="s">
        <v>373</v>
      </c>
      <c r="BD1" s="33" t="s">
        <v>374</v>
      </c>
      <c r="BE1" s="33" t="s">
        <v>375</v>
      </c>
      <c r="BF1" s="33" t="s">
        <v>376</v>
      </c>
      <c r="BG1" s="33" t="s">
        <v>377</v>
      </c>
      <c r="BH1" s="33" t="s">
        <v>378</v>
      </c>
      <c r="BI1" s="33" t="s">
        <v>379</v>
      </c>
      <c r="BJ1" s="33" t="s">
        <v>380</v>
      </c>
      <c r="BK1" s="33" t="s">
        <v>381</v>
      </c>
      <c r="BL1" s="33" t="s">
        <v>382</v>
      </c>
      <c r="BM1" s="33" t="s">
        <v>383</v>
      </c>
      <c r="BN1" s="33" t="s">
        <v>384</v>
      </c>
      <c r="BO1" s="33" t="s">
        <v>385</v>
      </c>
      <c r="BP1" s="33" t="s">
        <v>386</v>
      </c>
      <c r="BQ1" s="33" t="s">
        <v>387</v>
      </c>
      <c r="BR1" s="33" t="s">
        <v>388</v>
      </c>
      <c r="BS1" s="33" t="s">
        <v>389</v>
      </c>
    </row>
    <row r="2" spans="1:71" ht="16.95" customHeight="1">
      <c r="B2" s="16">
        <f>Tiers!B3</f>
        <v>0</v>
      </c>
      <c r="C2" s="17" t="str">
        <f>Tiers!Y3</f>
        <v>||||||||| x 1</v>
      </c>
      <c r="D2" s="18">
        <f>Tiers!C3</f>
        <v>0</v>
      </c>
      <c r="E2" s="19">
        <f>Frequency!E4</f>
        <v>1466392</v>
      </c>
      <c r="F2" s="19">
        <f t="shared" ref="F2:F65" si="0">E2*D2</f>
        <v>0</v>
      </c>
      <c r="G2" s="19">
        <f>IF(Tiers!D3&gt;1,'Data Analysis'!E2,0)</f>
        <v>0</v>
      </c>
      <c r="H2" s="19">
        <f t="shared" ref="H2:H65" si="1">G2*D2</f>
        <v>0</v>
      </c>
      <c r="I2" s="19">
        <f>IF(AND(D2/Summary!$C$4&gt;0, D2/Summary!$C$4&lt;5),E2,0) * D2</f>
        <v>0</v>
      </c>
      <c r="J2" s="19">
        <f>IF(AND(D2/Summary!$C$4&gt;= 5, D2/Summary!$C$4&lt;10),E2,0) * D2</f>
        <v>0</v>
      </c>
      <c r="K2" s="19">
        <f>IF(AND(D2/Summary!$C$4&gt;=10, D2/Summary!$C$4&lt;25),E2,0)*D2</f>
        <v>0</v>
      </c>
      <c r="L2" s="19">
        <f>IF(D2/Summary!$C$4&gt;=25,E2,0)*D2</f>
        <v>0</v>
      </c>
      <c r="M2" s="27">
        <f>IF(AND(D2/Summary!$C$4&gt;0, D2/Summary!$C$4&lt;1),E2,0)</f>
        <v>0</v>
      </c>
      <c r="N2" s="27">
        <f t="shared" ref="N2:N65" si="2">IF(M2&gt;0,D2*E2,0)</f>
        <v>0</v>
      </c>
      <c r="O2" s="27">
        <f>IF(D2/Summary!$C$4=1,1,0)*E2</f>
        <v>0</v>
      </c>
      <c r="P2" s="27">
        <f t="shared" ref="P2:P65" si="3">IF(O2&gt;0,D2*E2,0)</f>
        <v>0</v>
      </c>
      <c r="Q2" s="27">
        <f>IF(AND(D2/Summary!$C$4&gt;1, D2/Summary!$C$4&lt;=2),1,0)*E2</f>
        <v>0</v>
      </c>
      <c r="R2" s="27">
        <f t="shared" ref="R2:R65" si="4">IF(Q2&gt;0,D2*E2,0)</f>
        <v>0</v>
      </c>
      <c r="S2" s="27">
        <f>IF(AND(D2/Summary!$C$4&gt;2,D2/Summary!$C$4&lt;=5),1,0)*E2</f>
        <v>0</v>
      </c>
      <c r="T2" s="27">
        <f t="shared" ref="T2:T65" si="5">IF(S2&gt;0,D2*E2,0)</f>
        <v>0</v>
      </c>
      <c r="U2" s="27">
        <f>IF(AND(D2/Summary!$C$4&gt;5, D2/Summary!$C$4&lt;=10),1,0)*E2</f>
        <v>0</v>
      </c>
      <c r="V2" s="27">
        <f t="shared" ref="V2:V65" si="6">IF(U2&gt;0,D2*E2,0)</f>
        <v>0</v>
      </c>
      <c r="W2" s="27">
        <f>IF(AND(D2/Summary!$C$4&gt;10, D2/Summary!$C$4&lt;=20),1,0)*E2</f>
        <v>0</v>
      </c>
      <c r="X2" s="27">
        <f t="shared" ref="X2:X65" si="7">IF(W2&gt;0,D2*E2,0)</f>
        <v>0</v>
      </c>
      <c r="Y2" s="27">
        <f>IF(AND(D2/Summary!$C$4&gt;20, D2/Summary!$C$4&lt;=30),1,0)*E2</f>
        <v>0</v>
      </c>
      <c r="Z2" s="27">
        <f t="shared" ref="Z2:Z65" si="8">IF(Y2&gt;0,D2*E2,0)</f>
        <v>0</v>
      </c>
      <c r="AA2" s="27">
        <f>IF(AND(D2/Summary!$C$4&gt;30, D2/Summary!$C$4&lt;=50),1,0)*E2</f>
        <v>0</v>
      </c>
      <c r="AB2" s="27">
        <f t="shared" ref="AB2:AB65" si="9">IF(AA2&gt;0,D2*E2,0)</f>
        <v>0</v>
      </c>
      <c r="AC2" s="27">
        <f>IF(AND(D2/Summary!$C$4&gt;50, D2/Summary!$C$4&lt;=100),1,0)*E2</f>
        <v>0</v>
      </c>
      <c r="AD2" s="27">
        <f t="shared" ref="AD2:AD65" si="10">IF(AC2&gt;0,D2*E2,0)</f>
        <v>0</v>
      </c>
      <c r="AE2" s="27">
        <f>IF(D2/Summary!$C$4&gt;100,1,0)*E2</f>
        <v>0</v>
      </c>
      <c r="AF2" s="27">
        <f t="shared" ref="AF2:AF65" si="11">IF(AE2&gt;0,D2*E2,0)</f>
        <v>0</v>
      </c>
      <c r="AG2" s="19">
        <f t="shared" ref="AG2:AG65" si="12">IF(AV2&gt;0,E2,0)</f>
        <v>0</v>
      </c>
      <c r="AH2" s="19">
        <f t="shared" ref="AH2:AH65" si="13">IF(BD2&gt;0,E2,0)</f>
        <v>0</v>
      </c>
      <c r="AI2" s="19">
        <f t="shared" ref="AI2:AI65" si="14">IF(BJ2&gt;0,E2,0)</f>
        <v>0</v>
      </c>
      <c r="AJ2" s="27">
        <f t="shared" ref="AJ2:AJ65" si="15">IF(ISNUMBER(SEARCH("|||||||||",C2)),0,1)</f>
        <v>0</v>
      </c>
      <c r="AK2" s="27">
        <f t="shared" ref="AK2:AK65" si="16">IF(AJ2=1, E2,0)</f>
        <v>0</v>
      </c>
      <c r="AL2" s="27">
        <f t="shared" ref="AL2:AL65" si="17">IF(AK2&gt;0,D2*E2,0)</f>
        <v>0</v>
      </c>
      <c r="AM2">
        <f t="shared" ref="AM2:AM65" si="18">IF(ISNUMBER(SEARCH("Wild",C2)),1,0)</f>
        <v>0</v>
      </c>
      <c r="AN2">
        <f t="shared" ref="AN2:AN65" si="19">IF(AM2=1, E2,0)</f>
        <v>0</v>
      </c>
      <c r="AO2">
        <f t="shared" ref="AO2:AO65" si="20">IF(AN2&gt;0,D2*E2,0)</f>
        <v>0</v>
      </c>
      <c r="AP2">
        <f t="shared" ref="AP2:AP65" si="21">IF(ISNUMBER(SEARCH("Wild-",C2)),1,0)</f>
        <v>0</v>
      </c>
      <c r="AQ2">
        <f t="shared" ref="AQ2:AQ65" si="22">IF(AP2=1, E2,0)</f>
        <v>0</v>
      </c>
      <c r="AR2">
        <f t="shared" ref="AR2:AR65" si="23">IF(AQ2&gt;0,D2*E2,0)</f>
        <v>0</v>
      </c>
      <c r="AS2">
        <f t="shared" ref="AS2:AS65" si="24">IF(ISNUMBER(SEARCH("WildX",C2)),1,0)</f>
        <v>0</v>
      </c>
      <c r="AT2">
        <f t="shared" ref="AT2:AT65" si="25">IF(AS2=1, E2,0)</f>
        <v>0</v>
      </c>
      <c r="AU2">
        <f t="shared" ref="AU2:AU65" si="26">IF(AT2&gt;0,D2*E2,0)</f>
        <v>0</v>
      </c>
      <c r="AV2">
        <f t="shared" ref="AV2:AV65" si="27">IF(ISNUMBER(SEARCH("freeplayA",C2)),E2,0)</f>
        <v>0</v>
      </c>
      <c r="AW2">
        <f t="shared" ref="AW2:AW65" si="28">AV2*D2</f>
        <v>0</v>
      </c>
      <c r="AX2">
        <f t="shared" ref="AX2:AX65" si="29">IF(ISNUMBER(SEARCH("FreePlayB",C2)),E2,0)</f>
        <v>0</v>
      </c>
      <c r="AY2">
        <f t="shared" ref="AY2:AY65" si="30">AX2*D2</f>
        <v>0</v>
      </c>
      <c r="AZ2">
        <f t="shared" ref="AZ2:AZ65" si="31">IF(ISNUMBER(SEARCH("FreePlayC",C2)),E2,0)</f>
        <v>0</v>
      </c>
      <c r="BA2">
        <f t="shared" ref="BA2:BA65" si="32">AZ2*D2</f>
        <v>0</v>
      </c>
      <c r="BB2">
        <f t="shared" ref="BB2:BB65" si="33">IF(ISNUMBER(SEARCH("FreePlayD",C2)),E2,0)</f>
        <v>0</v>
      </c>
      <c r="BC2">
        <f t="shared" ref="BC2:BC65" si="34">BB2*D2</f>
        <v>0</v>
      </c>
      <c r="BD2">
        <f t="shared" ref="BD2:BD65" si="35">IF(ISNUMBER(SEARCH("bonusA",C2)),E2,0)</f>
        <v>0</v>
      </c>
      <c r="BE2">
        <f t="shared" ref="BE2:BE65" si="36">BD2*D2</f>
        <v>0</v>
      </c>
      <c r="BF2">
        <f t="shared" ref="BF2:BF65" si="37">IF(ISNUMBER(SEARCH("BonusB",C2)),E2,0)</f>
        <v>0</v>
      </c>
      <c r="BG2">
        <f t="shared" ref="BG2:BG65" si="38">BF2*D2</f>
        <v>0</v>
      </c>
      <c r="BH2">
        <f t="shared" ref="BH2:BH65" si="39">IF(ISNUMBER(SEARCH("BonusC",C2)),E2,0)</f>
        <v>0</v>
      </c>
      <c r="BI2">
        <f t="shared" ref="BI2:BI65" si="40">BH2*D2</f>
        <v>0</v>
      </c>
      <c r="BJ2">
        <f t="shared" ref="BJ2:BJ65" si="41">IF(ISNUMBER(SEARCH("Instant",C2)),E2,0)</f>
        <v>0</v>
      </c>
      <c r="BK2">
        <f t="shared" ref="BK2:BK65" si="42">BJ2*D2</f>
        <v>0</v>
      </c>
      <c r="BL2">
        <v>0</v>
      </c>
      <c r="BM2" t="str">
        <f>IF(D2 &lt; $D$367, $C$367,
      IF(D2 = $D$368, $C$368,
          IF(D2 &lt; $D$369, $C$369,
              IF(D2 &lt; $D$370, $C$370,
                 IF(D2 &lt; $D$371, $C$371, $C$372)))))</f>
        <v>Less than Stake</v>
      </c>
      <c r="BN2" s="32" t="str">
        <f>IF(AV2 &gt; 0,$C$376,
      IF(AX2 &gt; 0,$C$377,
          IF(AZ2 &gt; 0,$C$378,
             IF(BB2 &gt; 0,$C$379,
              IF(BD2 &gt; 0,$C$380,
                  IF(BF2 &gt; 0,$C$381,
                     IF(BH2 &gt; 0,$C$382,
                        IF(BJ2 &gt; 0,$C$383,
                           IF(ISNUMBER(SEARCH("|||||||||",C2)), $C$384,$C$385)))))))))</f>
        <v>Single Win</v>
      </c>
      <c r="BO2">
        <f>(D2/Summary!$C$4-Summary!$C$8)^2*E2</f>
        <v>1010197.4487999999</v>
      </c>
      <c r="BP2">
        <f t="shared" ref="BP2:BP65" si="43">IF(AV2=1, E2*D2,0)</f>
        <v>0</v>
      </c>
      <c r="BQ2">
        <f t="shared" ref="BQ2:BQ65" si="44">IF(BD2=1, E2*D2,0)</f>
        <v>0</v>
      </c>
      <c r="BR2">
        <f t="shared" ref="BR2:BR65" si="45">IF(BJ2=1, D2*E2,0)</f>
        <v>0</v>
      </c>
      <c r="BS2">
        <f t="shared" ref="BS2:BS65" si="46">IF(BL2&gt;0,BL2*E2,0)</f>
        <v>0</v>
      </c>
    </row>
    <row r="3" spans="1:71">
      <c r="B3" s="16">
        <f>Tiers!B4</f>
        <v>1</v>
      </c>
      <c r="C3" s="17" t="str">
        <f>Tiers!Y4</f>
        <v>main-0||||||||| x 1</v>
      </c>
      <c r="D3" s="18">
        <f>Tiers!C4</f>
        <v>0.1</v>
      </c>
      <c r="E3" s="19">
        <f>Frequency!E5</f>
        <v>70000</v>
      </c>
      <c r="F3" s="19">
        <f t="shared" si="0"/>
        <v>7000</v>
      </c>
      <c r="G3" s="19">
        <f>IF(Tiers!D4&gt;1,'Data Analysis'!E3,0)</f>
        <v>0</v>
      </c>
      <c r="H3" s="19">
        <f t="shared" si="1"/>
        <v>0</v>
      </c>
      <c r="I3" s="19">
        <f>IF(AND(D3/Summary!$C$4&gt;0, D3/Summary!$C$4&lt;5),E3,0) * D3</f>
        <v>7000</v>
      </c>
      <c r="J3" s="19">
        <f>IF(AND(D3/Summary!$C$4&gt;= 5, D3/Summary!$C$4&lt;10),E3,0) * D3</f>
        <v>0</v>
      </c>
      <c r="K3" s="19">
        <f>IF(AND(D3/Summary!$C$4&gt;=10, D3/Summary!$C$4&lt;25),E3,0)*D3</f>
        <v>0</v>
      </c>
      <c r="L3" s="19">
        <f>IF(D3/Summary!$C$4&gt;=25,E3,0)*D3</f>
        <v>0</v>
      </c>
      <c r="M3" s="27">
        <f>IF(AND(D3/Summary!$C$4&gt;0, D3/Summary!$C$4&lt;1),E3,0)</f>
        <v>70000</v>
      </c>
      <c r="N3" s="27">
        <f t="shared" si="2"/>
        <v>7000</v>
      </c>
      <c r="O3" s="27">
        <f>IF(D3/Summary!$C$4=1,1,0)*E3</f>
        <v>0</v>
      </c>
      <c r="P3" s="27">
        <f t="shared" si="3"/>
        <v>0</v>
      </c>
      <c r="Q3" s="27">
        <f>IF(AND(D3/Summary!$C$4&gt;1, D3/Summary!$C$4&lt;=2),1,0)*E3</f>
        <v>0</v>
      </c>
      <c r="R3" s="27">
        <f t="shared" si="4"/>
        <v>0</v>
      </c>
      <c r="S3" s="27">
        <f>IF(AND(D3/Summary!$C$4&gt;2,D3/Summary!$C$4&lt;=5),1,0)*E3</f>
        <v>0</v>
      </c>
      <c r="T3" s="27">
        <f t="shared" si="5"/>
        <v>0</v>
      </c>
      <c r="U3" s="27">
        <f>IF(AND(D3/Summary!$C$4&gt;5, D3/Summary!$C$4&lt;=10),1,0)*E3</f>
        <v>0</v>
      </c>
      <c r="V3" s="27">
        <f t="shared" si="6"/>
        <v>0</v>
      </c>
      <c r="W3" s="27">
        <f>IF(AND(D3/Summary!$C$4&gt;10, D3/Summary!$C$4&lt;=20),1,0)*E3</f>
        <v>0</v>
      </c>
      <c r="X3" s="27">
        <f t="shared" si="7"/>
        <v>0</v>
      </c>
      <c r="Y3" s="27">
        <f>IF(AND(D3/Summary!$C$4&gt;20, D3/Summary!$C$4&lt;=30),1,0)*E3</f>
        <v>0</v>
      </c>
      <c r="Z3" s="27">
        <f t="shared" si="8"/>
        <v>0</v>
      </c>
      <c r="AA3" s="27">
        <f>IF(AND(D3/Summary!$C$4&gt;30, D3/Summary!$C$4&lt;=50),1,0)*E3</f>
        <v>0</v>
      </c>
      <c r="AB3" s="27">
        <f t="shared" si="9"/>
        <v>0</v>
      </c>
      <c r="AC3" s="27">
        <f>IF(AND(D3/Summary!$C$4&gt;50, D3/Summary!$C$4&lt;=100),1,0)*E3</f>
        <v>0</v>
      </c>
      <c r="AD3" s="27">
        <f t="shared" si="10"/>
        <v>0</v>
      </c>
      <c r="AE3" s="27">
        <f>IF(D3/Summary!$C$4&gt;100,1,0)*E3</f>
        <v>0</v>
      </c>
      <c r="AF3" s="27">
        <f t="shared" si="11"/>
        <v>0</v>
      </c>
      <c r="AG3" s="19">
        <f t="shared" si="12"/>
        <v>0</v>
      </c>
      <c r="AH3" s="19">
        <f t="shared" si="13"/>
        <v>0</v>
      </c>
      <c r="AI3" s="19">
        <f t="shared" si="14"/>
        <v>0</v>
      </c>
      <c r="AJ3" s="27">
        <f t="shared" si="15"/>
        <v>0</v>
      </c>
      <c r="AK3" s="27">
        <f t="shared" si="16"/>
        <v>0</v>
      </c>
      <c r="AL3" s="27">
        <f t="shared" si="17"/>
        <v>0</v>
      </c>
      <c r="AM3">
        <f t="shared" si="18"/>
        <v>0</v>
      </c>
      <c r="AN3">
        <f t="shared" si="19"/>
        <v>0</v>
      </c>
      <c r="AO3">
        <f t="shared" si="20"/>
        <v>0</v>
      </c>
      <c r="AP3">
        <f t="shared" si="21"/>
        <v>0</v>
      </c>
      <c r="AQ3">
        <f t="shared" si="22"/>
        <v>0</v>
      </c>
      <c r="AR3">
        <f t="shared" si="23"/>
        <v>0</v>
      </c>
      <c r="AS3">
        <f t="shared" si="24"/>
        <v>0</v>
      </c>
      <c r="AT3">
        <f t="shared" si="25"/>
        <v>0</v>
      </c>
      <c r="AU3">
        <f t="shared" si="26"/>
        <v>0</v>
      </c>
      <c r="AV3">
        <f t="shared" si="27"/>
        <v>0</v>
      </c>
      <c r="AW3">
        <f t="shared" si="28"/>
        <v>0</v>
      </c>
      <c r="AX3">
        <f t="shared" si="29"/>
        <v>0</v>
      </c>
      <c r="AY3">
        <f t="shared" si="30"/>
        <v>0</v>
      </c>
      <c r="AZ3">
        <f t="shared" si="31"/>
        <v>0</v>
      </c>
      <c r="BA3">
        <f t="shared" si="32"/>
        <v>0</v>
      </c>
      <c r="BB3">
        <f t="shared" si="33"/>
        <v>0</v>
      </c>
      <c r="BC3">
        <f t="shared" si="34"/>
        <v>0</v>
      </c>
      <c r="BD3">
        <f t="shared" si="35"/>
        <v>0</v>
      </c>
      <c r="BE3">
        <f t="shared" si="36"/>
        <v>0</v>
      </c>
      <c r="BF3">
        <f t="shared" si="37"/>
        <v>0</v>
      </c>
      <c r="BG3">
        <f t="shared" si="38"/>
        <v>0</v>
      </c>
      <c r="BH3">
        <f t="shared" si="39"/>
        <v>0</v>
      </c>
      <c r="BI3">
        <f t="shared" si="40"/>
        <v>0</v>
      </c>
      <c r="BJ3">
        <f t="shared" si="41"/>
        <v>0</v>
      </c>
      <c r="BK3">
        <f t="shared" si="42"/>
        <v>0</v>
      </c>
      <c r="BL3">
        <v>0</v>
      </c>
      <c r="BM3" t="str">
        <f t="shared" ref="BM3:BM34" si="47">IF(D3 &lt; $D$367, $C$367,
IF(D3 = $D$368, $C$368,
IF(D3 &lt; $D$369, $C$369,
IF(D3 &lt; $D$370, $C$370,
IF(D3 &lt; $D$371, $C$371, $C$372)))))</f>
        <v>Less than Stake</v>
      </c>
      <c r="BN3" s="32" t="str">
        <f t="shared" ref="BN3:BN34" si="48">IF(AV3 &gt; 0,$C$376,
IF(AX3 &gt; 0,$C$377,
IF(AZ3 &gt; 0,$C$378,
IF(BB3 &gt; 0,$C$379,
IF(BD3 &gt; 0,$C$380,
IF(BF3 &gt; 0,$C$381,
IF(BH3 &gt; 0,$C$382,
IF(BJ3 &gt; 0,$C$383,
IF(ISNUMBER(SEARCH("|||||||||",C3)), $C$384,$C$385)))))))))</f>
        <v>Single Win</v>
      </c>
      <c r="BO3">
        <f>(D3/Summary!$C$4-Summary!$C$8)^2*E3</f>
        <v>37302.999999999993</v>
      </c>
      <c r="BP3">
        <f t="shared" si="43"/>
        <v>0</v>
      </c>
      <c r="BQ3">
        <f t="shared" si="44"/>
        <v>0</v>
      </c>
      <c r="BR3">
        <f t="shared" si="45"/>
        <v>0</v>
      </c>
      <c r="BS3">
        <f t="shared" si="46"/>
        <v>0</v>
      </c>
    </row>
    <row r="4" spans="1:71">
      <c r="B4" s="16">
        <f>Tiers!B5</f>
        <v>2</v>
      </c>
      <c r="C4" s="17" t="str">
        <f>Tiers!Y5</f>
        <v>main-1||||||||| x 1</v>
      </c>
      <c r="D4" s="18">
        <f>Tiers!C5</f>
        <v>0.2</v>
      </c>
      <c r="E4" s="19">
        <f>Frequency!E6</f>
        <v>40003</v>
      </c>
      <c r="F4" s="19">
        <f t="shared" si="0"/>
        <v>8000.6</v>
      </c>
      <c r="G4" s="19">
        <f>IF(Tiers!D5&gt;1,'Data Analysis'!E4,0)</f>
        <v>0</v>
      </c>
      <c r="H4" s="19">
        <f t="shared" si="1"/>
        <v>0</v>
      </c>
      <c r="I4" s="19">
        <f>IF(AND(D4/Summary!$C$4&gt;0, D4/Summary!$C$4&lt;5),E4,0) * D4</f>
        <v>8000.6</v>
      </c>
      <c r="J4" s="19">
        <f>IF(AND(D4/Summary!$C$4&gt;= 5, D4/Summary!$C$4&lt;10),E4,0) * D4</f>
        <v>0</v>
      </c>
      <c r="K4" s="19">
        <f>IF(AND(D4/Summary!$C$4&gt;=10, D4/Summary!$C$4&lt;25),E4,0)*D4</f>
        <v>0</v>
      </c>
      <c r="L4" s="19">
        <f>IF(D4/Summary!$C$4&gt;=25,E4,0)*D4</f>
        <v>0</v>
      </c>
      <c r="M4" s="27">
        <f>IF(AND(D4/Summary!$C$4&gt;0, D4/Summary!$C$4&lt;1),E4,0)</f>
        <v>40003</v>
      </c>
      <c r="N4" s="27">
        <f t="shared" si="2"/>
        <v>8000.6</v>
      </c>
      <c r="O4" s="27">
        <f>IF(D4/Summary!$C$4=1,1,0)*E4</f>
        <v>0</v>
      </c>
      <c r="P4" s="27">
        <f t="shared" si="3"/>
        <v>0</v>
      </c>
      <c r="Q4" s="27">
        <f>IF(AND(D4/Summary!$C$4&gt;1, D4/Summary!$C$4&lt;=2),1,0)*E4</f>
        <v>0</v>
      </c>
      <c r="R4" s="27">
        <f t="shared" si="4"/>
        <v>0</v>
      </c>
      <c r="S4" s="27">
        <f>IF(AND(D4/Summary!$C$4&gt;2,D4/Summary!$C$4&lt;=5),1,0)*E4</f>
        <v>0</v>
      </c>
      <c r="T4" s="27">
        <f t="shared" si="5"/>
        <v>0</v>
      </c>
      <c r="U4" s="27">
        <f>IF(AND(D4/Summary!$C$4&gt;5, D4/Summary!$C$4&lt;=10),1,0)*E4</f>
        <v>0</v>
      </c>
      <c r="V4" s="27">
        <f t="shared" si="6"/>
        <v>0</v>
      </c>
      <c r="W4" s="27">
        <f>IF(AND(D4/Summary!$C$4&gt;10, D4/Summary!$C$4&lt;=20),1,0)*E4</f>
        <v>0</v>
      </c>
      <c r="X4" s="27">
        <f t="shared" si="7"/>
        <v>0</v>
      </c>
      <c r="Y4" s="27">
        <f>IF(AND(D4/Summary!$C$4&gt;20, D4/Summary!$C$4&lt;=30),1,0)*E4</f>
        <v>0</v>
      </c>
      <c r="Z4" s="27">
        <f t="shared" si="8"/>
        <v>0</v>
      </c>
      <c r="AA4" s="27">
        <f>IF(AND(D4/Summary!$C$4&gt;30, D4/Summary!$C$4&lt;=50),1,0)*E4</f>
        <v>0</v>
      </c>
      <c r="AB4" s="27">
        <f t="shared" si="9"/>
        <v>0</v>
      </c>
      <c r="AC4" s="27">
        <f>IF(AND(D4/Summary!$C$4&gt;50, D4/Summary!$C$4&lt;=100),1,0)*E4</f>
        <v>0</v>
      </c>
      <c r="AD4" s="27">
        <f t="shared" si="10"/>
        <v>0</v>
      </c>
      <c r="AE4" s="27">
        <f>IF(D4/Summary!$C$4&gt;100,1,0)*E4</f>
        <v>0</v>
      </c>
      <c r="AF4" s="27">
        <f t="shared" si="11"/>
        <v>0</v>
      </c>
      <c r="AG4" s="19">
        <f t="shared" si="12"/>
        <v>0</v>
      </c>
      <c r="AH4" s="19">
        <f t="shared" si="13"/>
        <v>0</v>
      </c>
      <c r="AI4" s="19">
        <f t="shared" si="14"/>
        <v>0</v>
      </c>
      <c r="AJ4" s="27">
        <f t="shared" si="15"/>
        <v>0</v>
      </c>
      <c r="AK4" s="27">
        <f t="shared" si="16"/>
        <v>0</v>
      </c>
      <c r="AL4" s="27">
        <f t="shared" si="17"/>
        <v>0</v>
      </c>
      <c r="AM4">
        <f t="shared" si="18"/>
        <v>0</v>
      </c>
      <c r="AN4">
        <f t="shared" si="19"/>
        <v>0</v>
      </c>
      <c r="AO4">
        <f t="shared" si="20"/>
        <v>0</v>
      </c>
      <c r="AP4">
        <f t="shared" si="21"/>
        <v>0</v>
      </c>
      <c r="AQ4">
        <f t="shared" si="22"/>
        <v>0</v>
      </c>
      <c r="AR4">
        <f t="shared" si="23"/>
        <v>0</v>
      </c>
      <c r="AS4">
        <f t="shared" si="24"/>
        <v>0</v>
      </c>
      <c r="AT4">
        <f t="shared" si="25"/>
        <v>0</v>
      </c>
      <c r="AU4">
        <f t="shared" si="26"/>
        <v>0</v>
      </c>
      <c r="AV4">
        <f t="shared" si="27"/>
        <v>0</v>
      </c>
      <c r="AW4">
        <f t="shared" si="28"/>
        <v>0</v>
      </c>
      <c r="AX4">
        <f t="shared" si="29"/>
        <v>0</v>
      </c>
      <c r="AY4">
        <f t="shared" si="30"/>
        <v>0</v>
      </c>
      <c r="AZ4">
        <f t="shared" si="31"/>
        <v>0</v>
      </c>
      <c r="BA4">
        <f t="shared" si="32"/>
        <v>0</v>
      </c>
      <c r="BB4">
        <f t="shared" si="33"/>
        <v>0</v>
      </c>
      <c r="BC4">
        <f t="shared" si="34"/>
        <v>0</v>
      </c>
      <c r="BD4">
        <f t="shared" si="35"/>
        <v>0</v>
      </c>
      <c r="BE4">
        <f t="shared" si="36"/>
        <v>0</v>
      </c>
      <c r="BF4">
        <f t="shared" si="37"/>
        <v>0</v>
      </c>
      <c r="BG4">
        <f t="shared" si="38"/>
        <v>0</v>
      </c>
      <c r="BH4">
        <f t="shared" si="39"/>
        <v>0</v>
      </c>
      <c r="BI4">
        <f t="shared" si="40"/>
        <v>0</v>
      </c>
      <c r="BJ4">
        <f t="shared" si="41"/>
        <v>0</v>
      </c>
      <c r="BK4">
        <f t="shared" si="42"/>
        <v>0</v>
      </c>
      <c r="BL4">
        <v>0</v>
      </c>
      <c r="BM4" t="str">
        <f t="shared" si="47"/>
        <v>Less than Stake</v>
      </c>
      <c r="BN4" s="32" t="str">
        <f t="shared" si="48"/>
        <v>Single Win</v>
      </c>
      <c r="BO4">
        <f>(D4/Summary!$C$4-Summary!$C$8)^2*E4</f>
        <v>15877.190699999994</v>
      </c>
      <c r="BP4">
        <f t="shared" si="43"/>
        <v>0</v>
      </c>
      <c r="BQ4">
        <f t="shared" si="44"/>
        <v>0</v>
      </c>
      <c r="BR4">
        <f t="shared" si="45"/>
        <v>0</v>
      </c>
      <c r="BS4">
        <f t="shared" si="46"/>
        <v>0</v>
      </c>
    </row>
    <row r="5" spans="1:71">
      <c r="B5" s="16">
        <f>Tiers!B6</f>
        <v>3</v>
      </c>
      <c r="C5" s="17" t="str">
        <f>Tiers!Y6</f>
        <v>main-2||||||||| x 1</v>
      </c>
      <c r="D5" s="18">
        <f>Tiers!C6</f>
        <v>0.5</v>
      </c>
      <c r="E5" s="19">
        <f>Frequency!E7</f>
        <v>20001</v>
      </c>
      <c r="F5" s="19">
        <f t="shared" si="0"/>
        <v>10000.5</v>
      </c>
      <c r="G5" s="19">
        <f>IF(Tiers!D6&gt;1,'Data Analysis'!E5,0)</f>
        <v>0</v>
      </c>
      <c r="H5" s="19">
        <f t="shared" si="1"/>
        <v>0</v>
      </c>
      <c r="I5" s="19">
        <f>IF(AND(D5/Summary!$C$4&gt;0, D5/Summary!$C$4&lt;5),E5,0) * D5</f>
        <v>10000.5</v>
      </c>
      <c r="J5" s="19">
        <f>IF(AND(D5/Summary!$C$4&gt;= 5, D5/Summary!$C$4&lt;10),E5,0) * D5</f>
        <v>0</v>
      </c>
      <c r="K5" s="19">
        <f>IF(AND(D5/Summary!$C$4&gt;=10, D5/Summary!$C$4&lt;25),E5,0)*D5</f>
        <v>0</v>
      </c>
      <c r="L5" s="19">
        <f>IF(D5/Summary!$C$4&gt;=25,E5,0)*D5</f>
        <v>0</v>
      </c>
      <c r="M5" s="27">
        <f>IF(AND(D5/Summary!$C$4&gt;0, D5/Summary!$C$4&lt;1),E5,0)</f>
        <v>20001</v>
      </c>
      <c r="N5" s="27">
        <f t="shared" si="2"/>
        <v>10000.5</v>
      </c>
      <c r="O5" s="27">
        <f>IF(D5/Summary!$C$4=1,1,0)*E5</f>
        <v>0</v>
      </c>
      <c r="P5" s="27">
        <f t="shared" si="3"/>
        <v>0</v>
      </c>
      <c r="Q5" s="27">
        <f>IF(AND(D5/Summary!$C$4&gt;1, D5/Summary!$C$4&lt;=2),1,0)*E5</f>
        <v>0</v>
      </c>
      <c r="R5" s="27">
        <f t="shared" si="4"/>
        <v>0</v>
      </c>
      <c r="S5" s="27">
        <f>IF(AND(D5/Summary!$C$4&gt;2,D5/Summary!$C$4&lt;=5),1,0)*E5</f>
        <v>0</v>
      </c>
      <c r="T5" s="27">
        <f t="shared" si="5"/>
        <v>0</v>
      </c>
      <c r="U5" s="27">
        <f>IF(AND(D5/Summary!$C$4&gt;5, D5/Summary!$C$4&lt;=10),1,0)*E5</f>
        <v>0</v>
      </c>
      <c r="V5" s="27">
        <f t="shared" si="6"/>
        <v>0</v>
      </c>
      <c r="W5" s="27">
        <f>IF(AND(D5/Summary!$C$4&gt;10, D5/Summary!$C$4&lt;=20),1,0)*E5</f>
        <v>0</v>
      </c>
      <c r="X5" s="27">
        <f t="shared" si="7"/>
        <v>0</v>
      </c>
      <c r="Y5" s="27">
        <f>IF(AND(D5/Summary!$C$4&gt;20, D5/Summary!$C$4&lt;=30),1,0)*E5</f>
        <v>0</v>
      </c>
      <c r="Z5" s="27">
        <f t="shared" si="8"/>
        <v>0</v>
      </c>
      <c r="AA5" s="27">
        <f>IF(AND(D5/Summary!$C$4&gt;30, D5/Summary!$C$4&lt;=50),1,0)*E5</f>
        <v>0</v>
      </c>
      <c r="AB5" s="27">
        <f t="shared" si="9"/>
        <v>0</v>
      </c>
      <c r="AC5" s="27">
        <f>IF(AND(D5/Summary!$C$4&gt;50, D5/Summary!$C$4&lt;=100),1,0)*E5</f>
        <v>0</v>
      </c>
      <c r="AD5" s="27">
        <f t="shared" si="10"/>
        <v>0</v>
      </c>
      <c r="AE5" s="27">
        <f>IF(D5/Summary!$C$4&gt;100,1,0)*E5</f>
        <v>0</v>
      </c>
      <c r="AF5" s="27">
        <f t="shared" si="11"/>
        <v>0</v>
      </c>
      <c r="AG5" s="19">
        <f t="shared" si="12"/>
        <v>0</v>
      </c>
      <c r="AH5" s="19">
        <f t="shared" si="13"/>
        <v>0</v>
      </c>
      <c r="AI5" s="19">
        <f t="shared" si="14"/>
        <v>0</v>
      </c>
      <c r="AJ5" s="27">
        <f t="shared" si="15"/>
        <v>0</v>
      </c>
      <c r="AK5" s="27">
        <f t="shared" si="16"/>
        <v>0</v>
      </c>
      <c r="AL5" s="27">
        <f t="shared" si="17"/>
        <v>0</v>
      </c>
      <c r="AM5">
        <f t="shared" si="18"/>
        <v>0</v>
      </c>
      <c r="AN5">
        <f t="shared" si="19"/>
        <v>0</v>
      </c>
      <c r="AO5">
        <f t="shared" si="20"/>
        <v>0</v>
      </c>
      <c r="AP5">
        <f t="shared" si="21"/>
        <v>0</v>
      </c>
      <c r="AQ5">
        <f t="shared" si="22"/>
        <v>0</v>
      </c>
      <c r="AR5">
        <f t="shared" si="23"/>
        <v>0</v>
      </c>
      <c r="AS5">
        <f t="shared" si="24"/>
        <v>0</v>
      </c>
      <c r="AT5">
        <f t="shared" si="25"/>
        <v>0</v>
      </c>
      <c r="AU5">
        <f t="shared" si="26"/>
        <v>0</v>
      </c>
      <c r="AV5">
        <f t="shared" si="27"/>
        <v>0</v>
      </c>
      <c r="AW5">
        <f t="shared" si="28"/>
        <v>0</v>
      </c>
      <c r="AX5">
        <f t="shared" si="29"/>
        <v>0</v>
      </c>
      <c r="AY5">
        <f t="shared" si="30"/>
        <v>0</v>
      </c>
      <c r="AZ5">
        <f t="shared" si="31"/>
        <v>0</v>
      </c>
      <c r="BA5">
        <f t="shared" si="32"/>
        <v>0</v>
      </c>
      <c r="BB5">
        <f t="shared" si="33"/>
        <v>0</v>
      </c>
      <c r="BC5">
        <f t="shared" si="34"/>
        <v>0</v>
      </c>
      <c r="BD5">
        <f t="shared" si="35"/>
        <v>0</v>
      </c>
      <c r="BE5">
        <f t="shared" si="36"/>
        <v>0</v>
      </c>
      <c r="BF5">
        <f t="shared" si="37"/>
        <v>0</v>
      </c>
      <c r="BG5">
        <f t="shared" si="38"/>
        <v>0</v>
      </c>
      <c r="BH5">
        <f t="shared" si="39"/>
        <v>0</v>
      </c>
      <c r="BI5">
        <f t="shared" si="40"/>
        <v>0</v>
      </c>
      <c r="BJ5">
        <f t="shared" si="41"/>
        <v>0</v>
      </c>
      <c r="BK5">
        <f t="shared" si="42"/>
        <v>0</v>
      </c>
      <c r="BL5">
        <v>0</v>
      </c>
      <c r="BM5" t="str">
        <f t="shared" si="47"/>
        <v>Less than Stake</v>
      </c>
      <c r="BN5" s="32" t="str">
        <f t="shared" si="48"/>
        <v>Single Win</v>
      </c>
      <c r="BO5">
        <f>(D5/Summary!$C$4-Summary!$C$8)^2*E5</f>
        <v>2178.1088999999993</v>
      </c>
      <c r="BP5">
        <f t="shared" si="43"/>
        <v>0</v>
      </c>
      <c r="BQ5">
        <f t="shared" si="44"/>
        <v>0</v>
      </c>
      <c r="BR5">
        <f t="shared" si="45"/>
        <v>0</v>
      </c>
      <c r="BS5">
        <f t="shared" si="46"/>
        <v>0</v>
      </c>
    </row>
    <row r="6" spans="1:71">
      <c r="B6" s="16">
        <f>Tiers!B7</f>
        <v>4</v>
      </c>
      <c r="C6" s="17" t="str">
        <f>Tiers!Y7</f>
        <v>main-3||||||||| x 1</v>
      </c>
      <c r="D6" s="18">
        <f>Tiers!C7</f>
        <v>1</v>
      </c>
      <c r="E6" s="19">
        <f>Frequency!E8</f>
        <v>66424</v>
      </c>
      <c r="F6" s="19">
        <f t="shared" si="0"/>
        <v>66424</v>
      </c>
      <c r="G6" s="19">
        <f>IF(Tiers!D7&gt;1,'Data Analysis'!E6,0)</f>
        <v>0</v>
      </c>
      <c r="H6" s="19">
        <f t="shared" si="1"/>
        <v>0</v>
      </c>
      <c r="I6" s="19">
        <f>IF(AND(D6/Summary!$C$4&gt;0, D6/Summary!$C$4&lt;5),E6,0) * D6</f>
        <v>66424</v>
      </c>
      <c r="J6" s="19">
        <f>IF(AND(D6/Summary!$C$4&gt;= 5, D6/Summary!$C$4&lt;10),E6,0) * D6</f>
        <v>0</v>
      </c>
      <c r="K6" s="19">
        <f>IF(AND(D6/Summary!$C$4&gt;=10, D6/Summary!$C$4&lt;25),E6,0)*D6</f>
        <v>0</v>
      </c>
      <c r="L6" s="19">
        <f>IF(D6/Summary!$C$4&gt;=25,E6,0)*D6</f>
        <v>0</v>
      </c>
      <c r="M6" s="27">
        <f>IF(AND(D6/Summary!$C$4&gt;0, D6/Summary!$C$4&lt;1),E6,0)</f>
        <v>0</v>
      </c>
      <c r="N6" s="27">
        <f t="shared" si="2"/>
        <v>0</v>
      </c>
      <c r="O6" s="27">
        <f>IF(D6/Summary!$C$4=1,1,0)*E6</f>
        <v>66424</v>
      </c>
      <c r="P6" s="27">
        <f t="shared" si="3"/>
        <v>66424</v>
      </c>
      <c r="Q6" s="27">
        <f>IF(AND(D6/Summary!$C$4&gt;1, D6/Summary!$C$4&lt;=2),1,0)*E6</f>
        <v>0</v>
      </c>
      <c r="R6" s="27">
        <f t="shared" si="4"/>
        <v>0</v>
      </c>
      <c r="S6" s="27">
        <f>IF(AND(D6/Summary!$C$4&gt;2,D6/Summary!$C$4&lt;=5),1,0)*E6</f>
        <v>0</v>
      </c>
      <c r="T6" s="27">
        <f t="shared" si="5"/>
        <v>0</v>
      </c>
      <c r="U6" s="27">
        <f>IF(AND(D6/Summary!$C$4&gt;5, D6/Summary!$C$4&lt;=10),1,0)*E6</f>
        <v>0</v>
      </c>
      <c r="V6" s="27">
        <f t="shared" si="6"/>
        <v>0</v>
      </c>
      <c r="W6" s="27">
        <f>IF(AND(D6/Summary!$C$4&gt;10, D6/Summary!$C$4&lt;=20),1,0)*E6</f>
        <v>0</v>
      </c>
      <c r="X6" s="27">
        <f t="shared" si="7"/>
        <v>0</v>
      </c>
      <c r="Y6" s="27">
        <f>IF(AND(D6/Summary!$C$4&gt;20, D6/Summary!$C$4&lt;=30),1,0)*E6</f>
        <v>0</v>
      </c>
      <c r="Z6" s="27">
        <f t="shared" si="8"/>
        <v>0</v>
      </c>
      <c r="AA6" s="27">
        <f>IF(AND(D6/Summary!$C$4&gt;30, D6/Summary!$C$4&lt;=50),1,0)*E6</f>
        <v>0</v>
      </c>
      <c r="AB6" s="27">
        <f t="shared" si="9"/>
        <v>0</v>
      </c>
      <c r="AC6" s="27">
        <f>IF(AND(D6/Summary!$C$4&gt;50, D6/Summary!$C$4&lt;=100),1,0)*E6</f>
        <v>0</v>
      </c>
      <c r="AD6" s="27">
        <f t="shared" si="10"/>
        <v>0</v>
      </c>
      <c r="AE6" s="27">
        <f>IF(D6/Summary!$C$4&gt;100,1,0)*E6</f>
        <v>0</v>
      </c>
      <c r="AF6" s="27">
        <f t="shared" si="11"/>
        <v>0</v>
      </c>
      <c r="AG6" s="19">
        <f t="shared" si="12"/>
        <v>0</v>
      </c>
      <c r="AH6" s="19">
        <f t="shared" si="13"/>
        <v>0</v>
      </c>
      <c r="AI6" s="19">
        <f t="shared" si="14"/>
        <v>0</v>
      </c>
      <c r="AJ6" s="27">
        <f t="shared" si="15"/>
        <v>0</v>
      </c>
      <c r="AK6" s="27">
        <f t="shared" si="16"/>
        <v>0</v>
      </c>
      <c r="AL6" s="27">
        <f t="shared" si="17"/>
        <v>0</v>
      </c>
      <c r="AM6">
        <f t="shared" si="18"/>
        <v>0</v>
      </c>
      <c r="AN6">
        <f t="shared" si="19"/>
        <v>0</v>
      </c>
      <c r="AO6">
        <f t="shared" si="20"/>
        <v>0</v>
      </c>
      <c r="AP6">
        <f t="shared" si="21"/>
        <v>0</v>
      </c>
      <c r="AQ6">
        <f t="shared" si="22"/>
        <v>0</v>
      </c>
      <c r="AR6">
        <f t="shared" si="23"/>
        <v>0</v>
      </c>
      <c r="AS6">
        <f t="shared" si="24"/>
        <v>0</v>
      </c>
      <c r="AT6">
        <f t="shared" si="25"/>
        <v>0</v>
      </c>
      <c r="AU6">
        <f t="shared" si="26"/>
        <v>0</v>
      </c>
      <c r="AV6">
        <f t="shared" si="27"/>
        <v>0</v>
      </c>
      <c r="AW6">
        <f t="shared" si="28"/>
        <v>0</v>
      </c>
      <c r="AX6">
        <f t="shared" si="29"/>
        <v>0</v>
      </c>
      <c r="AY6">
        <f t="shared" si="30"/>
        <v>0</v>
      </c>
      <c r="AZ6">
        <f t="shared" si="31"/>
        <v>0</v>
      </c>
      <c r="BA6">
        <f t="shared" si="32"/>
        <v>0</v>
      </c>
      <c r="BB6">
        <f t="shared" si="33"/>
        <v>0</v>
      </c>
      <c r="BC6">
        <f t="shared" si="34"/>
        <v>0</v>
      </c>
      <c r="BD6">
        <f t="shared" si="35"/>
        <v>0</v>
      </c>
      <c r="BE6">
        <f t="shared" si="36"/>
        <v>0</v>
      </c>
      <c r="BF6">
        <f t="shared" si="37"/>
        <v>0</v>
      </c>
      <c r="BG6">
        <f t="shared" si="38"/>
        <v>0</v>
      </c>
      <c r="BH6">
        <f t="shared" si="39"/>
        <v>0</v>
      </c>
      <c r="BI6">
        <f t="shared" si="40"/>
        <v>0</v>
      </c>
      <c r="BJ6">
        <f t="shared" si="41"/>
        <v>0</v>
      </c>
      <c r="BK6">
        <f t="shared" si="42"/>
        <v>0</v>
      </c>
      <c r="BL6">
        <v>0</v>
      </c>
      <c r="BM6" t="str">
        <f t="shared" si="47"/>
        <v>Stake Back</v>
      </c>
      <c r="BN6" s="32" t="str">
        <f t="shared" si="48"/>
        <v>Single Win</v>
      </c>
      <c r="BO6">
        <f>(D6/Summary!$C$4-Summary!$C$8)^2*E6</f>
        <v>1919.6536000000008</v>
      </c>
      <c r="BP6">
        <f t="shared" si="43"/>
        <v>0</v>
      </c>
      <c r="BQ6">
        <f t="shared" si="44"/>
        <v>0</v>
      </c>
      <c r="BR6">
        <f t="shared" si="45"/>
        <v>0</v>
      </c>
      <c r="BS6">
        <f t="shared" si="46"/>
        <v>0</v>
      </c>
    </row>
    <row r="7" spans="1:71">
      <c r="B7" s="16">
        <f>Tiers!B8</f>
        <v>5</v>
      </c>
      <c r="C7" s="17" t="str">
        <f>Tiers!Y8</f>
        <v>main-4||||||||| x 1</v>
      </c>
      <c r="D7" s="18">
        <f>Tiers!C8</f>
        <v>1.5</v>
      </c>
      <c r="E7" s="19">
        <f>Frequency!E9</f>
        <v>30000</v>
      </c>
      <c r="F7" s="19">
        <f t="shared" si="0"/>
        <v>45000</v>
      </c>
      <c r="G7" s="19">
        <f>IF(Tiers!D8&gt;1,'Data Analysis'!E7,0)</f>
        <v>0</v>
      </c>
      <c r="H7" s="19">
        <f t="shared" si="1"/>
        <v>0</v>
      </c>
      <c r="I7" s="19">
        <f>IF(AND(D7/Summary!$C$4&gt;0, D7/Summary!$C$4&lt;5),E7,0) * D7</f>
        <v>45000</v>
      </c>
      <c r="J7" s="19">
        <f>IF(AND(D7/Summary!$C$4&gt;= 5, D7/Summary!$C$4&lt;10),E7,0) * D7</f>
        <v>0</v>
      </c>
      <c r="K7" s="19">
        <f>IF(AND(D7/Summary!$C$4&gt;=10, D7/Summary!$C$4&lt;25),E7,0)*D7</f>
        <v>0</v>
      </c>
      <c r="L7" s="19">
        <f>IF(D7/Summary!$C$4&gt;=25,E7,0)*D7</f>
        <v>0</v>
      </c>
      <c r="M7" s="27">
        <f>IF(AND(D7/Summary!$C$4&gt;0, D7/Summary!$C$4&lt;1),E7,0)</f>
        <v>0</v>
      </c>
      <c r="N7" s="27">
        <f t="shared" si="2"/>
        <v>0</v>
      </c>
      <c r="O7" s="27">
        <f>IF(D7/Summary!$C$4=1,1,0)*E7</f>
        <v>0</v>
      </c>
      <c r="P7" s="27">
        <f t="shared" si="3"/>
        <v>0</v>
      </c>
      <c r="Q7" s="27">
        <f>IF(AND(D7/Summary!$C$4&gt;1, D7/Summary!$C$4&lt;=2),1,0)*E7</f>
        <v>30000</v>
      </c>
      <c r="R7" s="27">
        <f t="shared" si="4"/>
        <v>45000</v>
      </c>
      <c r="S7" s="27">
        <f>IF(AND(D7/Summary!$C$4&gt;2,D7/Summary!$C$4&lt;=5),1,0)*E7</f>
        <v>0</v>
      </c>
      <c r="T7" s="27">
        <f t="shared" si="5"/>
        <v>0</v>
      </c>
      <c r="U7" s="27">
        <f>IF(AND(D7/Summary!$C$4&gt;5, D7/Summary!$C$4&lt;=10),1,0)*E7</f>
        <v>0</v>
      </c>
      <c r="V7" s="27">
        <f t="shared" si="6"/>
        <v>0</v>
      </c>
      <c r="W7" s="27">
        <f>IF(AND(D7/Summary!$C$4&gt;10, D7/Summary!$C$4&lt;=20),1,0)*E7</f>
        <v>0</v>
      </c>
      <c r="X7" s="27">
        <f t="shared" si="7"/>
        <v>0</v>
      </c>
      <c r="Y7" s="27">
        <f>IF(AND(D7/Summary!$C$4&gt;20, D7/Summary!$C$4&lt;=30),1,0)*E7</f>
        <v>0</v>
      </c>
      <c r="Z7" s="27">
        <f t="shared" si="8"/>
        <v>0</v>
      </c>
      <c r="AA7" s="27">
        <f>IF(AND(D7/Summary!$C$4&gt;30, D7/Summary!$C$4&lt;=50),1,0)*E7</f>
        <v>0</v>
      </c>
      <c r="AB7" s="27">
        <f t="shared" si="9"/>
        <v>0</v>
      </c>
      <c r="AC7" s="27">
        <f>IF(AND(D7/Summary!$C$4&gt;50, D7/Summary!$C$4&lt;=100),1,0)*E7</f>
        <v>0</v>
      </c>
      <c r="AD7" s="27">
        <f t="shared" si="10"/>
        <v>0</v>
      </c>
      <c r="AE7" s="27">
        <f>IF(D7/Summary!$C$4&gt;100,1,0)*E7</f>
        <v>0</v>
      </c>
      <c r="AF7" s="27">
        <f t="shared" si="11"/>
        <v>0</v>
      </c>
      <c r="AG7" s="19">
        <f t="shared" si="12"/>
        <v>0</v>
      </c>
      <c r="AH7" s="19">
        <f t="shared" si="13"/>
        <v>0</v>
      </c>
      <c r="AI7" s="19">
        <f t="shared" si="14"/>
        <v>0</v>
      </c>
      <c r="AJ7" s="27">
        <f t="shared" si="15"/>
        <v>0</v>
      </c>
      <c r="AK7" s="27">
        <f t="shared" si="16"/>
        <v>0</v>
      </c>
      <c r="AL7" s="27">
        <f t="shared" si="17"/>
        <v>0</v>
      </c>
      <c r="AM7">
        <f t="shared" si="18"/>
        <v>0</v>
      </c>
      <c r="AN7">
        <f t="shared" si="19"/>
        <v>0</v>
      </c>
      <c r="AO7">
        <f t="shared" si="20"/>
        <v>0</v>
      </c>
      <c r="AP7">
        <f t="shared" si="21"/>
        <v>0</v>
      </c>
      <c r="AQ7">
        <f t="shared" si="22"/>
        <v>0</v>
      </c>
      <c r="AR7">
        <f t="shared" si="23"/>
        <v>0</v>
      </c>
      <c r="AS7">
        <f t="shared" si="24"/>
        <v>0</v>
      </c>
      <c r="AT7">
        <f t="shared" si="25"/>
        <v>0</v>
      </c>
      <c r="AU7">
        <f t="shared" si="26"/>
        <v>0</v>
      </c>
      <c r="AV7">
        <f t="shared" si="27"/>
        <v>0</v>
      </c>
      <c r="AW7">
        <f t="shared" si="28"/>
        <v>0</v>
      </c>
      <c r="AX7">
        <f t="shared" si="29"/>
        <v>0</v>
      </c>
      <c r="AY7">
        <f t="shared" si="30"/>
        <v>0</v>
      </c>
      <c r="AZ7">
        <f t="shared" si="31"/>
        <v>0</v>
      </c>
      <c r="BA7">
        <f t="shared" si="32"/>
        <v>0</v>
      </c>
      <c r="BB7">
        <f t="shared" si="33"/>
        <v>0</v>
      </c>
      <c r="BC7">
        <f t="shared" si="34"/>
        <v>0</v>
      </c>
      <c r="BD7">
        <f t="shared" si="35"/>
        <v>0</v>
      </c>
      <c r="BE7">
        <f t="shared" si="36"/>
        <v>0</v>
      </c>
      <c r="BF7">
        <f t="shared" si="37"/>
        <v>0</v>
      </c>
      <c r="BG7">
        <f t="shared" si="38"/>
        <v>0</v>
      </c>
      <c r="BH7">
        <f t="shared" si="39"/>
        <v>0</v>
      </c>
      <c r="BI7">
        <f t="shared" si="40"/>
        <v>0</v>
      </c>
      <c r="BJ7">
        <f t="shared" si="41"/>
        <v>0</v>
      </c>
      <c r="BK7">
        <f t="shared" si="42"/>
        <v>0</v>
      </c>
      <c r="BL7">
        <v>0</v>
      </c>
      <c r="BM7" t="str">
        <f t="shared" si="47"/>
        <v>Standard Win</v>
      </c>
      <c r="BN7" s="32" t="str">
        <f t="shared" si="48"/>
        <v>Single Win</v>
      </c>
      <c r="BO7">
        <f>(D7/Summary!$C$4-Summary!$C$8)^2*E7</f>
        <v>13467.000000000002</v>
      </c>
      <c r="BP7">
        <f t="shared" si="43"/>
        <v>0</v>
      </c>
      <c r="BQ7">
        <f t="shared" si="44"/>
        <v>0</v>
      </c>
      <c r="BR7">
        <f t="shared" si="45"/>
        <v>0</v>
      </c>
      <c r="BS7">
        <f t="shared" si="46"/>
        <v>0</v>
      </c>
    </row>
    <row r="8" spans="1:71">
      <c r="B8" s="16">
        <f>Tiers!B9</f>
        <v>6</v>
      </c>
      <c r="C8" s="17" t="str">
        <f>Tiers!Y9</f>
        <v>main-5||||||||| x 1</v>
      </c>
      <c r="D8" s="18">
        <f>Tiers!C9</f>
        <v>2</v>
      </c>
      <c r="E8" s="19">
        <f>Frequency!E10</f>
        <v>15000</v>
      </c>
      <c r="F8" s="19">
        <f t="shared" si="0"/>
        <v>30000</v>
      </c>
      <c r="G8" s="19">
        <f>IF(Tiers!D9&gt;1,'Data Analysis'!E8,0)</f>
        <v>0</v>
      </c>
      <c r="H8" s="19">
        <f t="shared" si="1"/>
        <v>0</v>
      </c>
      <c r="I8" s="19">
        <f>IF(AND(D8/Summary!$C$4&gt;0, D8/Summary!$C$4&lt;5),E8,0) * D8</f>
        <v>30000</v>
      </c>
      <c r="J8" s="19">
        <f>IF(AND(D8/Summary!$C$4&gt;= 5, D8/Summary!$C$4&lt;10),E8,0) * D8</f>
        <v>0</v>
      </c>
      <c r="K8" s="19">
        <f>IF(AND(D8/Summary!$C$4&gt;=10, D8/Summary!$C$4&lt;25),E8,0)*D8</f>
        <v>0</v>
      </c>
      <c r="L8" s="19">
        <f>IF(D8/Summary!$C$4&gt;=25,E8,0)*D8</f>
        <v>0</v>
      </c>
      <c r="M8" s="27">
        <f>IF(AND(D8/Summary!$C$4&gt;0, D8/Summary!$C$4&lt;1),E8,0)</f>
        <v>0</v>
      </c>
      <c r="N8" s="27">
        <f t="shared" si="2"/>
        <v>0</v>
      </c>
      <c r="O8" s="27">
        <f>IF(D8/Summary!$C$4=1,1,0)*E8</f>
        <v>0</v>
      </c>
      <c r="P8" s="27">
        <f t="shared" si="3"/>
        <v>0</v>
      </c>
      <c r="Q8" s="27">
        <f>IF(AND(D8/Summary!$C$4&gt;1, D8/Summary!$C$4&lt;=2),1,0)*E8</f>
        <v>15000</v>
      </c>
      <c r="R8" s="27">
        <f t="shared" si="4"/>
        <v>30000</v>
      </c>
      <c r="S8" s="27">
        <f>IF(AND(D8/Summary!$C$4&gt;2,D8/Summary!$C$4&lt;=5),1,0)*E8</f>
        <v>0</v>
      </c>
      <c r="T8" s="27">
        <f t="shared" si="5"/>
        <v>0</v>
      </c>
      <c r="U8" s="27">
        <f>IF(AND(D8/Summary!$C$4&gt;5, D8/Summary!$C$4&lt;=10),1,0)*E8</f>
        <v>0</v>
      </c>
      <c r="V8" s="27">
        <f t="shared" si="6"/>
        <v>0</v>
      </c>
      <c r="W8" s="27">
        <f>IF(AND(D8/Summary!$C$4&gt;10, D8/Summary!$C$4&lt;=20),1,0)*E8</f>
        <v>0</v>
      </c>
      <c r="X8" s="27">
        <f t="shared" si="7"/>
        <v>0</v>
      </c>
      <c r="Y8" s="27">
        <f>IF(AND(D8/Summary!$C$4&gt;20, D8/Summary!$C$4&lt;=30),1,0)*E8</f>
        <v>0</v>
      </c>
      <c r="Z8" s="27">
        <f t="shared" si="8"/>
        <v>0</v>
      </c>
      <c r="AA8" s="27">
        <f>IF(AND(D8/Summary!$C$4&gt;30, D8/Summary!$C$4&lt;=50),1,0)*E8</f>
        <v>0</v>
      </c>
      <c r="AB8" s="27">
        <f t="shared" si="9"/>
        <v>0</v>
      </c>
      <c r="AC8" s="27">
        <f>IF(AND(D8/Summary!$C$4&gt;50, D8/Summary!$C$4&lt;=100),1,0)*E8</f>
        <v>0</v>
      </c>
      <c r="AD8" s="27">
        <f t="shared" si="10"/>
        <v>0</v>
      </c>
      <c r="AE8" s="27">
        <f>IF(D8/Summary!$C$4&gt;100,1,0)*E8</f>
        <v>0</v>
      </c>
      <c r="AF8" s="27">
        <f t="shared" si="11"/>
        <v>0</v>
      </c>
      <c r="AG8" s="19">
        <f t="shared" si="12"/>
        <v>0</v>
      </c>
      <c r="AH8" s="19">
        <f t="shared" si="13"/>
        <v>0</v>
      </c>
      <c r="AI8" s="19">
        <f t="shared" si="14"/>
        <v>0</v>
      </c>
      <c r="AJ8" s="27">
        <f t="shared" si="15"/>
        <v>0</v>
      </c>
      <c r="AK8" s="27">
        <f t="shared" si="16"/>
        <v>0</v>
      </c>
      <c r="AL8" s="27">
        <f t="shared" si="17"/>
        <v>0</v>
      </c>
      <c r="AM8">
        <f t="shared" si="18"/>
        <v>0</v>
      </c>
      <c r="AN8">
        <f t="shared" si="19"/>
        <v>0</v>
      </c>
      <c r="AO8">
        <f t="shared" si="20"/>
        <v>0</v>
      </c>
      <c r="AP8">
        <f t="shared" si="21"/>
        <v>0</v>
      </c>
      <c r="AQ8">
        <f t="shared" si="22"/>
        <v>0</v>
      </c>
      <c r="AR8">
        <f t="shared" si="23"/>
        <v>0</v>
      </c>
      <c r="AS8">
        <f t="shared" si="24"/>
        <v>0</v>
      </c>
      <c r="AT8">
        <f t="shared" si="25"/>
        <v>0</v>
      </c>
      <c r="AU8">
        <f t="shared" si="26"/>
        <v>0</v>
      </c>
      <c r="AV8">
        <f t="shared" si="27"/>
        <v>0</v>
      </c>
      <c r="AW8">
        <f t="shared" si="28"/>
        <v>0</v>
      </c>
      <c r="AX8">
        <f t="shared" si="29"/>
        <v>0</v>
      </c>
      <c r="AY8">
        <f t="shared" si="30"/>
        <v>0</v>
      </c>
      <c r="AZ8">
        <f t="shared" si="31"/>
        <v>0</v>
      </c>
      <c r="BA8">
        <f t="shared" si="32"/>
        <v>0</v>
      </c>
      <c r="BB8">
        <f t="shared" si="33"/>
        <v>0</v>
      </c>
      <c r="BC8">
        <f t="shared" si="34"/>
        <v>0</v>
      </c>
      <c r="BD8">
        <f t="shared" si="35"/>
        <v>0</v>
      </c>
      <c r="BE8">
        <f t="shared" si="36"/>
        <v>0</v>
      </c>
      <c r="BF8">
        <f t="shared" si="37"/>
        <v>0</v>
      </c>
      <c r="BG8">
        <f t="shared" si="38"/>
        <v>0</v>
      </c>
      <c r="BH8">
        <f t="shared" si="39"/>
        <v>0</v>
      </c>
      <c r="BI8">
        <f t="shared" si="40"/>
        <v>0</v>
      </c>
      <c r="BJ8">
        <f t="shared" si="41"/>
        <v>0</v>
      </c>
      <c r="BK8">
        <f t="shared" si="42"/>
        <v>0</v>
      </c>
      <c r="BL8">
        <v>0</v>
      </c>
      <c r="BM8" t="str">
        <f t="shared" si="47"/>
        <v>Standard Win</v>
      </c>
      <c r="BN8" s="32" t="str">
        <f t="shared" si="48"/>
        <v>Single Win</v>
      </c>
      <c r="BO8">
        <f>(D8/Summary!$C$4-Summary!$C$8)^2*E8</f>
        <v>20533.499999999996</v>
      </c>
      <c r="BP8">
        <f t="shared" si="43"/>
        <v>0</v>
      </c>
      <c r="BQ8">
        <f t="shared" si="44"/>
        <v>0</v>
      </c>
      <c r="BR8">
        <f t="shared" si="45"/>
        <v>0</v>
      </c>
      <c r="BS8">
        <f t="shared" si="46"/>
        <v>0</v>
      </c>
    </row>
    <row r="9" spans="1:71">
      <c r="B9" s="16">
        <f>Tiers!B10</f>
        <v>7</v>
      </c>
      <c r="C9" s="17" t="str">
        <f>Tiers!Y10</f>
        <v>main-6||||||||| x 1</v>
      </c>
      <c r="D9" s="18">
        <f>Tiers!C10</f>
        <v>2.5</v>
      </c>
      <c r="E9" s="19">
        <f>Frequency!E11</f>
        <v>3000</v>
      </c>
      <c r="F9" s="19">
        <f t="shared" si="0"/>
        <v>7500</v>
      </c>
      <c r="G9" s="19">
        <f>IF(Tiers!D10&gt;1,'Data Analysis'!E9,0)</f>
        <v>0</v>
      </c>
      <c r="H9" s="19">
        <f t="shared" si="1"/>
        <v>0</v>
      </c>
      <c r="I9" s="19">
        <f>IF(AND(D9/Summary!$C$4&gt;0, D9/Summary!$C$4&lt;5),E9,0) * D9</f>
        <v>7500</v>
      </c>
      <c r="J9" s="19">
        <f>IF(AND(D9/Summary!$C$4&gt;= 5, D9/Summary!$C$4&lt;10),E9,0) * D9</f>
        <v>0</v>
      </c>
      <c r="K9" s="19">
        <f>IF(AND(D9/Summary!$C$4&gt;=10, D9/Summary!$C$4&lt;25),E9,0)*D9</f>
        <v>0</v>
      </c>
      <c r="L9" s="19">
        <f>IF(D9/Summary!$C$4&gt;=25,E9,0)*D9</f>
        <v>0</v>
      </c>
      <c r="M9" s="27">
        <f>IF(AND(D9/Summary!$C$4&gt;0, D9/Summary!$C$4&lt;1),E9,0)</f>
        <v>0</v>
      </c>
      <c r="N9" s="27">
        <f t="shared" si="2"/>
        <v>0</v>
      </c>
      <c r="O9" s="27">
        <f>IF(D9/Summary!$C$4=1,1,0)*E9</f>
        <v>0</v>
      </c>
      <c r="P9" s="27">
        <f t="shared" si="3"/>
        <v>0</v>
      </c>
      <c r="Q9" s="27">
        <f>IF(AND(D9/Summary!$C$4&gt;1, D9/Summary!$C$4&lt;=2),1,0)*E9</f>
        <v>0</v>
      </c>
      <c r="R9" s="27">
        <f t="shared" si="4"/>
        <v>0</v>
      </c>
      <c r="S9" s="27">
        <f>IF(AND(D9/Summary!$C$4&gt;2,D9/Summary!$C$4&lt;=5),1,0)*E9</f>
        <v>3000</v>
      </c>
      <c r="T9" s="27">
        <f t="shared" si="5"/>
        <v>7500</v>
      </c>
      <c r="U9" s="27">
        <f>IF(AND(D9/Summary!$C$4&gt;5, D9/Summary!$C$4&lt;=10),1,0)*E9</f>
        <v>0</v>
      </c>
      <c r="V9" s="27">
        <f t="shared" si="6"/>
        <v>0</v>
      </c>
      <c r="W9" s="27">
        <f>IF(AND(D9/Summary!$C$4&gt;10, D9/Summary!$C$4&lt;=20),1,0)*E9</f>
        <v>0</v>
      </c>
      <c r="X9" s="27">
        <f t="shared" si="7"/>
        <v>0</v>
      </c>
      <c r="Y9" s="27">
        <f>IF(AND(D9/Summary!$C$4&gt;20, D9/Summary!$C$4&lt;=30),1,0)*E9</f>
        <v>0</v>
      </c>
      <c r="Z9" s="27">
        <f t="shared" si="8"/>
        <v>0</v>
      </c>
      <c r="AA9" s="27">
        <f>IF(AND(D9/Summary!$C$4&gt;30, D9/Summary!$C$4&lt;=50),1,0)*E9</f>
        <v>0</v>
      </c>
      <c r="AB9" s="27">
        <f t="shared" si="9"/>
        <v>0</v>
      </c>
      <c r="AC9" s="27">
        <f>IF(AND(D9/Summary!$C$4&gt;50, D9/Summary!$C$4&lt;=100),1,0)*E9</f>
        <v>0</v>
      </c>
      <c r="AD9" s="27">
        <f t="shared" si="10"/>
        <v>0</v>
      </c>
      <c r="AE9" s="27">
        <f>IF(D9/Summary!$C$4&gt;100,1,0)*E9</f>
        <v>0</v>
      </c>
      <c r="AF9" s="27">
        <f t="shared" si="11"/>
        <v>0</v>
      </c>
      <c r="AG9" s="19">
        <f t="shared" si="12"/>
        <v>0</v>
      </c>
      <c r="AH9" s="19">
        <f t="shared" si="13"/>
        <v>0</v>
      </c>
      <c r="AI9" s="19">
        <f t="shared" si="14"/>
        <v>0</v>
      </c>
      <c r="AJ9" s="27">
        <f t="shared" si="15"/>
        <v>0</v>
      </c>
      <c r="AK9" s="27">
        <f t="shared" si="16"/>
        <v>0</v>
      </c>
      <c r="AL9" s="27">
        <f t="shared" si="17"/>
        <v>0</v>
      </c>
      <c r="AM9">
        <f t="shared" si="18"/>
        <v>0</v>
      </c>
      <c r="AN9">
        <f t="shared" si="19"/>
        <v>0</v>
      </c>
      <c r="AO9">
        <f t="shared" si="20"/>
        <v>0</v>
      </c>
      <c r="AP9">
        <f t="shared" si="21"/>
        <v>0</v>
      </c>
      <c r="AQ9">
        <f t="shared" si="22"/>
        <v>0</v>
      </c>
      <c r="AR9">
        <f t="shared" si="23"/>
        <v>0</v>
      </c>
      <c r="AS9">
        <f t="shared" si="24"/>
        <v>0</v>
      </c>
      <c r="AT9">
        <f t="shared" si="25"/>
        <v>0</v>
      </c>
      <c r="AU9">
        <f t="shared" si="26"/>
        <v>0</v>
      </c>
      <c r="AV9">
        <f t="shared" si="27"/>
        <v>0</v>
      </c>
      <c r="AW9">
        <f t="shared" si="28"/>
        <v>0</v>
      </c>
      <c r="AX9">
        <f t="shared" si="29"/>
        <v>0</v>
      </c>
      <c r="AY9">
        <f t="shared" si="30"/>
        <v>0</v>
      </c>
      <c r="AZ9">
        <f t="shared" si="31"/>
        <v>0</v>
      </c>
      <c r="BA9">
        <f t="shared" si="32"/>
        <v>0</v>
      </c>
      <c r="BB9">
        <f t="shared" si="33"/>
        <v>0</v>
      </c>
      <c r="BC9">
        <f t="shared" si="34"/>
        <v>0</v>
      </c>
      <c r="BD9">
        <f t="shared" si="35"/>
        <v>0</v>
      </c>
      <c r="BE9">
        <f t="shared" si="36"/>
        <v>0</v>
      </c>
      <c r="BF9">
        <f t="shared" si="37"/>
        <v>0</v>
      </c>
      <c r="BG9">
        <f t="shared" si="38"/>
        <v>0</v>
      </c>
      <c r="BH9">
        <f t="shared" si="39"/>
        <v>0</v>
      </c>
      <c r="BI9">
        <f t="shared" si="40"/>
        <v>0</v>
      </c>
      <c r="BJ9">
        <f t="shared" si="41"/>
        <v>0</v>
      </c>
      <c r="BK9">
        <f t="shared" si="42"/>
        <v>0</v>
      </c>
      <c r="BL9">
        <v>0</v>
      </c>
      <c r="BM9" t="str">
        <f t="shared" si="47"/>
        <v>Standard Win</v>
      </c>
      <c r="BN9" s="32" t="str">
        <f t="shared" si="48"/>
        <v>Single Win</v>
      </c>
      <c r="BO9">
        <f>(D9/Summary!$C$4-Summary!$C$8)^2*E9</f>
        <v>8366.6999999999989</v>
      </c>
      <c r="BP9">
        <f t="shared" si="43"/>
        <v>0</v>
      </c>
      <c r="BQ9">
        <f t="shared" si="44"/>
        <v>0</v>
      </c>
      <c r="BR9">
        <f t="shared" si="45"/>
        <v>0</v>
      </c>
      <c r="BS9">
        <f t="shared" si="46"/>
        <v>0</v>
      </c>
    </row>
    <row r="10" spans="1:71">
      <c r="B10" s="16">
        <f>Tiers!B11</f>
        <v>8</v>
      </c>
      <c r="C10" s="17" t="str">
        <f>Tiers!Y11</f>
        <v>main-7||||||||| x 1</v>
      </c>
      <c r="D10" s="18">
        <f>Tiers!C11</f>
        <v>3</v>
      </c>
      <c r="E10" s="19">
        <f>Frequency!E12</f>
        <v>1000</v>
      </c>
      <c r="F10" s="19">
        <f t="shared" si="0"/>
        <v>3000</v>
      </c>
      <c r="G10" s="19">
        <f>IF(Tiers!D11&gt;1,'Data Analysis'!E10,0)</f>
        <v>0</v>
      </c>
      <c r="H10" s="19">
        <f t="shared" si="1"/>
        <v>0</v>
      </c>
      <c r="I10" s="19">
        <f>IF(AND(D10/Summary!$C$4&gt;0, D10/Summary!$C$4&lt;5),E10,0) * D10</f>
        <v>3000</v>
      </c>
      <c r="J10" s="19">
        <f>IF(AND(D10/Summary!$C$4&gt;= 5, D10/Summary!$C$4&lt;10),E10,0) * D10</f>
        <v>0</v>
      </c>
      <c r="K10" s="19">
        <f>IF(AND(D10/Summary!$C$4&gt;=10, D10/Summary!$C$4&lt;25),E10,0)*D10</f>
        <v>0</v>
      </c>
      <c r="L10" s="19">
        <f>IF(D10/Summary!$C$4&gt;=25,E10,0)*D10</f>
        <v>0</v>
      </c>
      <c r="M10" s="27">
        <f>IF(AND(D10/Summary!$C$4&gt;0, D10/Summary!$C$4&lt;1),E10,0)</f>
        <v>0</v>
      </c>
      <c r="N10" s="27">
        <f t="shared" si="2"/>
        <v>0</v>
      </c>
      <c r="O10" s="27">
        <f>IF(D10/Summary!$C$4=1,1,0)*E10</f>
        <v>0</v>
      </c>
      <c r="P10" s="27">
        <f t="shared" si="3"/>
        <v>0</v>
      </c>
      <c r="Q10" s="27">
        <f>IF(AND(D10/Summary!$C$4&gt;1, D10/Summary!$C$4&lt;=2),1,0)*E10</f>
        <v>0</v>
      </c>
      <c r="R10" s="27">
        <f t="shared" si="4"/>
        <v>0</v>
      </c>
      <c r="S10" s="27">
        <f>IF(AND(D10/Summary!$C$4&gt;2,D10/Summary!$C$4&lt;=5),1,0)*E10</f>
        <v>1000</v>
      </c>
      <c r="T10" s="27">
        <f t="shared" si="5"/>
        <v>3000</v>
      </c>
      <c r="U10" s="27">
        <f>IF(AND(D10/Summary!$C$4&gt;5, D10/Summary!$C$4&lt;=10),1,0)*E10</f>
        <v>0</v>
      </c>
      <c r="V10" s="27">
        <f t="shared" si="6"/>
        <v>0</v>
      </c>
      <c r="W10" s="27">
        <f>IF(AND(D10/Summary!$C$4&gt;10, D10/Summary!$C$4&lt;=20),1,0)*E10</f>
        <v>0</v>
      </c>
      <c r="X10" s="27">
        <f t="shared" si="7"/>
        <v>0</v>
      </c>
      <c r="Y10" s="27">
        <f>IF(AND(D10/Summary!$C$4&gt;20, D10/Summary!$C$4&lt;=30),1,0)*E10</f>
        <v>0</v>
      </c>
      <c r="Z10" s="27">
        <f t="shared" si="8"/>
        <v>0</v>
      </c>
      <c r="AA10" s="27">
        <f>IF(AND(D10/Summary!$C$4&gt;30, D10/Summary!$C$4&lt;=50),1,0)*E10</f>
        <v>0</v>
      </c>
      <c r="AB10" s="27">
        <f t="shared" si="9"/>
        <v>0</v>
      </c>
      <c r="AC10" s="27">
        <f>IF(AND(D10/Summary!$C$4&gt;50, D10/Summary!$C$4&lt;=100),1,0)*E10</f>
        <v>0</v>
      </c>
      <c r="AD10" s="27">
        <f t="shared" si="10"/>
        <v>0</v>
      </c>
      <c r="AE10" s="27">
        <f>IF(D10/Summary!$C$4&gt;100,1,0)*E10</f>
        <v>0</v>
      </c>
      <c r="AF10" s="27">
        <f t="shared" si="11"/>
        <v>0</v>
      </c>
      <c r="AG10" s="19">
        <f t="shared" si="12"/>
        <v>0</v>
      </c>
      <c r="AH10" s="19">
        <f t="shared" si="13"/>
        <v>0</v>
      </c>
      <c r="AI10" s="19">
        <f t="shared" si="14"/>
        <v>0</v>
      </c>
      <c r="AJ10" s="27">
        <f t="shared" si="15"/>
        <v>0</v>
      </c>
      <c r="AK10" s="27">
        <f t="shared" si="16"/>
        <v>0</v>
      </c>
      <c r="AL10" s="27">
        <f t="shared" si="17"/>
        <v>0</v>
      </c>
      <c r="AM10">
        <f t="shared" si="18"/>
        <v>0</v>
      </c>
      <c r="AN10">
        <f t="shared" si="19"/>
        <v>0</v>
      </c>
      <c r="AO10">
        <f t="shared" si="20"/>
        <v>0</v>
      </c>
      <c r="AP10">
        <f t="shared" si="21"/>
        <v>0</v>
      </c>
      <c r="AQ10">
        <f t="shared" si="22"/>
        <v>0</v>
      </c>
      <c r="AR10">
        <f t="shared" si="23"/>
        <v>0</v>
      </c>
      <c r="AS10">
        <f t="shared" si="24"/>
        <v>0</v>
      </c>
      <c r="AT10">
        <f t="shared" si="25"/>
        <v>0</v>
      </c>
      <c r="AU10">
        <f t="shared" si="26"/>
        <v>0</v>
      </c>
      <c r="AV10">
        <f t="shared" si="27"/>
        <v>0</v>
      </c>
      <c r="AW10">
        <f t="shared" si="28"/>
        <v>0</v>
      </c>
      <c r="AX10">
        <f t="shared" si="29"/>
        <v>0</v>
      </c>
      <c r="AY10">
        <f t="shared" si="30"/>
        <v>0</v>
      </c>
      <c r="AZ10">
        <f t="shared" si="31"/>
        <v>0</v>
      </c>
      <c r="BA10">
        <f t="shared" si="32"/>
        <v>0</v>
      </c>
      <c r="BB10">
        <f t="shared" si="33"/>
        <v>0</v>
      </c>
      <c r="BC10">
        <f t="shared" si="34"/>
        <v>0</v>
      </c>
      <c r="BD10">
        <f t="shared" si="35"/>
        <v>0</v>
      </c>
      <c r="BE10">
        <f t="shared" si="36"/>
        <v>0</v>
      </c>
      <c r="BF10">
        <f t="shared" si="37"/>
        <v>0</v>
      </c>
      <c r="BG10">
        <f t="shared" si="38"/>
        <v>0</v>
      </c>
      <c r="BH10">
        <f t="shared" si="39"/>
        <v>0</v>
      </c>
      <c r="BI10">
        <f t="shared" si="40"/>
        <v>0</v>
      </c>
      <c r="BJ10">
        <f t="shared" si="41"/>
        <v>0</v>
      </c>
      <c r="BK10">
        <f t="shared" si="42"/>
        <v>0</v>
      </c>
      <c r="BL10">
        <v>0</v>
      </c>
      <c r="BM10" t="str">
        <f t="shared" si="47"/>
        <v>Standard Win</v>
      </c>
      <c r="BN10" s="32" t="str">
        <f t="shared" si="48"/>
        <v>Single Win</v>
      </c>
      <c r="BO10">
        <f>(D10/Summary!$C$4-Summary!$C$8)^2*E10</f>
        <v>4708.8999999999996</v>
      </c>
      <c r="BP10">
        <f t="shared" si="43"/>
        <v>0</v>
      </c>
      <c r="BQ10">
        <f t="shared" si="44"/>
        <v>0</v>
      </c>
      <c r="BR10">
        <f t="shared" si="45"/>
        <v>0</v>
      </c>
      <c r="BS10">
        <f t="shared" si="46"/>
        <v>0</v>
      </c>
    </row>
    <row r="11" spans="1:71">
      <c r="B11" s="16">
        <f>Tiers!B12</f>
        <v>9</v>
      </c>
      <c r="C11" s="17" t="str">
        <f>Tiers!Y12</f>
        <v>main-8||||||||| x 1</v>
      </c>
      <c r="D11" s="18">
        <f>Tiers!C12</f>
        <v>5</v>
      </c>
      <c r="E11" s="19">
        <f>Frequency!E13</f>
        <v>967</v>
      </c>
      <c r="F11" s="19">
        <f t="shared" si="0"/>
        <v>4835</v>
      </c>
      <c r="G11" s="19">
        <f>IF(Tiers!D12&gt;1,'Data Analysis'!E11,0)</f>
        <v>0</v>
      </c>
      <c r="H11" s="19">
        <f t="shared" si="1"/>
        <v>0</v>
      </c>
      <c r="I11" s="19">
        <f>IF(AND(D11/Summary!$C$4&gt;0, D11/Summary!$C$4&lt;5),E11,0) * D11</f>
        <v>0</v>
      </c>
      <c r="J11" s="19">
        <f>IF(AND(D11/Summary!$C$4&gt;= 5, D11/Summary!$C$4&lt;10),E11,0) * D11</f>
        <v>4835</v>
      </c>
      <c r="K11" s="19">
        <f>IF(AND(D11/Summary!$C$4&gt;=10, D11/Summary!$C$4&lt;25),E11,0)*D11</f>
        <v>0</v>
      </c>
      <c r="L11" s="19">
        <f>IF(D11/Summary!$C$4&gt;=25,E11,0)*D11</f>
        <v>0</v>
      </c>
      <c r="M11" s="27">
        <f>IF(AND(D11/Summary!$C$4&gt;0, D11/Summary!$C$4&lt;1),E11,0)</f>
        <v>0</v>
      </c>
      <c r="N11" s="27">
        <f t="shared" si="2"/>
        <v>0</v>
      </c>
      <c r="O11" s="27">
        <f>IF(D11/Summary!$C$4=1,1,0)*E11</f>
        <v>0</v>
      </c>
      <c r="P11" s="27">
        <f t="shared" si="3"/>
        <v>0</v>
      </c>
      <c r="Q11" s="27">
        <f>IF(AND(D11/Summary!$C$4&gt;1, D11/Summary!$C$4&lt;=2),1,0)*E11</f>
        <v>0</v>
      </c>
      <c r="R11" s="27">
        <f t="shared" si="4"/>
        <v>0</v>
      </c>
      <c r="S11" s="27">
        <f>IF(AND(D11/Summary!$C$4&gt;2,D11/Summary!$C$4&lt;=5),1,0)*E11</f>
        <v>967</v>
      </c>
      <c r="T11" s="27">
        <f t="shared" si="5"/>
        <v>4835</v>
      </c>
      <c r="U11" s="27">
        <f>IF(AND(D11/Summary!$C$4&gt;5, D11/Summary!$C$4&lt;=10),1,0)*E11</f>
        <v>0</v>
      </c>
      <c r="V11" s="27">
        <f t="shared" si="6"/>
        <v>0</v>
      </c>
      <c r="W11" s="27">
        <f>IF(AND(D11/Summary!$C$4&gt;10, D11/Summary!$C$4&lt;=20),1,0)*E11</f>
        <v>0</v>
      </c>
      <c r="X11" s="27">
        <f t="shared" si="7"/>
        <v>0</v>
      </c>
      <c r="Y11" s="27">
        <f>IF(AND(D11/Summary!$C$4&gt;20, D11/Summary!$C$4&lt;=30),1,0)*E11</f>
        <v>0</v>
      </c>
      <c r="Z11" s="27">
        <f t="shared" si="8"/>
        <v>0</v>
      </c>
      <c r="AA11" s="27">
        <f>IF(AND(D11/Summary!$C$4&gt;30, D11/Summary!$C$4&lt;=50),1,0)*E11</f>
        <v>0</v>
      </c>
      <c r="AB11" s="27">
        <f t="shared" si="9"/>
        <v>0</v>
      </c>
      <c r="AC11" s="27">
        <f>IF(AND(D11/Summary!$C$4&gt;50, D11/Summary!$C$4&lt;=100),1,0)*E11</f>
        <v>0</v>
      </c>
      <c r="AD11" s="27">
        <f t="shared" si="10"/>
        <v>0</v>
      </c>
      <c r="AE11" s="27">
        <f>IF(D11/Summary!$C$4&gt;100,1,0)*E11</f>
        <v>0</v>
      </c>
      <c r="AF11" s="27">
        <f t="shared" si="11"/>
        <v>0</v>
      </c>
      <c r="AG11" s="19">
        <f t="shared" si="12"/>
        <v>0</v>
      </c>
      <c r="AH11" s="19">
        <f t="shared" si="13"/>
        <v>0</v>
      </c>
      <c r="AI11" s="19">
        <f t="shared" si="14"/>
        <v>0</v>
      </c>
      <c r="AJ11" s="27">
        <f t="shared" si="15"/>
        <v>0</v>
      </c>
      <c r="AK11" s="27">
        <f t="shared" si="16"/>
        <v>0</v>
      </c>
      <c r="AL11" s="27">
        <f t="shared" si="17"/>
        <v>0</v>
      </c>
      <c r="AM11">
        <f t="shared" si="18"/>
        <v>0</v>
      </c>
      <c r="AN11">
        <f t="shared" si="19"/>
        <v>0</v>
      </c>
      <c r="AO11">
        <f t="shared" si="20"/>
        <v>0</v>
      </c>
      <c r="AP11">
        <f t="shared" si="21"/>
        <v>0</v>
      </c>
      <c r="AQ11">
        <f t="shared" si="22"/>
        <v>0</v>
      </c>
      <c r="AR11">
        <f t="shared" si="23"/>
        <v>0</v>
      </c>
      <c r="AS11">
        <f t="shared" si="24"/>
        <v>0</v>
      </c>
      <c r="AT11">
        <f t="shared" si="25"/>
        <v>0</v>
      </c>
      <c r="AU11">
        <f t="shared" si="26"/>
        <v>0</v>
      </c>
      <c r="AV11">
        <f t="shared" si="27"/>
        <v>0</v>
      </c>
      <c r="AW11">
        <f t="shared" si="28"/>
        <v>0</v>
      </c>
      <c r="AX11">
        <f t="shared" si="29"/>
        <v>0</v>
      </c>
      <c r="AY11">
        <f t="shared" si="30"/>
        <v>0</v>
      </c>
      <c r="AZ11">
        <f t="shared" si="31"/>
        <v>0</v>
      </c>
      <c r="BA11">
        <f t="shared" si="32"/>
        <v>0</v>
      </c>
      <c r="BB11">
        <f t="shared" si="33"/>
        <v>0</v>
      </c>
      <c r="BC11">
        <f t="shared" si="34"/>
        <v>0</v>
      </c>
      <c r="BD11">
        <f t="shared" si="35"/>
        <v>0</v>
      </c>
      <c r="BE11">
        <f t="shared" si="36"/>
        <v>0</v>
      </c>
      <c r="BF11">
        <f t="shared" si="37"/>
        <v>0</v>
      </c>
      <c r="BG11">
        <f t="shared" si="38"/>
        <v>0</v>
      </c>
      <c r="BH11">
        <f t="shared" si="39"/>
        <v>0</v>
      </c>
      <c r="BI11">
        <f t="shared" si="40"/>
        <v>0</v>
      </c>
      <c r="BJ11">
        <f t="shared" si="41"/>
        <v>0</v>
      </c>
      <c r="BK11">
        <f t="shared" si="42"/>
        <v>0</v>
      </c>
      <c r="BL11">
        <v>0</v>
      </c>
      <c r="BM11" t="str">
        <f t="shared" si="47"/>
        <v>Standard Win</v>
      </c>
      <c r="BN11" s="32" t="str">
        <f t="shared" si="48"/>
        <v>Single Win</v>
      </c>
      <c r="BO11">
        <f>(D11/Summary!$C$4-Summary!$C$8)^2*E11</f>
        <v>16815.066299999999</v>
      </c>
      <c r="BP11">
        <f t="shared" si="43"/>
        <v>0</v>
      </c>
      <c r="BQ11">
        <f t="shared" si="44"/>
        <v>0</v>
      </c>
      <c r="BR11">
        <f t="shared" si="45"/>
        <v>0</v>
      </c>
      <c r="BS11">
        <f t="shared" si="46"/>
        <v>0</v>
      </c>
    </row>
    <row r="12" spans="1:71">
      <c r="B12" s="16">
        <f>Tiers!B13</f>
        <v>10</v>
      </c>
      <c r="C12" s="17" t="str">
        <f>Tiers!Y13</f>
        <v>main-9||||||||| x 1</v>
      </c>
      <c r="D12" s="18">
        <f>Tiers!C13</f>
        <v>10</v>
      </c>
      <c r="E12" s="19">
        <f>Frequency!E14</f>
        <v>484</v>
      </c>
      <c r="F12" s="19">
        <f t="shared" si="0"/>
        <v>4840</v>
      </c>
      <c r="G12" s="19">
        <f>IF(Tiers!D13&gt;1,'Data Analysis'!E12,0)</f>
        <v>0</v>
      </c>
      <c r="H12" s="19">
        <f t="shared" si="1"/>
        <v>0</v>
      </c>
      <c r="I12" s="19">
        <f>IF(AND(D12/Summary!$C$4&gt;0, D12/Summary!$C$4&lt;5),E12,0) * D12</f>
        <v>0</v>
      </c>
      <c r="J12" s="19">
        <f>IF(AND(D12/Summary!$C$4&gt;= 5, D12/Summary!$C$4&lt;10),E12,0) * D12</f>
        <v>0</v>
      </c>
      <c r="K12" s="19">
        <f>IF(AND(D12/Summary!$C$4&gt;=10, D12/Summary!$C$4&lt;25),E12,0)*D12</f>
        <v>4840</v>
      </c>
      <c r="L12" s="19">
        <f>IF(D12/Summary!$C$4&gt;=25,E12,0)*D12</f>
        <v>0</v>
      </c>
      <c r="M12" s="27">
        <f>IF(AND(D12/Summary!$C$4&gt;0, D12/Summary!$C$4&lt;1),E12,0)</f>
        <v>0</v>
      </c>
      <c r="N12" s="27">
        <f t="shared" si="2"/>
        <v>0</v>
      </c>
      <c r="O12" s="27">
        <f>IF(D12/Summary!$C$4=1,1,0)*E12</f>
        <v>0</v>
      </c>
      <c r="P12" s="27">
        <f t="shared" si="3"/>
        <v>0</v>
      </c>
      <c r="Q12" s="27">
        <f>IF(AND(D12/Summary!$C$4&gt;1, D12/Summary!$C$4&lt;=2),1,0)*E12</f>
        <v>0</v>
      </c>
      <c r="R12" s="27">
        <f t="shared" si="4"/>
        <v>0</v>
      </c>
      <c r="S12" s="27">
        <f>IF(AND(D12/Summary!$C$4&gt;2,D12/Summary!$C$4&lt;=5),1,0)*E12</f>
        <v>0</v>
      </c>
      <c r="T12" s="27">
        <f t="shared" si="5"/>
        <v>0</v>
      </c>
      <c r="U12" s="27">
        <f>IF(AND(D12/Summary!$C$4&gt;5, D12/Summary!$C$4&lt;=10),1,0)*E12</f>
        <v>484</v>
      </c>
      <c r="V12" s="27">
        <f t="shared" si="6"/>
        <v>4840</v>
      </c>
      <c r="W12" s="27">
        <f>IF(AND(D12/Summary!$C$4&gt;10, D12/Summary!$C$4&lt;=20),1,0)*E12</f>
        <v>0</v>
      </c>
      <c r="X12" s="27">
        <f t="shared" si="7"/>
        <v>0</v>
      </c>
      <c r="Y12" s="27">
        <f>IF(AND(D12/Summary!$C$4&gt;20, D12/Summary!$C$4&lt;=30),1,0)*E12</f>
        <v>0</v>
      </c>
      <c r="Z12" s="27">
        <f t="shared" si="8"/>
        <v>0</v>
      </c>
      <c r="AA12" s="27">
        <f>IF(AND(D12/Summary!$C$4&gt;30, D12/Summary!$C$4&lt;=50),1,0)*E12</f>
        <v>0</v>
      </c>
      <c r="AB12" s="27">
        <f t="shared" si="9"/>
        <v>0</v>
      </c>
      <c r="AC12" s="27">
        <f>IF(AND(D12/Summary!$C$4&gt;50, D12/Summary!$C$4&lt;=100),1,0)*E12</f>
        <v>0</v>
      </c>
      <c r="AD12" s="27">
        <f t="shared" si="10"/>
        <v>0</v>
      </c>
      <c r="AE12" s="27">
        <f>IF(D12/Summary!$C$4&gt;100,1,0)*E12</f>
        <v>0</v>
      </c>
      <c r="AF12" s="27">
        <f t="shared" si="11"/>
        <v>0</v>
      </c>
      <c r="AG12" s="19">
        <f t="shared" si="12"/>
        <v>0</v>
      </c>
      <c r="AH12" s="19">
        <f t="shared" si="13"/>
        <v>0</v>
      </c>
      <c r="AI12" s="19">
        <f t="shared" si="14"/>
        <v>0</v>
      </c>
      <c r="AJ12" s="27">
        <f t="shared" si="15"/>
        <v>0</v>
      </c>
      <c r="AK12" s="27">
        <f t="shared" si="16"/>
        <v>0</v>
      </c>
      <c r="AL12" s="27">
        <f t="shared" si="17"/>
        <v>0</v>
      </c>
      <c r="AM12">
        <f t="shared" si="18"/>
        <v>0</v>
      </c>
      <c r="AN12">
        <f t="shared" si="19"/>
        <v>0</v>
      </c>
      <c r="AO12">
        <f t="shared" si="20"/>
        <v>0</v>
      </c>
      <c r="AP12">
        <f t="shared" si="21"/>
        <v>0</v>
      </c>
      <c r="AQ12">
        <f t="shared" si="22"/>
        <v>0</v>
      </c>
      <c r="AR12">
        <f t="shared" si="23"/>
        <v>0</v>
      </c>
      <c r="AS12">
        <f t="shared" si="24"/>
        <v>0</v>
      </c>
      <c r="AT12">
        <f t="shared" si="25"/>
        <v>0</v>
      </c>
      <c r="AU12">
        <f t="shared" si="26"/>
        <v>0</v>
      </c>
      <c r="AV12">
        <f t="shared" si="27"/>
        <v>0</v>
      </c>
      <c r="AW12">
        <f t="shared" si="28"/>
        <v>0</v>
      </c>
      <c r="AX12">
        <f t="shared" si="29"/>
        <v>0</v>
      </c>
      <c r="AY12">
        <f t="shared" si="30"/>
        <v>0</v>
      </c>
      <c r="AZ12">
        <f t="shared" si="31"/>
        <v>0</v>
      </c>
      <c r="BA12">
        <f t="shared" si="32"/>
        <v>0</v>
      </c>
      <c r="BB12">
        <f t="shared" si="33"/>
        <v>0</v>
      </c>
      <c r="BC12">
        <f t="shared" si="34"/>
        <v>0</v>
      </c>
      <c r="BD12">
        <f t="shared" si="35"/>
        <v>0</v>
      </c>
      <c r="BE12">
        <f t="shared" si="36"/>
        <v>0</v>
      </c>
      <c r="BF12">
        <f t="shared" si="37"/>
        <v>0</v>
      </c>
      <c r="BG12">
        <f t="shared" si="38"/>
        <v>0</v>
      </c>
      <c r="BH12">
        <f t="shared" si="39"/>
        <v>0</v>
      </c>
      <c r="BI12">
        <f t="shared" si="40"/>
        <v>0</v>
      </c>
      <c r="BJ12">
        <f t="shared" si="41"/>
        <v>0</v>
      </c>
      <c r="BK12">
        <f t="shared" si="42"/>
        <v>0</v>
      </c>
      <c r="BL12">
        <v>0</v>
      </c>
      <c r="BM12" t="str">
        <f t="shared" si="47"/>
        <v>Big Win</v>
      </c>
      <c r="BN12" s="32" t="str">
        <f t="shared" si="48"/>
        <v>Single Win</v>
      </c>
      <c r="BO12">
        <f>(D12/Summary!$C$4-Summary!$C$8)^2*E12</f>
        <v>40699.027600000001</v>
      </c>
      <c r="BP12">
        <f t="shared" si="43"/>
        <v>0</v>
      </c>
      <c r="BQ12">
        <f t="shared" si="44"/>
        <v>0</v>
      </c>
      <c r="BR12">
        <f t="shared" si="45"/>
        <v>0</v>
      </c>
      <c r="BS12">
        <f t="shared" si="46"/>
        <v>0</v>
      </c>
    </row>
    <row r="13" spans="1:71">
      <c r="B13" s="16">
        <f>Tiers!B14</f>
        <v>11</v>
      </c>
      <c r="C13" s="17" t="str">
        <f>Tiers!Y14</f>
        <v>main-10||||||||| x 1</v>
      </c>
      <c r="D13" s="18">
        <f>Tiers!C14</f>
        <v>1</v>
      </c>
      <c r="E13" s="19">
        <f>Frequency!E15</f>
        <v>67382</v>
      </c>
      <c r="F13" s="19">
        <f t="shared" si="0"/>
        <v>67382</v>
      </c>
      <c r="G13" s="19">
        <f>IF(Tiers!D14&gt;1,'Data Analysis'!E13,0)</f>
        <v>0</v>
      </c>
      <c r="H13" s="19">
        <f t="shared" si="1"/>
        <v>0</v>
      </c>
      <c r="I13" s="19">
        <f>IF(AND(D13/Summary!$C$4&gt;0, D13/Summary!$C$4&lt;5),E13,0) * D13</f>
        <v>67382</v>
      </c>
      <c r="J13" s="19">
        <f>IF(AND(D13/Summary!$C$4&gt;= 5, D13/Summary!$C$4&lt;10),E13,0) * D13</f>
        <v>0</v>
      </c>
      <c r="K13" s="19">
        <f>IF(AND(D13/Summary!$C$4&gt;=10, D13/Summary!$C$4&lt;25),E13,0)*D13</f>
        <v>0</v>
      </c>
      <c r="L13" s="19">
        <f>IF(D13/Summary!$C$4&gt;=25,E13,0)*D13</f>
        <v>0</v>
      </c>
      <c r="M13" s="27">
        <f>IF(AND(D13/Summary!$C$4&gt;0, D13/Summary!$C$4&lt;1),E13,0)</f>
        <v>0</v>
      </c>
      <c r="N13" s="27">
        <f t="shared" si="2"/>
        <v>0</v>
      </c>
      <c r="O13" s="27">
        <f>IF(D13/Summary!$C$4=1,1,0)*E13</f>
        <v>67382</v>
      </c>
      <c r="P13" s="27">
        <f t="shared" si="3"/>
        <v>67382</v>
      </c>
      <c r="Q13" s="27">
        <f>IF(AND(D13/Summary!$C$4&gt;1, D13/Summary!$C$4&lt;=2),1,0)*E13</f>
        <v>0</v>
      </c>
      <c r="R13" s="27">
        <f t="shared" si="4"/>
        <v>0</v>
      </c>
      <c r="S13" s="27">
        <f>IF(AND(D13/Summary!$C$4&gt;2,D13/Summary!$C$4&lt;=5),1,0)*E13</f>
        <v>0</v>
      </c>
      <c r="T13" s="27">
        <f t="shared" si="5"/>
        <v>0</v>
      </c>
      <c r="U13" s="27">
        <f>IF(AND(D13/Summary!$C$4&gt;5, D13/Summary!$C$4&lt;=10),1,0)*E13</f>
        <v>0</v>
      </c>
      <c r="V13" s="27">
        <f t="shared" si="6"/>
        <v>0</v>
      </c>
      <c r="W13" s="27">
        <f>IF(AND(D13/Summary!$C$4&gt;10, D13/Summary!$C$4&lt;=20),1,0)*E13</f>
        <v>0</v>
      </c>
      <c r="X13" s="27">
        <f t="shared" si="7"/>
        <v>0</v>
      </c>
      <c r="Y13" s="27">
        <f>IF(AND(D13/Summary!$C$4&gt;20, D13/Summary!$C$4&lt;=30),1,0)*E13</f>
        <v>0</v>
      </c>
      <c r="Z13" s="27">
        <f t="shared" si="8"/>
        <v>0</v>
      </c>
      <c r="AA13" s="27">
        <f>IF(AND(D13/Summary!$C$4&gt;30, D13/Summary!$C$4&lt;=50),1,0)*E13</f>
        <v>0</v>
      </c>
      <c r="AB13" s="27">
        <f t="shared" si="9"/>
        <v>0</v>
      </c>
      <c r="AC13" s="27">
        <f>IF(AND(D13/Summary!$C$4&gt;50, D13/Summary!$C$4&lt;=100),1,0)*E13</f>
        <v>0</v>
      </c>
      <c r="AD13" s="27">
        <f t="shared" si="10"/>
        <v>0</v>
      </c>
      <c r="AE13" s="27">
        <f>IF(D13/Summary!$C$4&gt;100,1,0)*E13</f>
        <v>0</v>
      </c>
      <c r="AF13" s="27">
        <f t="shared" si="11"/>
        <v>0</v>
      </c>
      <c r="AG13" s="19">
        <f t="shared" si="12"/>
        <v>0</v>
      </c>
      <c r="AH13" s="19">
        <f t="shared" si="13"/>
        <v>0</v>
      </c>
      <c r="AI13" s="19">
        <f t="shared" si="14"/>
        <v>0</v>
      </c>
      <c r="AJ13" s="27">
        <f t="shared" si="15"/>
        <v>0</v>
      </c>
      <c r="AK13" s="27">
        <f t="shared" si="16"/>
        <v>0</v>
      </c>
      <c r="AL13" s="27">
        <f t="shared" si="17"/>
        <v>0</v>
      </c>
      <c r="AM13">
        <f t="shared" si="18"/>
        <v>0</v>
      </c>
      <c r="AN13">
        <f t="shared" si="19"/>
        <v>0</v>
      </c>
      <c r="AO13">
        <f t="shared" si="20"/>
        <v>0</v>
      </c>
      <c r="AP13">
        <f t="shared" si="21"/>
        <v>0</v>
      </c>
      <c r="AQ13">
        <f t="shared" si="22"/>
        <v>0</v>
      </c>
      <c r="AR13">
        <f t="shared" si="23"/>
        <v>0</v>
      </c>
      <c r="AS13">
        <f t="shared" si="24"/>
        <v>0</v>
      </c>
      <c r="AT13">
        <f t="shared" si="25"/>
        <v>0</v>
      </c>
      <c r="AU13">
        <f t="shared" si="26"/>
        <v>0</v>
      </c>
      <c r="AV13">
        <f t="shared" si="27"/>
        <v>0</v>
      </c>
      <c r="AW13">
        <f t="shared" si="28"/>
        <v>0</v>
      </c>
      <c r="AX13">
        <f t="shared" si="29"/>
        <v>0</v>
      </c>
      <c r="AY13">
        <f t="shared" si="30"/>
        <v>0</v>
      </c>
      <c r="AZ13">
        <f t="shared" si="31"/>
        <v>0</v>
      </c>
      <c r="BA13">
        <f t="shared" si="32"/>
        <v>0</v>
      </c>
      <c r="BB13">
        <f t="shared" si="33"/>
        <v>0</v>
      </c>
      <c r="BC13">
        <f t="shared" si="34"/>
        <v>0</v>
      </c>
      <c r="BD13">
        <f t="shared" si="35"/>
        <v>0</v>
      </c>
      <c r="BE13">
        <f t="shared" si="36"/>
        <v>0</v>
      </c>
      <c r="BF13">
        <f t="shared" si="37"/>
        <v>0</v>
      </c>
      <c r="BG13">
        <f t="shared" si="38"/>
        <v>0</v>
      </c>
      <c r="BH13">
        <f t="shared" si="39"/>
        <v>0</v>
      </c>
      <c r="BI13">
        <f t="shared" si="40"/>
        <v>0</v>
      </c>
      <c r="BJ13">
        <f t="shared" si="41"/>
        <v>0</v>
      </c>
      <c r="BK13">
        <f t="shared" si="42"/>
        <v>0</v>
      </c>
      <c r="BL13">
        <v>0</v>
      </c>
      <c r="BM13" t="str">
        <f t="shared" si="47"/>
        <v>Stake Back</v>
      </c>
      <c r="BN13" s="32" t="str">
        <f t="shared" si="48"/>
        <v>Single Win</v>
      </c>
      <c r="BO13">
        <f>(D13/Summary!$C$4-Summary!$C$8)^2*E13</f>
        <v>1947.3398000000009</v>
      </c>
      <c r="BP13">
        <f t="shared" si="43"/>
        <v>0</v>
      </c>
      <c r="BQ13">
        <f t="shared" si="44"/>
        <v>0</v>
      </c>
      <c r="BR13">
        <f t="shared" si="45"/>
        <v>0</v>
      </c>
      <c r="BS13">
        <f t="shared" si="46"/>
        <v>0</v>
      </c>
    </row>
    <row r="14" spans="1:71">
      <c r="B14" s="16">
        <f>Tiers!B15</f>
        <v>12</v>
      </c>
      <c r="C14" s="17" t="str">
        <f>Tiers!Y15</f>
        <v>main-11||||||||| x 1</v>
      </c>
      <c r="D14" s="18">
        <f>Tiers!C15</f>
        <v>1.5</v>
      </c>
      <c r="E14" s="19">
        <f>Frequency!E16</f>
        <v>30000</v>
      </c>
      <c r="F14" s="19">
        <f t="shared" si="0"/>
        <v>45000</v>
      </c>
      <c r="G14" s="19">
        <f>IF(Tiers!D15&gt;1,'Data Analysis'!E14,0)</f>
        <v>0</v>
      </c>
      <c r="H14" s="19">
        <f t="shared" si="1"/>
        <v>0</v>
      </c>
      <c r="I14" s="19">
        <f>IF(AND(D14/Summary!$C$4&gt;0, D14/Summary!$C$4&lt;5),E14,0) * D14</f>
        <v>45000</v>
      </c>
      <c r="J14" s="19">
        <f>IF(AND(D14/Summary!$C$4&gt;= 5, D14/Summary!$C$4&lt;10),E14,0) * D14</f>
        <v>0</v>
      </c>
      <c r="K14" s="19">
        <f>IF(AND(D14/Summary!$C$4&gt;=10, D14/Summary!$C$4&lt;25),E14,0)*D14</f>
        <v>0</v>
      </c>
      <c r="L14" s="19">
        <f>IF(D14/Summary!$C$4&gt;=25,E14,0)*D14</f>
        <v>0</v>
      </c>
      <c r="M14" s="27">
        <f>IF(AND(D14/Summary!$C$4&gt;0, D14/Summary!$C$4&lt;1),E14,0)</f>
        <v>0</v>
      </c>
      <c r="N14" s="27">
        <f t="shared" si="2"/>
        <v>0</v>
      </c>
      <c r="O14" s="27">
        <f>IF(D14/Summary!$C$4=1,1,0)*E14</f>
        <v>0</v>
      </c>
      <c r="P14" s="27">
        <f t="shared" si="3"/>
        <v>0</v>
      </c>
      <c r="Q14" s="27">
        <f>IF(AND(D14/Summary!$C$4&gt;1, D14/Summary!$C$4&lt;=2),1,0)*E14</f>
        <v>30000</v>
      </c>
      <c r="R14" s="27">
        <f t="shared" si="4"/>
        <v>45000</v>
      </c>
      <c r="S14" s="27">
        <f>IF(AND(D14/Summary!$C$4&gt;2,D14/Summary!$C$4&lt;=5),1,0)*E14</f>
        <v>0</v>
      </c>
      <c r="T14" s="27">
        <f t="shared" si="5"/>
        <v>0</v>
      </c>
      <c r="U14" s="27">
        <f>IF(AND(D14/Summary!$C$4&gt;5, D14/Summary!$C$4&lt;=10),1,0)*E14</f>
        <v>0</v>
      </c>
      <c r="V14" s="27">
        <f t="shared" si="6"/>
        <v>0</v>
      </c>
      <c r="W14" s="27">
        <f>IF(AND(D14/Summary!$C$4&gt;10, D14/Summary!$C$4&lt;=20),1,0)*E14</f>
        <v>0</v>
      </c>
      <c r="X14" s="27">
        <f t="shared" si="7"/>
        <v>0</v>
      </c>
      <c r="Y14" s="27">
        <f>IF(AND(D14/Summary!$C$4&gt;20, D14/Summary!$C$4&lt;=30),1,0)*E14</f>
        <v>0</v>
      </c>
      <c r="Z14" s="27">
        <f t="shared" si="8"/>
        <v>0</v>
      </c>
      <c r="AA14" s="27">
        <f>IF(AND(D14/Summary!$C$4&gt;30, D14/Summary!$C$4&lt;=50),1,0)*E14</f>
        <v>0</v>
      </c>
      <c r="AB14" s="27">
        <f t="shared" si="9"/>
        <v>0</v>
      </c>
      <c r="AC14" s="27">
        <f>IF(AND(D14/Summary!$C$4&gt;50, D14/Summary!$C$4&lt;=100),1,0)*E14</f>
        <v>0</v>
      </c>
      <c r="AD14" s="27">
        <f t="shared" si="10"/>
        <v>0</v>
      </c>
      <c r="AE14" s="27">
        <f>IF(D14/Summary!$C$4&gt;100,1,0)*E14</f>
        <v>0</v>
      </c>
      <c r="AF14" s="27">
        <f t="shared" si="11"/>
        <v>0</v>
      </c>
      <c r="AG14" s="19">
        <f t="shared" si="12"/>
        <v>0</v>
      </c>
      <c r="AH14" s="19">
        <f t="shared" si="13"/>
        <v>0</v>
      </c>
      <c r="AI14" s="19">
        <f t="shared" si="14"/>
        <v>0</v>
      </c>
      <c r="AJ14" s="27">
        <f t="shared" si="15"/>
        <v>0</v>
      </c>
      <c r="AK14" s="27">
        <f t="shared" si="16"/>
        <v>0</v>
      </c>
      <c r="AL14" s="27">
        <f t="shared" si="17"/>
        <v>0</v>
      </c>
      <c r="AM14">
        <f t="shared" si="18"/>
        <v>0</v>
      </c>
      <c r="AN14">
        <f t="shared" si="19"/>
        <v>0</v>
      </c>
      <c r="AO14">
        <f t="shared" si="20"/>
        <v>0</v>
      </c>
      <c r="AP14">
        <f t="shared" si="21"/>
        <v>0</v>
      </c>
      <c r="AQ14">
        <f t="shared" si="22"/>
        <v>0</v>
      </c>
      <c r="AR14">
        <f t="shared" si="23"/>
        <v>0</v>
      </c>
      <c r="AS14">
        <f t="shared" si="24"/>
        <v>0</v>
      </c>
      <c r="AT14">
        <f t="shared" si="25"/>
        <v>0</v>
      </c>
      <c r="AU14">
        <f t="shared" si="26"/>
        <v>0</v>
      </c>
      <c r="AV14">
        <f t="shared" si="27"/>
        <v>0</v>
      </c>
      <c r="AW14">
        <f t="shared" si="28"/>
        <v>0</v>
      </c>
      <c r="AX14">
        <f t="shared" si="29"/>
        <v>0</v>
      </c>
      <c r="AY14">
        <f t="shared" si="30"/>
        <v>0</v>
      </c>
      <c r="AZ14">
        <f t="shared" si="31"/>
        <v>0</v>
      </c>
      <c r="BA14">
        <f t="shared" si="32"/>
        <v>0</v>
      </c>
      <c r="BB14">
        <f t="shared" si="33"/>
        <v>0</v>
      </c>
      <c r="BC14">
        <f t="shared" si="34"/>
        <v>0</v>
      </c>
      <c r="BD14">
        <f t="shared" si="35"/>
        <v>0</v>
      </c>
      <c r="BE14">
        <f t="shared" si="36"/>
        <v>0</v>
      </c>
      <c r="BF14">
        <f t="shared" si="37"/>
        <v>0</v>
      </c>
      <c r="BG14">
        <f t="shared" si="38"/>
        <v>0</v>
      </c>
      <c r="BH14">
        <f t="shared" si="39"/>
        <v>0</v>
      </c>
      <c r="BI14">
        <f t="shared" si="40"/>
        <v>0</v>
      </c>
      <c r="BJ14">
        <f t="shared" si="41"/>
        <v>0</v>
      </c>
      <c r="BK14">
        <f t="shared" si="42"/>
        <v>0</v>
      </c>
      <c r="BL14">
        <v>0</v>
      </c>
      <c r="BM14" t="str">
        <f t="shared" si="47"/>
        <v>Standard Win</v>
      </c>
      <c r="BN14" s="32" t="str">
        <f t="shared" si="48"/>
        <v>Single Win</v>
      </c>
      <c r="BO14">
        <f>(D14/Summary!$C$4-Summary!$C$8)^2*E14</f>
        <v>13467.000000000002</v>
      </c>
      <c r="BP14">
        <f t="shared" si="43"/>
        <v>0</v>
      </c>
      <c r="BQ14">
        <f t="shared" si="44"/>
        <v>0</v>
      </c>
      <c r="BR14">
        <f t="shared" si="45"/>
        <v>0</v>
      </c>
      <c r="BS14">
        <f t="shared" si="46"/>
        <v>0</v>
      </c>
    </row>
    <row r="15" spans="1:71">
      <c r="B15" s="16">
        <f>Tiers!B16</f>
        <v>13</v>
      </c>
      <c r="C15" s="17" t="str">
        <f>Tiers!Y16</f>
        <v>main-12||||||||| x 1</v>
      </c>
      <c r="D15" s="18">
        <f>Tiers!C16</f>
        <v>2</v>
      </c>
      <c r="E15" s="19">
        <f>Frequency!E17</f>
        <v>15000</v>
      </c>
      <c r="F15" s="19">
        <f t="shared" si="0"/>
        <v>30000</v>
      </c>
      <c r="G15" s="19">
        <f>IF(Tiers!D16&gt;1,'Data Analysis'!E15,0)</f>
        <v>0</v>
      </c>
      <c r="H15" s="19">
        <f t="shared" si="1"/>
        <v>0</v>
      </c>
      <c r="I15" s="19">
        <f>IF(AND(D15/Summary!$C$4&gt;0, D15/Summary!$C$4&lt;5),E15,0) * D15</f>
        <v>30000</v>
      </c>
      <c r="J15" s="19">
        <f>IF(AND(D15/Summary!$C$4&gt;= 5, D15/Summary!$C$4&lt;10),E15,0) * D15</f>
        <v>0</v>
      </c>
      <c r="K15" s="19">
        <f>IF(AND(D15/Summary!$C$4&gt;=10, D15/Summary!$C$4&lt;25),E15,0)*D15</f>
        <v>0</v>
      </c>
      <c r="L15" s="19">
        <f>IF(D15/Summary!$C$4&gt;=25,E15,0)*D15</f>
        <v>0</v>
      </c>
      <c r="M15" s="27">
        <f>IF(AND(D15/Summary!$C$4&gt;0, D15/Summary!$C$4&lt;1),E15,0)</f>
        <v>0</v>
      </c>
      <c r="N15" s="27">
        <f t="shared" si="2"/>
        <v>0</v>
      </c>
      <c r="O15" s="27">
        <f>IF(D15/Summary!$C$4=1,1,0)*E15</f>
        <v>0</v>
      </c>
      <c r="P15" s="27">
        <f t="shared" si="3"/>
        <v>0</v>
      </c>
      <c r="Q15" s="27">
        <f>IF(AND(D15/Summary!$C$4&gt;1, D15/Summary!$C$4&lt;=2),1,0)*E15</f>
        <v>15000</v>
      </c>
      <c r="R15" s="27">
        <f t="shared" si="4"/>
        <v>30000</v>
      </c>
      <c r="S15" s="27">
        <f>IF(AND(D15/Summary!$C$4&gt;2,D15/Summary!$C$4&lt;=5),1,0)*E15</f>
        <v>0</v>
      </c>
      <c r="T15" s="27">
        <f t="shared" si="5"/>
        <v>0</v>
      </c>
      <c r="U15" s="27">
        <f>IF(AND(D15/Summary!$C$4&gt;5, D15/Summary!$C$4&lt;=10),1,0)*E15</f>
        <v>0</v>
      </c>
      <c r="V15" s="27">
        <f t="shared" si="6"/>
        <v>0</v>
      </c>
      <c r="W15" s="27">
        <f>IF(AND(D15/Summary!$C$4&gt;10, D15/Summary!$C$4&lt;=20),1,0)*E15</f>
        <v>0</v>
      </c>
      <c r="X15" s="27">
        <f t="shared" si="7"/>
        <v>0</v>
      </c>
      <c r="Y15" s="27">
        <f>IF(AND(D15/Summary!$C$4&gt;20, D15/Summary!$C$4&lt;=30),1,0)*E15</f>
        <v>0</v>
      </c>
      <c r="Z15" s="27">
        <f t="shared" si="8"/>
        <v>0</v>
      </c>
      <c r="AA15" s="27">
        <f>IF(AND(D15/Summary!$C$4&gt;30, D15/Summary!$C$4&lt;=50),1,0)*E15</f>
        <v>0</v>
      </c>
      <c r="AB15" s="27">
        <f t="shared" si="9"/>
        <v>0</v>
      </c>
      <c r="AC15" s="27">
        <f>IF(AND(D15/Summary!$C$4&gt;50, D15/Summary!$C$4&lt;=100),1,0)*E15</f>
        <v>0</v>
      </c>
      <c r="AD15" s="27">
        <f t="shared" si="10"/>
        <v>0</v>
      </c>
      <c r="AE15" s="27">
        <f>IF(D15/Summary!$C$4&gt;100,1,0)*E15</f>
        <v>0</v>
      </c>
      <c r="AF15" s="27">
        <f t="shared" si="11"/>
        <v>0</v>
      </c>
      <c r="AG15" s="19">
        <f t="shared" si="12"/>
        <v>0</v>
      </c>
      <c r="AH15" s="19">
        <f t="shared" si="13"/>
        <v>0</v>
      </c>
      <c r="AI15" s="19">
        <f t="shared" si="14"/>
        <v>0</v>
      </c>
      <c r="AJ15" s="27">
        <f t="shared" si="15"/>
        <v>0</v>
      </c>
      <c r="AK15" s="27">
        <f t="shared" si="16"/>
        <v>0</v>
      </c>
      <c r="AL15" s="27">
        <f t="shared" si="17"/>
        <v>0</v>
      </c>
      <c r="AM15">
        <f t="shared" si="18"/>
        <v>0</v>
      </c>
      <c r="AN15">
        <f t="shared" si="19"/>
        <v>0</v>
      </c>
      <c r="AO15">
        <f t="shared" si="20"/>
        <v>0</v>
      </c>
      <c r="AP15">
        <f t="shared" si="21"/>
        <v>0</v>
      </c>
      <c r="AQ15">
        <f t="shared" si="22"/>
        <v>0</v>
      </c>
      <c r="AR15">
        <f t="shared" si="23"/>
        <v>0</v>
      </c>
      <c r="AS15">
        <f t="shared" si="24"/>
        <v>0</v>
      </c>
      <c r="AT15">
        <f t="shared" si="25"/>
        <v>0</v>
      </c>
      <c r="AU15">
        <f t="shared" si="26"/>
        <v>0</v>
      </c>
      <c r="AV15">
        <f t="shared" si="27"/>
        <v>0</v>
      </c>
      <c r="AW15">
        <f t="shared" si="28"/>
        <v>0</v>
      </c>
      <c r="AX15">
        <f t="shared" si="29"/>
        <v>0</v>
      </c>
      <c r="AY15">
        <f t="shared" si="30"/>
        <v>0</v>
      </c>
      <c r="AZ15">
        <f t="shared" si="31"/>
        <v>0</v>
      </c>
      <c r="BA15">
        <f t="shared" si="32"/>
        <v>0</v>
      </c>
      <c r="BB15">
        <f t="shared" si="33"/>
        <v>0</v>
      </c>
      <c r="BC15">
        <f t="shared" si="34"/>
        <v>0</v>
      </c>
      <c r="BD15">
        <f t="shared" si="35"/>
        <v>0</v>
      </c>
      <c r="BE15">
        <f t="shared" si="36"/>
        <v>0</v>
      </c>
      <c r="BF15">
        <f t="shared" si="37"/>
        <v>0</v>
      </c>
      <c r="BG15">
        <f t="shared" si="38"/>
        <v>0</v>
      </c>
      <c r="BH15">
        <f t="shared" si="39"/>
        <v>0</v>
      </c>
      <c r="BI15">
        <f t="shared" si="40"/>
        <v>0</v>
      </c>
      <c r="BJ15">
        <f t="shared" si="41"/>
        <v>0</v>
      </c>
      <c r="BK15">
        <f t="shared" si="42"/>
        <v>0</v>
      </c>
      <c r="BL15">
        <v>0</v>
      </c>
      <c r="BM15" t="str">
        <f t="shared" si="47"/>
        <v>Standard Win</v>
      </c>
      <c r="BN15" s="32" t="str">
        <f t="shared" si="48"/>
        <v>Single Win</v>
      </c>
      <c r="BO15">
        <f>(D15/Summary!$C$4-Summary!$C$8)^2*E15</f>
        <v>20533.499999999996</v>
      </c>
      <c r="BP15">
        <f t="shared" si="43"/>
        <v>0</v>
      </c>
      <c r="BQ15">
        <f t="shared" si="44"/>
        <v>0</v>
      </c>
      <c r="BR15">
        <f t="shared" si="45"/>
        <v>0</v>
      </c>
      <c r="BS15">
        <f t="shared" si="46"/>
        <v>0</v>
      </c>
    </row>
    <row r="16" spans="1:71">
      <c r="B16" s="16">
        <f>Tiers!B17</f>
        <v>14</v>
      </c>
      <c r="C16" s="17" t="str">
        <f>Tiers!Y17</f>
        <v>main-13||||||||| x 1</v>
      </c>
      <c r="D16" s="18">
        <f>Tiers!C17</f>
        <v>5</v>
      </c>
      <c r="E16" s="19">
        <f>Frequency!E18</f>
        <v>967</v>
      </c>
      <c r="F16" s="19">
        <f t="shared" si="0"/>
        <v>4835</v>
      </c>
      <c r="G16" s="19">
        <f>IF(Tiers!D17&gt;1,'Data Analysis'!E16,0)</f>
        <v>0</v>
      </c>
      <c r="H16" s="19">
        <f t="shared" si="1"/>
        <v>0</v>
      </c>
      <c r="I16" s="19">
        <f>IF(AND(D16/Summary!$C$4&gt;0, D16/Summary!$C$4&lt;5),E16,0) * D16</f>
        <v>0</v>
      </c>
      <c r="J16" s="19">
        <f>IF(AND(D16/Summary!$C$4&gt;= 5, D16/Summary!$C$4&lt;10),E16,0) * D16</f>
        <v>4835</v>
      </c>
      <c r="K16" s="19">
        <f>IF(AND(D16/Summary!$C$4&gt;=10, D16/Summary!$C$4&lt;25),E16,0)*D16</f>
        <v>0</v>
      </c>
      <c r="L16" s="19">
        <f>IF(D16/Summary!$C$4&gt;=25,E16,0)*D16</f>
        <v>0</v>
      </c>
      <c r="M16" s="27">
        <f>IF(AND(D16/Summary!$C$4&gt;0, D16/Summary!$C$4&lt;1),E16,0)</f>
        <v>0</v>
      </c>
      <c r="N16" s="27">
        <f t="shared" si="2"/>
        <v>0</v>
      </c>
      <c r="O16" s="27">
        <f>IF(D16/Summary!$C$4=1,1,0)*E16</f>
        <v>0</v>
      </c>
      <c r="P16" s="27">
        <f t="shared" si="3"/>
        <v>0</v>
      </c>
      <c r="Q16" s="27">
        <f>IF(AND(D16/Summary!$C$4&gt;1, D16/Summary!$C$4&lt;=2),1,0)*E16</f>
        <v>0</v>
      </c>
      <c r="R16" s="27">
        <f t="shared" si="4"/>
        <v>0</v>
      </c>
      <c r="S16" s="27">
        <f>IF(AND(D16/Summary!$C$4&gt;2,D16/Summary!$C$4&lt;=5),1,0)*E16</f>
        <v>967</v>
      </c>
      <c r="T16" s="27">
        <f t="shared" si="5"/>
        <v>4835</v>
      </c>
      <c r="U16" s="27">
        <f>IF(AND(D16/Summary!$C$4&gt;5, D16/Summary!$C$4&lt;=10),1,0)*E16</f>
        <v>0</v>
      </c>
      <c r="V16" s="27">
        <f t="shared" si="6"/>
        <v>0</v>
      </c>
      <c r="W16" s="27">
        <f>IF(AND(D16/Summary!$C$4&gt;10, D16/Summary!$C$4&lt;=20),1,0)*E16</f>
        <v>0</v>
      </c>
      <c r="X16" s="27">
        <f t="shared" si="7"/>
        <v>0</v>
      </c>
      <c r="Y16" s="27">
        <f>IF(AND(D16/Summary!$C$4&gt;20, D16/Summary!$C$4&lt;=30),1,0)*E16</f>
        <v>0</v>
      </c>
      <c r="Z16" s="27">
        <f t="shared" si="8"/>
        <v>0</v>
      </c>
      <c r="AA16" s="27">
        <f>IF(AND(D16/Summary!$C$4&gt;30, D16/Summary!$C$4&lt;=50),1,0)*E16</f>
        <v>0</v>
      </c>
      <c r="AB16" s="27">
        <f t="shared" si="9"/>
        <v>0</v>
      </c>
      <c r="AC16" s="27">
        <f>IF(AND(D16/Summary!$C$4&gt;50, D16/Summary!$C$4&lt;=100),1,0)*E16</f>
        <v>0</v>
      </c>
      <c r="AD16" s="27">
        <f t="shared" si="10"/>
        <v>0</v>
      </c>
      <c r="AE16" s="27">
        <f>IF(D16/Summary!$C$4&gt;100,1,0)*E16</f>
        <v>0</v>
      </c>
      <c r="AF16" s="27">
        <f t="shared" si="11"/>
        <v>0</v>
      </c>
      <c r="AG16" s="19">
        <f t="shared" si="12"/>
        <v>0</v>
      </c>
      <c r="AH16" s="19">
        <f t="shared" si="13"/>
        <v>0</v>
      </c>
      <c r="AI16" s="19">
        <f t="shared" si="14"/>
        <v>0</v>
      </c>
      <c r="AJ16" s="27">
        <f t="shared" si="15"/>
        <v>0</v>
      </c>
      <c r="AK16" s="27">
        <f t="shared" si="16"/>
        <v>0</v>
      </c>
      <c r="AL16" s="27">
        <f t="shared" si="17"/>
        <v>0</v>
      </c>
      <c r="AM16">
        <f t="shared" si="18"/>
        <v>0</v>
      </c>
      <c r="AN16">
        <f t="shared" si="19"/>
        <v>0</v>
      </c>
      <c r="AO16">
        <f t="shared" si="20"/>
        <v>0</v>
      </c>
      <c r="AP16">
        <f t="shared" si="21"/>
        <v>0</v>
      </c>
      <c r="AQ16">
        <f t="shared" si="22"/>
        <v>0</v>
      </c>
      <c r="AR16">
        <f t="shared" si="23"/>
        <v>0</v>
      </c>
      <c r="AS16">
        <f t="shared" si="24"/>
        <v>0</v>
      </c>
      <c r="AT16">
        <f t="shared" si="25"/>
        <v>0</v>
      </c>
      <c r="AU16">
        <f t="shared" si="26"/>
        <v>0</v>
      </c>
      <c r="AV16">
        <f t="shared" si="27"/>
        <v>0</v>
      </c>
      <c r="AW16">
        <f t="shared" si="28"/>
        <v>0</v>
      </c>
      <c r="AX16">
        <f t="shared" si="29"/>
        <v>0</v>
      </c>
      <c r="AY16">
        <f t="shared" si="30"/>
        <v>0</v>
      </c>
      <c r="AZ16">
        <f t="shared" si="31"/>
        <v>0</v>
      </c>
      <c r="BA16">
        <f t="shared" si="32"/>
        <v>0</v>
      </c>
      <c r="BB16">
        <f t="shared" si="33"/>
        <v>0</v>
      </c>
      <c r="BC16">
        <f t="shared" si="34"/>
        <v>0</v>
      </c>
      <c r="BD16">
        <f t="shared" si="35"/>
        <v>0</v>
      </c>
      <c r="BE16">
        <f t="shared" si="36"/>
        <v>0</v>
      </c>
      <c r="BF16">
        <f t="shared" si="37"/>
        <v>0</v>
      </c>
      <c r="BG16">
        <f t="shared" si="38"/>
        <v>0</v>
      </c>
      <c r="BH16">
        <f t="shared" si="39"/>
        <v>0</v>
      </c>
      <c r="BI16">
        <f t="shared" si="40"/>
        <v>0</v>
      </c>
      <c r="BJ16">
        <f t="shared" si="41"/>
        <v>0</v>
      </c>
      <c r="BK16">
        <f t="shared" si="42"/>
        <v>0</v>
      </c>
      <c r="BL16">
        <v>0</v>
      </c>
      <c r="BM16" t="str">
        <f t="shared" si="47"/>
        <v>Standard Win</v>
      </c>
      <c r="BN16" s="32" t="str">
        <f t="shared" si="48"/>
        <v>Single Win</v>
      </c>
      <c r="BO16">
        <f>(D16/Summary!$C$4-Summary!$C$8)^2*E16</f>
        <v>16815.066299999999</v>
      </c>
      <c r="BP16">
        <f t="shared" si="43"/>
        <v>0</v>
      </c>
      <c r="BQ16">
        <f t="shared" si="44"/>
        <v>0</v>
      </c>
      <c r="BR16">
        <f t="shared" si="45"/>
        <v>0</v>
      </c>
      <c r="BS16">
        <f t="shared" si="46"/>
        <v>0</v>
      </c>
    </row>
    <row r="17" spans="2:71">
      <c r="B17" s="16">
        <f>Tiers!B18</f>
        <v>15</v>
      </c>
      <c r="C17" s="17" t="str">
        <f>Tiers!Y18</f>
        <v>main-14||||||||| x 1</v>
      </c>
      <c r="D17" s="18">
        <f>Tiers!C18</f>
        <v>10</v>
      </c>
      <c r="E17" s="19">
        <f>Frequency!E19</f>
        <v>484</v>
      </c>
      <c r="F17" s="19">
        <f t="shared" si="0"/>
        <v>4840</v>
      </c>
      <c r="G17" s="19">
        <f>IF(Tiers!D18&gt;1,'Data Analysis'!E17,0)</f>
        <v>0</v>
      </c>
      <c r="H17" s="19">
        <f t="shared" si="1"/>
        <v>0</v>
      </c>
      <c r="I17" s="19">
        <f>IF(AND(D17/Summary!$C$4&gt;0, D17/Summary!$C$4&lt;5),E17,0) * D17</f>
        <v>0</v>
      </c>
      <c r="J17" s="19">
        <f>IF(AND(D17/Summary!$C$4&gt;= 5, D17/Summary!$C$4&lt;10),E17,0) * D17</f>
        <v>0</v>
      </c>
      <c r="K17" s="19">
        <f>IF(AND(D17/Summary!$C$4&gt;=10, D17/Summary!$C$4&lt;25),E17,0)*D17</f>
        <v>4840</v>
      </c>
      <c r="L17" s="19">
        <f>IF(D17/Summary!$C$4&gt;=25,E17,0)*D17</f>
        <v>0</v>
      </c>
      <c r="M17" s="27">
        <f>IF(AND(D17/Summary!$C$4&gt;0, D17/Summary!$C$4&lt;1),E17,0)</f>
        <v>0</v>
      </c>
      <c r="N17" s="27">
        <f t="shared" si="2"/>
        <v>0</v>
      </c>
      <c r="O17" s="27">
        <f>IF(D17/Summary!$C$4=1,1,0)*E17</f>
        <v>0</v>
      </c>
      <c r="P17" s="27">
        <f t="shared" si="3"/>
        <v>0</v>
      </c>
      <c r="Q17" s="27">
        <f>IF(AND(D17/Summary!$C$4&gt;1, D17/Summary!$C$4&lt;=2),1,0)*E17</f>
        <v>0</v>
      </c>
      <c r="R17" s="27">
        <f t="shared" si="4"/>
        <v>0</v>
      </c>
      <c r="S17" s="27">
        <f>IF(AND(D17/Summary!$C$4&gt;2,D17/Summary!$C$4&lt;=5),1,0)*E17</f>
        <v>0</v>
      </c>
      <c r="T17" s="27">
        <f t="shared" si="5"/>
        <v>0</v>
      </c>
      <c r="U17" s="27">
        <f>IF(AND(D17/Summary!$C$4&gt;5, D17/Summary!$C$4&lt;=10),1,0)*E17</f>
        <v>484</v>
      </c>
      <c r="V17" s="27">
        <f t="shared" si="6"/>
        <v>4840</v>
      </c>
      <c r="W17" s="27">
        <f>IF(AND(D17/Summary!$C$4&gt;10, D17/Summary!$C$4&lt;=20),1,0)*E17</f>
        <v>0</v>
      </c>
      <c r="X17" s="27">
        <f t="shared" si="7"/>
        <v>0</v>
      </c>
      <c r="Y17" s="27">
        <f>IF(AND(D17/Summary!$C$4&gt;20, D17/Summary!$C$4&lt;=30),1,0)*E17</f>
        <v>0</v>
      </c>
      <c r="Z17" s="27">
        <f t="shared" si="8"/>
        <v>0</v>
      </c>
      <c r="AA17" s="27">
        <f>IF(AND(D17/Summary!$C$4&gt;30, D17/Summary!$C$4&lt;=50),1,0)*E17</f>
        <v>0</v>
      </c>
      <c r="AB17" s="27">
        <f t="shared" si="9"/>
        <v>0</v>
      </c>
      <c r="AC17" s="27">
        <f>IF(AND(D17/Summary!$C$4&gt;50, D17/Summary!$C$4&lt;=100),1,0)*E17</f>
        <v>0</v>
      </c>
      <c r="AD17" s="27">
        <f t="shared" si="10"/>
        <v>0</v>
      </c>
      <c r="AE17" s="27">
        <f>IF(D17/Summary!$C$4&gt;100,1,0)*E17</f>
        <v>0</v>
      </c>
      <c r="AF17" s="27">
        <f t="shared" si="11"/>
        <v>0</v>
      </c>
      <c r="AG17" s="19">
        <f t="shared" si="12"/>
        <v>0</v>
      </c>
      <c r="AH17" s="19">
        <f t="shared" si="13"/>
        <v>0</v>
      </c>
      <c r="AI17" s="19">
        <f t="shared" si="14"/>
        <v>0</v>
      </c>
      <c r="AJ17" s="27">
        <f t="shared" si="15"/>
        <v>0</v>
      </c>
      <c r="AK17" s="27">
        <f t="shared" si="16"/>
        <v>0</v>
      </c>
      <c r="AL17" s="27">
        <f t="shared" si="17"/>
        <v>0</v>
      </c>
      <c r="AM17">
        <f t="shared" si="18"/>
        <v>0</v>
      </c>
      <c r="AN17">
        <f t="shared" si="19"/>
        <v>0</v>
      </c>
      <c r="AO17">
        <f t="shared" si="20"/>
        <v>0</v>
      </c>
      <c r="AP17">
        <f t="shared" si="21"/>
        <v>0</v>
      </c>
      <c r="AQ17">
        <f t="shared" si="22"/>
        <v>0</v>
      </c>
      <c r="AR17">
        <f t="shared" si="23"/>
        <v>0</v>
      </c>
      <c r="AS17">
        <f t="shared" si="24"/>
        <v>0</v>
      </c>
      <c r="AT17">
        <f t="shared" si="25"/>
        <v>0</v>
      </c>
      <c r="AU17">
        <f t="shared" si="26"/>
        <v>0</v>
      </c>
      <c r="AV17">
        <f t="shared" si="27"/>
        <v>0</v>
      </c>
      <c r="AW17">
        <f t="shared" si="28"/>
        <v>0</v>
      </c>
      <c r="AX17">
        <f t="shared" si="29"/>
        <v>0</v>
      </c>
      <c r="AY17">
        <f t="shared" si="30"/>
        <v>0</v>
      </c>
      <c r="AZ17">
        <f t="shared" si="31"/>
        <v>0</v>
      </c>
      <c r="BA17">
        <f t="shared" si="32"/>
        <v>0</v>
      </c>
      <c r="BB17">
        <f t="shared" si="33"/>
        <v>0</v>
      </c>
      <c r="BC17">
        <f t="shared" si="34"/>
        <v>0</v>
      </c>
      <c r="BD17">
        <f t="shared" si="35"/>
        <v>0</v>
      </c>
      <c r="BE17">
        <f t="shared" si="36"/>
        <v>0</v>
      </c>
      <c r="BF17">
        <f t="shared" si="37"/>
        <v>0</v>
      </c>
      <c r="BG17">
        <f t="shared" si="38"/>
        <v>0</v>
      </c>
      <c r="BH17">
        <f t="shared" si="39"/>
        <v>0</v>
      </c>
      <c r="BI17">
        <f t="shared" si="40"/>
        <v>0</v>
      </c>
      <c r="BJ17">
        <f t="shared" si="41"/>
        <v>0</v>
      </c>
      <c r="BK17">
        <f t="shared" si="42"/>
        <v>0</v>
      </c>
      <c r="BL17">
        <v>0</v>
      </c>
      <c r="BM17" t="str">
        <f t="shared" si="47"/>
        <v>Big Win</v>
      </c>
      <c r="BN17" s="32" t="str">
        <f t="shared" si="48"/>
        <v>Single Win</v>
      </c>
      <c r="BO17">
        <f>(D17/Summary!$C$4-Summary!$C$8)^2*E17</f>
        <v>40699.027600000001</v>
      </c>
      <c r="BP17">
        <f t="shared" si="43"/>
        <v>0</v>
      </c>
      <c r="BQ17">
        <f t="shared" si="44"/>
        <v>0</v>
      </c>
      <c r="BR17">
        <f t="shared" si="45"/>
        <v>0</v>
      </c>
      <c r="BS17">
        <f t="shared" si="46"/>
        <v>0</v>
      </c>
    </row>
    <row r="18" spans="2:71">
      <c r="B18" s="16">
        <f>Tiers!B19</f>
        <v>16</v>
      </c>
      <c r="C18" s="17" t="str">
        <f>Tiers!Y19</f>
        <v>main-15||||||||| x 1</v>
      </c>
      <c r="D18" s="18">
        <f>Tiers!C19</f>
        <v>15</v>
      </c>
      <c r="E18" s="19">
        <f>Frequency!E20</f>
        <v>323</v>
      </c>
      <c r="F18" s="19">
        <f t="shared" si="0"/>
        <v>4845</v>
      </c>
      <c r="G18" s="19">
        <f>IF(Tiers!D19&gt;1,'Data Analysis'!E18,0)</f>
        <v>0</v>
      </c>
      <c r="H18" s="19">
        <f t="shared" si="1"/>
        <v>0</v>
      </c>
      <c r="I18" s="19">
        <f>IF(AND(D18/Summary!$C$4&gt;0, D18/Summary!$C$4&lt;5),E18,0) * D18</f>
        <v>0</v>
      </c>
      <c r="J18" s="19">
        <f>IF(AND(D18/Summary!$C$4&gt;= 5, D18/Summary!$C$4&lt;10),E18,0) * D18</f>
        <v>0</v>
      </c>
      <c r="K18" s="19">
        <f>IF(AND(D18/Summary!$C$4&gt;=10, D18/Summary!$C$4&lt;25),E18,0)*D18</f>
        <v>4845</v>
      </c>
      <c r="L18" s="19">
        <f>IF(D18/Summary!$C$4&gt;=25,E18,0)*D18</f>
        <v>0</v>
      </c>
      <c r="M18" s="27">
        <f>IF(AND(D18/Summary!$C$4&gt;0, D18/Summary!$C$4&lt;1),E18,0)</f>
        <v>0</v>
      </c>
      <c r="N18" s="27">
        <f t="shared" si="2"/>
        <v>0</v>
      </c>
      <c r="O18" s="27">
        <f>IF(D18/Summary!$C$4=1,1,0)*E18</f>
        <v>0</v>
      </c>
      <c r="P18" s="27">
        <f t="shared" si="3"/>
        <v>0</v>
      </c>
      <c r="Q18" s="27">
        <f>IF(AND(D18/Summary!$C$4&gt;1, D18/Summary!$C$4&lt;=2),1,0)*E18</f>
        <v>0</v>
      </c>
      <c r="R18" s="27">
        <f t="shared" si="4"/>
        <v>0</v>
      </c>
      <c r="S18" s="27">
        <f>IF(AND(D18/Summary!$C$4&gt;2,D18/Summary!$C$4&lt;=5),1,0)*E18</f>
        <v>0</v>
      </c>
      <c r="T18" s="27">
        <f t="shared" si="5"/>
        <v>0</v>
      </c>
      <c r="U18" s="27">
        <f>IF(AND(D18/Summary!$C$4&gt;5, D18/Summary!$C$4&lt;=10),1,0)*E18</f>
        <v>0</v>
      </c>
      <c r="V18" s="27">
        <f t="shared" si="6"/>
        <v>0</v>
      </c>
      <c r="W18" s="27">
        <f>IF(AND(D18/Summary!$C$4&gt;10, D18/Summary!$C$4&lt;=20),1,0)*E18</f>
        <v>323</v>
      </c>
      <c r="X18" s="27">
        <f t="shared" si="7"/>
        <v>4845</v>
      </c>
      <c r="Y18" s="27">
        <f>IF(AND(D18/Summary!$C$4&gt;20, D18/Summary!$C$4&lt;=30),1,0)*E18</f>
        <v>0</v>
      </c>
      <c r="Z18" s="27">
        <f t="shared" si="8"/>
        <v>0</v>
      </c>
      <c r="AA18" s="27">
        <f>IF(AND(D18/Summary!$C$4&gt;30, D18/Summary!$C$4&lt;=50),1,0)*E18</f>
        <v>0</v>
      </c>
      <c r="AB18" s="27">
        <f t="shared" si="9"/>
        <v>0</v>
      </c>
      <c r="AC18" s="27">
        <f>IF(AND(D18/Summary!$C$4&gt;50, D18/Summary!$C$4&lt;=100),1,0)*E18</f>
        <v>0</v>
      </c>
      <c r="AD18" s="27">
        <f t="shared" si="10"/>
        <v>0</v>
      </c>
      <c r="AE18" s="27">
        <f>IF(D18/Summary!$C$4&gt;100,1,0)*E18</f>
        <v>0</v>
      </c>
      <c r="AF18" s="27">
        <f t="shared" si="11"/>
        <v>0</v>
      </c>
      <c r="AG18" s="19">
        <f t="shared" si="12"/>
        <v>0</v>
      </c>
      <c r="AH18" s="19">
        <f t="shared" si="13"/>
        <v>0</v>
      </c>
      <c r="AI18" s="19">
        <f t="shared" si="14"/>
        <v>0</v>
      </c>
      <c r="AJ18" s="27">
        <f t="shared" si="15"/>
        <v>0</v>
      </c>
      <c r="AK18" s="27">
        <f t="shared" si="16"/>
        <v>0</v>
      </c>
      <c r="AL18" s="27">
        <f t="shared" si="17"/>
        <v>0</v>
      </c>
      <c r="AM18">
        <f t="shared" si="18"/>
        <v>0</v>
      </c>
      <c r="AN18">
        <f t="shared" si="19"/>
        <v>0</v>
      </c>
      <c r="AO18">
        <f t="shared" si="20"/>
        <v>0</v>
      </c>
      <c r="AP18">
        <f t="shared" si="21"/>
        <v>0</v>
      </c>
      <c r="AQ18">
        <f t="shared" si="22"/>
        <v>0</v>
      </c>
      <c r="AR18">
        <f t="shared" si="23"/>
        <v>0</v>
      </c>
      <c r="AS18">
        <f t="shared" si="24"/>
        <v>0</v>
      </c>
      <c r="AT18">
        <f t="shared" si="25"/>
        <v>0</v>
      </c>
      <c r="AU18">
        <f t="shared" si="26"/>
        <v>0</v>
      </c>
      <c r="AV18">
        <f t="shared" si="27"/>
        <v>0</v>
      </c>
      <c r="AW18">
        <f t="shared" si="28"/>
        <v>0</v>
      </c>
      <c r="AX18">
        <f t="shared" si="29"/>
        <v>0</v>
      </c>
      <c r="AY18">
        <f t="shared" si="30"/>
        <v>0</v>
      </c>
      <c r="AZ18">
        <f t="shared" si="31"/>
        <v>0</v>
      </c>
      <c r="BA18">
        <f t="shared" si="32"/>
        <v>0</v>
      </c>
      <c r="BB18">
        <f t="shared" si="33"/>
        <v>0</v>
      </c>
      <c r="BC18">
        <f t="shared" si="34"/>
        <v>0</v>
      </c>
      <c r="BD18">
        <f t="shared" si="35"/>
        <v>0</v>
      </c>
      <c r="BE18">
        <f t="shared" si="36"/>
        <v>0</v>
      </c>
      <c r="BF18">
        <f t="shared" si="37"/>
        <v>0</v>
      </c>
      <c r="BG18">
        <f t="shared" si="38"/>
        <v>0</v>
      </c>
      <c r="BH18">
        <f t="shared" si="39"/>
        <v>0</v>
      </c>
      <c r="BI18">
        <f t="shared" si="40"/>
        <v>0</v>
      </c>
      <c r="BJ18">
        <f t="shared" si="41"/>
        <v>0</v>
      </c>
      <c r="BK18">
        <f t="shared" si="42"/>
        <v>0</v>
      </c>
      <c r="BL18">
        <v>0</v>
      </c>
      <c r="BM18" t="str">
        <f t="shared" si="47"/>
        <v>Big Win</v>
      </c>
      <c r="BN18" s="32" t="str">
        <f t="shared" si="48"/>
        <v>Single Win</v>
      </c>
      <c r="BO18">
        <f>(D18/Summary!$C$4-Summary!$C$8)^2*E18</f>
        <v>64854.814699999995</v>
      </c>
      <c r="BP18">
        <f t="shared" si="43"/>
        <v>0</v>
      </c>
      <c r="BQ18">
        <f t="shared" si="44"/>
        <v>0</v>
      </c>
      <c r="BR18">
        <f t="shared" si="45"/>
        <v>0</v>
      </c>
      <c r="BS18">
        <f t="shared" si="46"/>
        <v>0</v>
      </c>
    </row>
    <row r="19" spans="2:71">
      <c r="B19" s="16">
        <f>Tiers!B20</f>
        <v>17</v>
      </c>
      <c r="C19" s="17" t="str">
        <f>Tiers!Y20</f>
        <v>main-16||||||||| x 1</v>
      </c>
      <c r="D19" s="18">
        <f>Tiers!C20</f>
        <v>20</v>
      </c>
      <c r="E19" s="19">
        <f>Frequency!E21</f>
        <v>145</v>
      </c>
      <c r="F19" s="19">
        <f t="shared" si="0"/>
        <v>2900</v>
      </c>
      <c r="G19" s="19">
        <f>IF(Tiers!D20&gt;1,'Data Analysis'!E19,0)</f>
        <v>0</v>
      </c>
      <c r="H19" s="19">
        <f t="shared" si="1"/>
        <v>0</v>
      </c>
      <c r="I19" s="19">
        <f>IF(AND(D19/Summary!$C$4&gt;0, D19/Summary!$C$4&lt;5),E19,0) * D19</f>
        <v>0</v>
      </c>
      <c r="J19" s="19">
        <f>IF(AND(D19/Summary!$C$4&gt;= 5, D19/Summary!$C$4&lt;10),E19,0) * D19</f>
        <v>0</v>
      </c>
      <c r="K19" s="19">
        <f>IF(AND(D19/Summary!$C$4&gt;=10, D19/Summary!$C$4&lt;25),E19,0)*D19</f>
        <v>2900</v>
      </c>
      <c r="L19" s="19">
        <f>IF(D19/Summary!$C$4&gt;=25,E19,0)*D19</f>
        <v>0</v>
      </c>
      <c r="M19" s="27">
        <f>IF(AND(D19/Summary!$C$4&gt;0, D19/Summary!$C$4&lt;1),E19,0)</f>
        <v>0</v>
      </c>
      <c r="N19" s="27">
        <f t="shared" si="2"/>
        <v>0</v>
      </c>
      <c r="O19" s="27">
        <f>IF(D19/Summary!$C$4=1,1,0)*E19</f>
        <v>0</v>
      </c>
      <c r="P19" s="27">
        <f t="shared" si="3"/>
        <v>0</v>
      </c>
      <c r="Q19" s="27">
        <f>IF(AND(D19/Summary!$C$4&gt;1, D19/Summary!$C$4&lt;=2),1,0)*E19</f>
        <v>0</v>
      </c>
      <c r="R19" s="27">
        <f t="shared" si="4"/>
        <v>0</v>
      </c>
      <c r="S19" s="27">
        <f>IF(AND(D19/Summary!$C$4&gt;2,D19/Summary!$C$4&lt;=5),1,0)*E19</f>
        <v>0</v>
      </c>
      <c r="T19" s="27">
        <f t="shared" si="5"/>
        <v>0</v>
      </c>
      <c r="U19" s="27">
        <f>IF(AND(D19/Summary!$C$4&gt;5, D19/Summary!$C$4&lt;=10),1,0)*E19</f>
        <v>0</v>
      </c>
      <c r="V19" s="27">
        <f t="shared" si="6"/>
        <v>0</v>
      </c>
      <c r="W19" s="27">
        <f>IF(AND(D19/Summary!$C$4&gt;10, D19/Summary!$C$4&lt;=20),1,0)*E19</f>
        <v>145</v>
      </c>
      <c r="X19" s="27">
        <f t="shared" si="7"/>
        <v>2900</v>
      </c>
      <c r="Y19" s="27">
        <f>IF(AND(D19/Summary!$C$4&gt;20, D19/Summary!$C$4&lt;=30),1,0)*E19</f>
        <v>0</v>
      </c>
      <c r="Z19" s="27">
        <f t="shared" si="8"/>
        <v>0</v>
      </c>
      <c r="AA19" s="27">
        <f>IF(AND(D19/Summary!$C$4&gt;30, D19/Summary!$C$4&lt;=50),1,0)*E19</f>
        <v>0</v>
      </c>
      <c r="AB19" s="27">
        <f t="shared" si="9"/>
        <v>0</v>
      </c>
      <c r="AC19" s="27">
        <f>IF(AND(D19/Summary!$C$4&gt;50, D19/Summary!$C$4&lt;=100),1,0)*E19</f>
        <v>0</v>
      </c>
      <c r="AD19" s="27">
        <f t="shared" si="10"/>
        <v>0</v>
      </c>
      <c r="AE19" s="27">
        <f>IF(D19/Summary!$C$4&gt;100,1,0)*E19</f>
        <v>0</v>
      </c>
      <c r="AF19" s="27">
        <f t="shared" si="11"/>
        <v>0</v>
      </c>
      <c r="AG19" s="19">
        <f t="shared" si="12"/>
        <v>0</v>
      </c>
      <c r="AH19" s="19">
        <f t="shared" si="13"/>
        <v>0</v>
      </c>
      <c r="AI19" s="19">
        <f t="shared" si="14"/>
        <v>0</v>
      </c>
      <c r="AJ19" s="27">
        <f t="shared" si="15"/>
        <v>0</v>
      </c>
      <c r="AK19" s="27">
        <f t="shared" si="16"/>
        <v>0</v>
      </c>
      <c r="AL19" s="27">
        <f t="shared" si="17"/>
        <v>0</v>
      </c>
      <c r="AM19">
        <f t="shared" si="18"/>
        <v>0</v>
      </c>
      <c r="AN19">
        <f t="shared" si="19"/>
        <v>0</v>
      </c>
      <c r="AO19">
        <f t="shared" si="20"/>
        <v>0</v>
      </c>
      <c r="AP19">
        <f t="shared" si="21"/>
        <v>0</v>
      </c>
      <c r="AQ19">
        <f t="shared" si="22"/>
        <v>0</v>
      </c>
      <c r="AR19">
        <f t="shared" si="23"/>
        <v>0</v>
      </c>
      <c r="AS19">
        <f t="shared" si="24"/>
        <v>0</v>
      </c>
      <c r="AT19">
        <f t="shared" si="25"/>
        <v>0</v>
      </c>
      <c r="AU19">
        <f t="shared" si="26"/>
        <v>0</v>
      </c>
      <c r="AV19">
        <f t="shared" si="27"/>
        <v>0</v>
      </c>
      <c r="AW19">
        <f t="shared" si="28"/>
        <v>0</v>
      </c>
      <c r="AX19">
        <f t="shared" si="29"/>
        <v>0</v>
      </c>
      <c r="AY19">
        <f t="shared" si="30"/>
        <v>0</v>
      </c>
      <c r="AZ19">
        <f t="shared" si="31"/>
        <v>0</v>
      </c>
      <c r="BA19">
        <f t="shared" si="32"/>
        <v>0</v>
      </c>
      <c r="BB19">
        <f t="shared" si="33"/>
        <v>0</v>
      </c>
      <c r="BC19">
        <f t="shared" si="34"/>
        <v>0</v>
      </c>
      <c r="BD19">
        <f t="shared" si="35"/>
        <v>0</v>
      </c>
      <c r="BE19">
        <f t="shared" si="36"/>
        <v>0</v>
      </c>
      <c r="BF19">
        <f t="shared" si="37"/>
        <v>0</v>
      </c>
      <c r="BG19">
        <f t="shared" si="38"/>
        <v>0</v>
      </c>
      <c r="BH19">
        <f t="shared" si="39"/>
        <v>0</v>
      </c>
      <c r="BI19">
        <f t="shared" si="40"/>
        <v>0</v>
      </c>
      <c r="BJ19">
        <f t="shared" si="41"/>
        <v>0</v>
      </c>
      <c r="BK19">
        <f t="shared" si="42"/>
        <v>0</v>
      </c>
      <c r="BL19">
        <v>0</v>
      </c>
      <c r="BM19" t="str">
        <f t="shared" si="47"/>
        <v>Big Win</v>
      </c>
      <c r="BN19" s="32" t="str">
        <f t="shared" si="48"/>
        <v>Single Win</v>
      </c>
      <c r="BO19">
        <f>(D19/Summary!$C$4-Summary!$C$8)^2*E19</f>
        <v>53285.890500000009</v>
      </c>
      <c r="BP19">
        <f t="shared" si="43"/>
        <v>0</v>
      </c>
      <c r="BQ19">
        <f t="shared" si="44"/>
        <v>0</v>
      </c>
      <c r="BR19">
        <f t="shared" si="45"/>
        <v>0</v>
      </c>
      <c r="BS19">
        <f t="shared" si="46"/>
        <v>0</v>
      </c>
    </row>
    <row r="20" spans="2:71">
      <c r="B20" s="16">
        <f>Tiers!B21</f>
        <v>18</v>
      </c>
      <c r="C20" s="17" t="str">
        <f>Tiers!Y21</f>
        <v>main-17||||||||| x 1</v>
      </c>
      <c r="D20" s="18">
        <f>Tiers!C21</f>
        <v>50</v>
      </c>
      <c r="E20" s="19">
        <f>Frequency!E22</f>
        <v>10</v>
      </c>
      <c r="F20" s="19">
        <f t="shared" si="0"/>
        <v>500</v>
      </c>
      <c r="G20" s="19">
        <f>IF(Tiers!D21&gt;1,'Data Analysis'!E20,0)</f>
        <v>0</v>
      </c>
      <c r="H20" s="19">
        <f t="shared" si="1"/>
        <v>0</v>
      </c>
      <c r="I20" s="19">
        <f>IF(AND(D20/Summary!$C$4&gt;0, D20/Summary!$C$4&lt;5),E20,0) * D20</f>
        <v>0</v>
      </c>
      <c r="J20" s="19">
        <f>IF(AND(D20/Summary!$C$4&gt;= 5, D20/Summary!$C$4&lt;10),E20,0) * D20</f>
        <v>0</v>
      </c>
      <c r="K20" s="19">
        <f>IF(AND(D20/Summary!$C$4&gt;=10, D20/Summary!$C$4&lt;25),E20,0)*D20</f>
        <v>0</v>
      </c>
      <c r="L20" s="19">
        <f>IF(D20/Summary!$C$4&gt;=25,E20,0)*D20</f>
        <v>500</v>
      </c>
      <c r="M20" s="27">
        <f>IF(AND(D20/Summary!$C$4&gt;0, D20/Summary!$C$4&lt;1),E20,0)</f>
        <v>0</v>
      </c>
      <c r="N20" s="27">
        <f t="shared" si="2"/>
        <v>0</v>
      </c>
      <c r="O20" s="27">
        <f>IF(D20/Summary!$C$4=1,1,0)*E20</f>
        <v>0</v>
      </c>
      <c r="P20" s="27">
        <f t="shared" si="3"/>
        <v>0</v>
      </c>
      <c r="Q20" s="27">
        <f>IF(AND(D20/Summary!$C$4&gt;1, D20/Summary!$C$4&lt;=2),1,0)*E20</f>
        <v>0</v>
      </c>
      <c r="R20" s="27">
        <f t="shared" si="4"/>
        <v>0</v>
      </c>
      <c r="S20" s="27">
        <f>IF(AND(D20/Summary!$C$4&gt;2,D20/Summary!$C$4&lt;=5),1,0)*E20</f>
        <v>0</v>
      </c>
      <c r="T20" s="27">
        <f t="shared" si="5"/>
        <v>0</v>
      </c>
      <c r="U20" s="27">
        <f>IF(AND(D20/Summary!$C$4&gt;5, D20/Summary!$C$4&lt;=10),1,0)*E20</f>
        <v>0</v>
      </c>
      <c r="V20" s="27">
        <f t="shared" si="6"/>
        <v>0</v>
      </c>
      <c r="W20" s="27">
        <f>IF(AND(D20/Summary!$C$4&gt;10, D20/Summary!$C$4&lt;=20),1,0)*E20</f>
        <v>0</v>
      </c>
      <c r="X20" s="27">
        <f t="shared" si="7"/>
        <v>0</v>
      </c>
      <c r="Y20" s="27">
        <f>IF(AND(D20/Summary!$C$4&gt;20, D20/Summary!$C$4&lt;=30),1,0)*E20</f>
        <v>0</v>
      </c>
      <c r="Z20" s="27">
        <f t="shared" si="8"/>
        <v>0</v>
      </c>
      <c r="AA20" s="27">
        <f>IF(AND(D20/Summary!$C$4&gt;30, D20/Summary!$C$4&lt;=50),1,0)*E20</f>
        <v>10</v>
      </c>
      <c r="AB20" s="27">
        <f t="shared" si="9"/>
        <v>500</v>
      </c>
      <c r="AC20" s="27">
        <f>IF(AND(D20/Summary!$C$4&gt;50, D20/Summary!$C$4&lt;=100),1,0)*E20</f>
        <v>0</v>
      </c>
      <c r="AD20" s="27">
        <f t="shared" si="10"/>
        <v>0</v>
      </c>
      <c r="AE20" s="27">
        <f>IF(D20/Summary!$C$4&gt;100,1,0)*E20</f>
        <v>0</v>
      </c>
      <c r="AF20" s="27">
        <f t="shared" si="11"/>
        <v>0</v>
      </c>
      <c r="AG20" s="19">
        <f t="shared" si="12"/>
        <v>0</v>
      </c>
      <c r="AH20" s="19">
        <f t="shared" si="13"/>
        <v>0</v>
      </c>
      <c r="AI20" s="19">
        <f t="shared" si="14"/>
        <v>0</v>
      </c>
      <c r="AJ20" s="27">
        <f t="shared" si="15"/>
        <v>0</v>
      </c>
      <c r="AK20" s="27">
        <f t="shared" si="16"/>
        <v>0</v>
      </c>
      <c r="AL20" s="27">
        <f t="shared" si="17"/>
        <v>0</v>
      </c>
      <c r="AM20">
        <f t="shared" si="18"/>
        <v>0</v>
      </c>
      <c r="AN20">
        <f t="shared" si="19"/>
        <v>0</v>
      </c>
      <c r="AO20">
        <f t="shared" si="20"/>
        <v>0</v>
      </c>
      <c r="AP20">
        <f t="shared" si="21"/>
        <v>0</v>
      </c>
      <c r="AQ20">
        <f t="shared" si="22"/>
        <v>0</v>
      </c>
      <c r="AR20">
        <f t="shared" si="23"/>
        <v>0</v>
      </c>
      <c r="AS20">
        <f t="shared" si="24"/>
        <v>0</v>
      </c>
      <c r="AT20">
        <f t="shared" si="25"/>
        <v>0</v>
      </c>
      <c r="AU20">
        <f t="shared" si="26"/>
        <v>0</v>
      </c>
      <c r="AV20">
        <f t="shared" si="27"/>
        <v>0</v>
      </c>
      <c r="AW20">
        <f t="shared" si="28"/>
        <v>0</v>
      </c>
      <c r="AX20">
        <f t="shared" si="29"/>
        <v>0</v>
      </c>
      <c r="AY20">
        <f t="shared" si="30"/>
        <v>0</v>
      </c>
      <c r="AZ20">
        <f t="shared" si="31"/>
        <v>0</v>
      </c>
      <c r="BA20">
        <f t="shared" si="32"/>
        <v>0</v>
      </c>
      <c r="BB20">
        <f t="shared" si="33"/>
        <v>0</v>
      </c>
      <c r="BC20">
        <f t="shared" si="34"/>
        <v>0</v>
      </c>
      <c r="BD20">
        <f t="shared" si="35"/>
        <v>0</v>
      </c>
      <c r="BE20">
        <f t="shared" si="36"/>
        <v>0</v>
      </c>
      <c r="BF20">
        <f t="shared" si="37"/>
        <v>0</v>
      </c>
      <c r="BG20">
        <f t="shared" si="38"/>
        <v>0</v>
      </c>
      <c r="BH20">
        <f t="shared" si="39"/>
        <v>0</v>
      </c>
      <c r="BI20">
        <f t="shared" si="40"/>
        <v>0</v>
      </c>
      <c r="BJ20">
        <f t="shared" si="41"/>
        <v>0</v>
      </c>
      <c r="BK20">
        <f t="shared" si="42"/>
        <v>0</v>
      </c>
      <c r="BL20">
        <v>0</v>
      </c>
      <c r="BM20" t="str">
        <f t="shared" si="47"/>
        <v>Huge Win</v>
      </c>
      <c r="BN20" s="32" t="str">
        <f t="shared" si="48"/>
        <v>Single Win</v>
      </c>
      <c r="BO20">
        <f>(D20/Summary!$C$4-Summary!$C$8)^2*E20</f>
        <v>24176.889000000003</v>
      </c>
      <c r="BP20">
        <f t="shared" si="43"/>
        <v>0</v>
      </c>
      <c r="BQ20">
        <f t="shared" si="44"/>
        <v>0</v>
      </c>
      <c r="BR20">
        <f t="shared" si="45"/>
        <v>0</v>
      </c>
      <c r="BS20">
        <f t="shared" si="46"/>
        <v>0</v>
      </c>
    </row>
    <row r="21" spans="2:71">
      <c r="B21" s="16">
        <f>Tiers!B22</f>
        <v>19</v>
      </c>
      <c r="C21" s="17" t="str">
        <f>Tiers!Y22</f>
        <v>main-18||||||||| x 1</v>
      </c>
      <c r="D21" s="18">
        <f>Tiers!C22</f>
        <v>100</v>
      </c>
      <c r="E21" s="19">
        <f>Frequency!E23</f>
        <v>3</v>
      </c>
      <c r="F21" s="19">
        <f t="shared" si="0"/>
        <v>300</v>
      </c>
      <c r="G21" s="19">
        <f>IF(Tiers!D22&gt;1,'Data Analysis'!E21,0)</f>
        <v>0</v>
      </c>
      <c r="H21" s="19">
        <f t="shared" si="1"/>
        <v>0</v>
      </c>
      <c r="I21" s="19">
        <f>IF(AND(D21/Summary!$C$4&gt;0, D21/Summary!$C$4&lt;5),E21,0) * D21</f>
        <v>0</v>
      </c>
      <c r="J21" s="19">
        <f>IF(AND(D21/Summary!$C$4&gt;= 5, D21/Summary!$C$4&lt;10),E21,0) * D21</f>
        <v>0</v>
      </c>
      <c r="K21" s="19">
        <f>IF(AND(D21/Summary!$C$4&gt;=10, D21/Summary!$C$4&lt;25),E21,0)*D21</f>
        <v>0</v>
      </c>
      <c r="L21" s="19">
        <f>IF(D21/Summary!$C$4&gt;=25,E21,0)*D21</f>
        <v>300</v>
      </c>
      <c r="M21" s="27">
        <f>IF(AND(D21/Summary!$C$4&gt;0, D21/Summary!$C$4&lt;1),E21,0)</f>
        <v>0</v>
      </c>
      <c r="N21" s="27">
        <f t="shared" si="2"/>
        <v>0</v>
      </c>
      <c r="O21" s="27">
        <f>IF(D21/Summary!$C$4=1,1,0)*E21</f>
        <v>0</v>
      </c>
      <c r="P21" s="27">
        <f t="shared" si="3"/>
        <v>0</v>
      </c>
      <c r="Q21" s="27">
        <f>IF(AND(D21/Summary!$C$4&gt;1, D21/Summary!$C$4&lt;=2),1,0)*E21</f>
        <v>0</v>
      </c>
      <c r="R21" s="27">
        <f t="shared" si="4"/>
        <v>0</v>
      </c>
      <c r="S21" s="27">
        <f>IF(AND(D21/Summary!$C$4&gt;2,D21/Summary!$C$4&lt;=5),1,0)*E21</f>
        <v>0</v>
      </c>
      <c r="T21" s="27">
        <f t="shared" si="5"/>
        <v>0</v>
      </c>
      <c r="U21" s="27">
        <f>IF(AND(D21/Summary!$C$4&gt;5, D21/Summary!$C$4&lt;=10),1,0)*E21</f>
        <v>0</v>
      </c>
      <c r="V21" s="27">
        <f t="shared" si="6"/>
        <v>0</v>
      </c>
      <c r="W21" s="27">
        <f>IF(AND(D21/Summary!$C$4&gt;10, D21/Summary!$C$4&lt;=20),1,0)*E21</f>
        <v>0</v>
      </c>
      <c r="X21" s="27">
        <f t="shared" si="7"/>
        <v>0</v>
      </c>
      <c r="Y21" s="27">
        <f>IF(AND(D21/Summary!$C$4&gt;20, D21/Summary!$C$4&lt;=30),1,0)*E21</f>
        <v>0</v>
      </c>
      <c r="Z21" s="27">
        <f t="shared" si="8"/>
        <v>0</v>
      </c>
      <c r="AA21" s="27">
        <f>IF(AND(D21/Summary!$C$4&gt;30, D21/Summary!$C$4&lt;=50),1,0)*E21</f>
        <v>0</v>
      </c>
      <c r="AB21" s="27">
        <f t="shared" si="9"/>
        <v>0</v>
      </c>
      <c r="AC21" s="27">
        <f>IF(AND(D21/Summary!$C$4&gt;50, D21/Summary!$C$4&lt;=100),1,0)*E21</f>
        <v>3</v>
      </c>
      <c r="AD21" s="27">
        <f t="shared" si="10"/>
        <v>300</v>
      </c>
      <c r="AE21" s="27">
        <f>IF(D21/Summary!$C$4&gt;100,1,0)*E21</f>
        <v>0</v>
      </c>
      <c r="AF21" s="27">
        <f t="shared" si="11"/>
        <v>0</v>
      </c>
      <c r="AG21" s="19">
        <f t="shared" si="12"/>
        <v>0</v>
      </c>
      <c r="AH21" s="19">
        <f t="shared" si="13"/>
        <v>0</v>
      </c>
      <c r="AI21" s="19">
        <f t="shared" si="14"/>
        <v>0</v>
      </c>
      <c r="AJ21" s="27">
        <f t="shared" si="15"/>
        <v>0</v>
      </c>
      <c r="AK21" s="27">
        <f t="shared" si="16"/>
        <v>0</v>
      </c>
      <c r="AL21" s="27">
        <f t="shared" si="17"/>
        <v>0</v>
      </c>
      <c r="AM21">
        <f t="shared" si="18"/>
        <v>0</v>
      </c>
      <c r="AN21">
        <f t="shared" si="19"/>
        <v>0</v>
      </c>
      <c r="AO21">
        <f t="shared" si="20"/>
        <v>0</v>
      </c>
      <c r="AP21">
        <f t="shared" si="21"/>
        <v>0</v>
      </c>
      <c r="AQ21">
        <f t="shared" si="22"/>
        <v>0</v>
      </c>
      <c r="AR21">
        <f t="shared" si="23"/>
        <v>0</v>
      </c>
      <c r="AS21">
        <f t="shared" si="24"/>
        <v>0</v>
      </c>
      <c r="AT21">
        <f t="shared" si="25"/>
        <v>0</v>
      </c>
      <c r="AU21">
        <f t="shared" si="26"/>
        <v>0</v>
      </c>
      <c r="AV21">
        <f t="shared" si="27"/>
        <v>0</v>
      </c>
      <c r="AW21">
        <f t="shared" si="28"/>
        <v>0</v>
      </c>
      <c r="AX21">
        <f t="shared" si="29"/>
        <v>0</v>
      </c>
      <c r="AY21">
        <f t="shared" si="30"/>
        <v>0</v>
      </c>
      <c r="AZ21">
        <f t="shared" si="31"/>
        <v>0</v>
      </c>
      <c r="BA21">
        <f t="shared" si="32"/>
        <v>0</v>
      </c>
      <c r="BB21">
        <f t="shared" si="33"/>
        <v>0</v>
      </c>
      <c r="BC21">
        <f t="shared" si="34"/>
        <v>0</v>
      </c>
      <c r="BD21">
        <f t="shared" si="35"/>
        <v>0</v>
      </c>
      <c r="BE21">
        <f t="shared" si="36"/>
        <v>0</v>
      </c>
      <c r="BF21">
        <f t="shared" si="37"/>
        <v>0</v>
      </c>
      <c r="BG21">
        <f t="shared" si="38"/>
        <v>0</v>
      </c>
      <c r="BH21">
        <f t="shared" si="39"/>
        <v>0</v>
      </c>
      <c r="BI21">
        <f t="shared" si="40"/>
        <v>0</v>
      </c>
      <c r="BJ21">
        <f t="shared" si="41"/>
        <v>0</v>
      </c>
      <c r="BK21">
        <f t="shared" si="42"/>
        <v>0</v>
      </c>
      <c r="BL21">
        <v>0</v>
      </c>
      <c r="BM21" t="str">
        <f t="shared" si="47"/>
        <v>Huge Win</v>
      </c>
      <c r="BN21" s="32" t="str">
        <f t="shared" si="48"/>
        <v>Single Win</v>
      </c>
      <c r="BO21">
        <f>(D21/Summary!$C$4-Summary!$C$8)^2*E21</f>
        <v>29504.066700000003</v>
      </c>
      <c r="BP21">
        <f t="shared" si="43"/>
        <v>0</v>
      </c>
      <c r="BQ21">
        <f t="shared" si="44"/>
        <v>0</v>
      </c>
      <c r="BR21">
        <f t="shared" si="45"/>
        <v>0</v>
      </c>
      <c r="BS21">
        <f t="shared" si="46"/>
        <v>0</v>
      </c>
    </row>
    <row r="22" spans="2:71">
      <c r="B22" s="16">
        <f>Tiers!B23</f>
        <v>20</v>
      </c>
      <c r="C22" s="17" t="str">
        <f>Tiers!Y23</f>
        <v>main-19||||||||| x 1</v>
      </c>
      <c r="D22" s="18">
        <f>Tiers!C23</f>
        <v>200</v>
      </c>
      <c r="E22" s="19">
        <f>Frequency!E24</f>
        <v>2</v>
      </c>
      <c r="F22" s="19">
        <f t="shared" si="0"/>
        <v>400</v>
      </c>
      <c r="G22" s="19">
        <f>IF(Tiers!D23&gt;1,'Data Analysis'!E22,0)</f>
        <v>0</v>
      </c>
      <c r="H22" s="19">
        <f t="shared" si="1"/>
        <v>0</v>
      </c>
      <c r="I22" s="19">
        <f>IF(AND(D22/Summary!$C$4&gt;0, D22/Summary!$C$4&lt;5),E22,0) * D22</f>
        <v>0</v>
      </c>
      <c r="J22" s="19">
        <f>IF(AND(D22/Summary!$C$4&gt;= 5, D22/Summary!$C$4&lt;10),E22,0) * D22</f>
        <v>0</v>
      </c>
      <c r="K22" s="19">
        <f>IF(AND(D22/Summary!$C$4&gt;=10, D22/Summary!$C$4&lt;25),E22,0)*D22</f>
        <v>0</v>
      </c>
      <c r="L22" s="19">
        <f>IF(D22/Summary!$C$4&gt;=25,E22,0)*D22</f>
        <v>400</v>
      </c>
      <c r="M22" s="27">
        <f>IF(AND(D22/Summary!$C$4&gt;0, D22/Summary!$C$4&lt;1),E22,0)</f>
        <v>0</v>
      </c>
      <c r="N22" s="27">
        <f t="shared" si="2"/>
        <v>0</v>
      </c>
      <c r="O22" s="27">
        <f>IF(D22/Summary!$C$4=1,1,0)*E22</f>
        <v>0</v>
      </c>
      <c r="P22" s="27">
        <f t="shared" si="3"/>
        <v>0</v>
      </c>
      <c r="Q22" s="27">
        <f>IF(AND(D22/Summary!$C$4&gt;1, D22/Summary!$C$4&lt;=2),1,0)*E22</f>
        <v>0</v>
      </c>
      <c r="R22" s="27">
        <f t="shared" si="4"/>
        <v>0</v>
      </c>
      <c r="S22" s="27">
        <f>IF(AND(D22/Summary!$C$4&gt;2,D22/Summary!$C$4&lt;=5),1,0)*E22</f>
        <v>0</v>
      </c>
      <c r="T22" s="27">
        <f t="shared" si="5"/>
        <v>0</v>
      </c>
      <c r="U22" s="27">
        <f>IF(AND(D22/Summary!$C$4&gt;5, D22/Summary!$C$4&lt;=10),1,0)*E22</f>
        <v>0</v>
      </c>
      <c r="V22" s="27">
        <f t="shared" si="6"/>
        <v>0</v>
      </c>
      <c r="W22" s="27">
        <f>IF(AND(D22/Summary!$C$4&gt;10, D22/Summary!$C$4&lt;=20),1,0)*E22</f>
        <v>0</v>
      </c>
      <c r="X22" s="27">
        <f t="shared" si="7"/>
        <v>0</v>
      </c>
      <c r="Y22" s="27">
        <f>IF(AND(D22/Summary!$C$4&gt;20, D22/Summary!$C$4&lt;=30),1,0)*E22</f>
        <v>0</v>
      </c>
      <c r="Z22" s="27">
        <f t="shared" si="8"/>
        <v>0</v>
      </c>
      <c r="AA22" s="27">
        <f>IF(AND(D22/Summary!$C$4&gt;30, D22/Summary!$C$4&lt;=50),1,0)*E22</f>
        <v>0</v>
      </c>
      <c r="AB22" s="27">
        <f t="shared" si="9"/>
        <v>0</v>
      </c>
      <c r="AC22" s="27">
        <f>IF(AND(D22/Summary!$C$4&gt;50, D22/Summary!$C$4&lt;=100),1,0)*E22</f>
        <v>0</v>
      </c>
      <c r="AD22" s="27">
        <f t="shared" si="10"/>
        <v>0</v>
      </c>
      <c r="AE22" s="27">
        <f>IF(D22/Summary!$C$4&gt;100,1,0)*E22</f>
        <v>2</v>
      </c>
      <c r="AF22" s="27">
        <f t="shared" si="11"/>
        <v>400</v>
      </c>
      <c r="AG22" s="19">
        <f t="shared" si="12"/>
        <v>0</v>
      </c>
      <c r="AH22" s="19">
        <f t="shared" si="13"/>
        <v>0</v>
      </c>
      <c r="AI22" s="19">
        <f t="shared" si="14"/>
        <v>0</v>
      </c>
      <c r="AJ22" s="27">
        <f t="shared" si="15"/>
        <v>0</v>
      </c>
      <c r="AK22" s="27">
        <f t="shared" si="16"/>
        <v>0</v>
      </c>
      <c r="AL22" s="27">
        <f t="shared" si="17"/>
        <v>0</v>
      </c>
      <c r="AM22">
        <f t="shared" si="18"/>
        <v>0</v>
      </c>
      <c r="AN22">
        <f t="shared" si="19"/>
        <v>0</v>
      </c>
      <c r="AO22">
        <f t="shared" si="20"/>
        <v>0</v>
      </c>
      <c r="AP22">
        <f t="shared" si="21"/>
        <v>0</v>
      </c>
      <c r="AQ22">
        <f t="shared" si="22"/>
        <v>0</v>
      </c>
      <c r="AR22">
        <f t="shared" si="23"/>
        <v>0</v>
      </c>
      <c r="AS22">
        <f t="shared" si="24"/>
        <v>0</v>
      </c>
      <c r="AT22">
        <f t="shared" si="25"/>
        <v>0</v>
      </c>
      <c r="AU22">
        <f t="shared" si="26"/>
        <v>0</v>
      </c>
      <c r="AV22">
        <f t="shared" si="27"/>
        <v>0</v>
      </c>
      <c r="AW22">
        <f t="shared" si="28"/>
        <v>0</v>
      </c>
      <c r="AX22">
        <f t="shared" si="29"/>
        <v>0</v>
      </c>
      <c r="AY22">
        <f t="shared" si="30"/>
        <v>0</v>
      </c>
      <c r="AZ22">
        <f t="shared" si="31"/>
        <v>0</v>
      </c>
      <c r="BA22">
        <f t="shared" si="32"/>
        <v>0</v>
      </c>
      <c r="BB22">
        <f t="shared" si="33"/>
        <v>0</v>
      </c>
      <c r="BC22">
        <f t="shared" si="34"/>
        <v>0</v>
      </c>
      <c r="BD22">
        <f t="shared" si="35"/>
        <v>0</v>
      </c>
      <c r="BE22">
        <f t="shared" si="36"/>
        <v>0</v>
      </c>
      <c r="BF22">
        <f t="shared" si="37"/>
        <v>0</v>
      </c>
      <c r="BG22">
        <f t="shared" si="38"/>
        <v>0</v>
      </c>
      <c r="BH22">
        <f t="shared" si="39"/>
        <v>0</v>
      </c>
      <c r="BI22">
        <f t="shared" si="40"/>
        <v>0</v>
      </c>
      <c r="BJ22">
        <f t="shared" si="41"/>
        <v>0</v>
      </c>
      <c r="BK22">
        <f t="shared" si="42"/>
        <v>0</v>
      </c>
      <c r="BL22">
        <v>0</v>
      </c>
      <c r="BM22" t="str">
        <f t="shared" si="47"/>
        <v>Huge Win</v>
      </c>
      <c r="BN22" s="32" t="str">
        <f t="shared" si="48"/>
        <v>Single Win</v>
      </c>
      <c r="BO22">
        <f>(D22/Summary!$C$4-Summary!$C$8)^2*E22</f>
        <v>79337.377799999987</v>
      </c>
      <c r="BP22">
        <f t="shared" si="43"/>
        <v>0</v>
      </c>
      <c r="BQ22">
        <f t="shared" si="44"/>
        <v>0</v>
      </c>
      <c r="BR22">
        <f t="shared" si="45"/>
        <v>0</v>
      </c>
      <c r="BS22">
        <f t="shared" si="46"/>
        <v>0</v>
      </c>
    </row>
    <row r="23" spans="2:71">
      <c r="B23" s="16">
        <f>Tiers!B24</f>
        <v>21</v>
      </c>
      <c r="C23" s="17" t="str">
        <f>Tiers!Y24</f>
        <v>main-20||||||||| x 1</v>
      </c>
      <c r="D23" s="18">
        <f>Tiers!C24</f>
        <v>1.5</v>
      </c>
      <c r="E23" s="19">
        <f>Frequency!E25</f>
        <v>30000</v>
      </c>
      <c r="F23" s="19">
        <f t="shared" si="0"/>
        <v>45000</v>
      </c>
      <c r="G23" s="19">
        <f>IF(Tiers!D24&gt;1,'Data Analysis'!E23,0)</f>
        <v>0</v>
      </c>
      <c r="H23" s="19">
        <f t="shared" si="1"/>
        <v>0</v>
      </c>
      <c r="I23" s="19">
        <f>IF(AND(D23/Summary!$C$4&gt;0, D23/Summary!$C$4&lt;5),E23,0) * D23</f>
        <v>45000</v>
      </c>
      <c r="J23" s="19">
        <f>IF(AND(D23/Summary!$C$4&gt;= 5, D23/Summary!$C$4&lt;10),E23,0) * D23</f>
        <v>0</v>
      </c>
      <c r="K23" s="19">
        <f>IF(AND(D23/Summary!$C$4&gt;=10, D23/Summary!$C$4&lt;25),E23,0)*D23</f>
        <v>0</v>
      </c>
      <c r="L23" s="19">
        <f>IF(D23/Summary!$C$4&gt;=25,E23,0)*D23</f>
        <v>0</v>
      </c>
      <c r="M23" s="27">
        <f>IF(AND(D23/Summary!$C$4&gt;0, D23/Summary!$C$4&lt;1),E23,0)</f>
        <v>0</v>
      </c>
      <c r="N23" s="27">
        <f t="shared" si="2"/>
        <v>0</v>
      </c>
      <c r="O23" s="27">
        <f>IF(D23/Summary!$C$4=1,1,0)*E23</f>
        <v>0</v>
      </c>
      <c r="P23" s="27">
        <f t="shared" si="3"/>
        <v>0</v>
      </c>
      <c r="Q23" s="27">
        <f>IF(AND(D23/Summary!$C$4&gt;1, D23/Summary!$C$4&lt;=2),1,0)*E23</f>
        <v>30000</v>
      </c>
      <c r="R23" s="27">
        <f t="shared" si="4"/>
        <v>45000</v>
      </c>
      <c r="S23" s="27">
        <f>IF(AND(D23/Summary!$C$4&gt;2,D23/Summary!$C$4&lt;=5),1,0)*E23</f>
        <v>0</v>
      </c>
      <c r="T23" s="27">
        <f t="shared" si="5"/>
        <v>0</v>
      </c>
      <c r="U23" s="27">
        <f>IF(AND(D23/Summary!$C$4&gt;5, D23/Summary!$C$4&lt;=10),1,0)*E23</f>
        <v>0</v>
      </c>
      <c r="V23" s="27">
        <f t="shared" si="6"/>
        <v>0</v>
      </c>
      <c r="W23" s="27">
        <f>IF(AND(D23/Summary!$C$4&gt;10, D23/Summary!$C$4&lt;=20),1,0)*E23</f>
        <v>0</v>
      </c>
      <c r="X23" s="27">
        <f t="shared" si="7"/>
        <v>0</v>
      </c>
      <c r="Y23" s="27">
        <f>IF(AND(D23/Summary!$C$4&gt;20, D23/Summary!$C$4&lt;=30),1,0)*E23</f>
        <v>0</v>
      </c>
      <c r="Z23" s="27">
        <f t="shared" si="8"/>
        <v>0</v>
      </c>
      <c r="AA23" s="27">
        <f>IF(AND(D23/Summary!$C$4&gt;30, D23/Summary!$C$4&lt;=50),1,0)*E23</f>
        <v>0</v>
      </c>
      <c r="AB23" s="27">
        <f t="shared" si="9"/>
        <v>0</v>
      </c>
      <c r="AC23" s="27">
        <f>IF(AND(D23/Summary!$C$4&gt;50, D23/Summary!$C$4&lt;=100),1,0)*E23</f>
        <v>0</v>
      </c>
      <c r="AD23" s="27">
        <f t="shared" si="10"/>
        <v>0</v>
      </c>
      <c r="AE23" s="27">
        <f>IF(D23/Summary!$C$4&gt;100,1,0)*E23</f>
        <v>0</v>
      </c>
      <c r="AF23" s="27">
        <f t="shared" si="11"/>
        <v>0</v>
      </c>
      <c r="AG23" s="19">
        <f t="shared" si="12"/>
        <v>0</v>
      </c>
      <c r="AH23" s="19">
        <f t="shared" si="13"/>
        <v>0</v>
      </c>
      <c r="AI23" s="19">
        <f t="shared" si="14"/>
        <v>0</v>
      </c>
      <c r="AJ23" s="27">
        <f t="shared" si="15"/>
        <v>0</v>
      </c>
      <c r="AK23" s="27">
        <f t="shared" si="16"/>
        <v>0</v>
      </c>
      <c r="AL23" s="27">
        <f t="shared" si="17"/>
        <v>0</v>
      </c>
      <c r="AM23">
        <f t="shared" si="18"/>
        <v>0</v>
      </c>
      <c r="AN23">
        <f t="shared" si="19"/>
        <v>0</v>
      </c>
      <c r="AO23">
        <f t="shared" si="20"/>
        <v>0</v>
      </c>
      <c r="AP23">
        <f t="shared" si="21"/>
        <v>0</v>
      </c>
      <c r="AQ23">
        <f t="shared" si="22"/>
        <v>0</v>
      </c>
      <c r="AR23">
        <f t="shared" si="23"/>
        <v>0</v>
      </c>
      <c r="AS23">
        <f t="shared" si="24"/>
        <v>0</v>
      </c>
      <c r="AT23">
        <f t="shared" si="25"/>
        <v>0</v>
      </c>
      <c r="AU23">
        <f t="shared" si="26"/>
        <v>0</v>
      </c>
      <c r="AV23">
        <f t="shared" si="27"/>
        <v>0</v>
      </c>
      <c r="AW23">
        <f t="shared" si="28"/>
        <v>0</v>
      </c>
      <c r="AX23">
        <f t="shared" si="29"/>
        <v>0</v>
      </c>
      <c r="AY23">
        <f t="shared" si="30"/>
        <v>0</v>
      </c>
      <c r="AZ23">
        <f t="shared" si="31"/>
        <v>0</v>
      </c>
      <c r="BA23">
        <f t="shared" si="32"/>
        <v>0</v>
      </c>
      <c r="BB23">
        <f t="shared" si="33"/>
        <v>0</v>
      </c>
      <c r="BC23">
        <f t="shared" si="34"/>
        <v>0</v>
      </c>
      <c r="BD23">
        <f t="shared" si="35"/>
        <v>0</v>
      </c>
      <c r="BE23">
        <f t="shared" si="36"/>
        <v>0</v>
      </c>
      <c r="BF23">
        <f t="shared" si="37"/>
        <v>0</v>
      </c>
      <c r="BG23">
        <f t="shared" si="38"/>
        <v>0</v>
      </c>
      <c r="BH23">
        <f t="shared" si="39"/>
        <v>0</v>
      </c>
      <c r="BI23">
        <f t="shared" si="40"/>
        <v>0</v>
      </c>
      <c r="BJ23">
        <f t="shared" si="41"/>
        <v>0</v>
      </c>
      <c r="BK23">
        <f t="shared" si="42"/>
        <v>0</v>
      </c>
      <c r="BL23">
        <v>0</v>
      </c>
      <c r="BM23" t="str">
        <f t="shared" si="47"/>
        <v>Standard Win</v>
      </c>
      <c r="BN23" s="32" t="str">
        <f t="shared" si="48"/>
        <v>Single Win</v>
      </c>
      <c r="BO23">
        <f>(D23/Summary!$C$4-Summary!$C$8)^2*E23</f>
        <v>13467.000000000002</v>
      </c>
      <c r="BP23">
        <f t="shared" si="43"/>
        <v>0</v>
      </c>
      <c r="BQ23">
        <f t="shared" si="44"/>
        <v>0</v>
      </c>
      <c r="BR23">
        <f t="shared" si="45"/>
        <v>0</v>
      </c>
      <c r="BS23">
        <f t="shared" si="46"/>
        <v>0</v>
      </c>
    </row>
    <row r="24" spans="2:71">
      <c r="B24" s="16">
        <f>Tiers!B25</f>
        <v>22</v>
      </c>
      <c r="C24" s="17" t="str">
        <f>Tiers!Y25</f>
        <v>main-21||||||||| x 1</v>
      </c>
      <c r="D24" s="18">
        <f>Tiers!C25</f>
        <v>2</v>
      </c>
      <c r="E24" s="19">
        <f>Frequency!E26</f>
        <v>15000</v>
      </c>
      <c r="F24" s="19">
        <f t="shared" si="0"/>
        <v>30000</v>
      </c>
      <c r="G24" s="19">
        <f>IF(Tiers!D25&gt;1,'Data Analysis'!E24,0)</f>
        <v>0</v>
      </c>
      <c r="H24" s="19">
        <f t="shared" si="1"/>
        <v>0</v>
      </c>
      <c r="I24" s="19">
        <f>IF(AND(D24/Summary!$C$4&gt;0, D24/Summary!$C$4&lt;5),E24,0) * D24</f>
        <v>30000</v>
      </c>
      <c r="J24" s="19">
        <f>IF(AND(D24/Summary!$C$4&gt;= 5, D24/Summary!$C$4&lt;10),E24,0) * D24</f>
        <v>0</v>
      </c>
      <c r="K24" s="19">
        <f>IF(AND(D24/Summary!$C$4&gt;=10, D24/Summary!$C$4&lt;25),E24,0)*D24</f>
        <v>0</v>
      </c>
      <c r="L24" s="19">
        <f>IF(D24/Summary!$C$4&gt;=25,E24,0)*D24</f>
        <v>0</v>
      </c>
      <c r="M24" s="27">
        <f>IF(AND(D24/Summary!$C$4&gt;0, D24/Summary!$C$4&lt;1),E24,0)</f>
        <v>0</v>
      </c>
      <c r="N24" s="27">
        <f t="shared" si="2"/>
        <v>0</v>
      </c>
      <c r="O24" s="27">
        <f>IF(D24/Summary!$C$4=1,1,0)*E24</f>
        <v>0</v>
      </c>
      <c r="P24" s="27">
        <f t="shared" si="3"/>
        <v>0</v>
      </c>
      <c r="Q24" s="27">
        <f>IF(AND(D24/Summary!$C$4&gt;1, D24/Summary!$C$4&lt;=2),1,0)*E24</f>
        <v>15000</v>
      </c>
      <c r="R24" s="27">
        <f t="shared" si="4"/>
        <v>30000</v>
      </c>
      <c r="S24" s="27">
        <f>IF(AND(D24/Summary!$C$4&gt;2,D24/Summary!$C$4&lt;=5),1,0)*E24</f>
        <v>0</v>
      </c>
      <c r="T24" s="27">
        <f t="shared" si="5"/>
        <v>0</v>
      </c>
      <c r="U24" s="27">
        <f>IF(AND(D24/Summary!$C$4&gt;5, D24/Summary!$C$4&lt;=10),1,0)*E24</f>
        <v>0</v>
      </c>
      <c r="V24" s="27">
        <f t="shared" si="6"/>
        <v>0</v>
      </c>
      <c r="W24" s="27">
        <f>IF(AND(D24/Summary!$C$4&gt;10, D24/Summary!$C$4&lt;=20),1,0)*E24</f>
        <v>0</v>
      </c>
      <c r="X24" s="27">
        <f t="shared" si="7"/>
        <v>0</v>
      </c>
      <c r="Y24" s="27">
        <f>IF(AND(D24/Summary!$C$4&gt;20, D24/Summary!$C$4&lt;=30),1,0)*E24</f>
        <v>0</v>
      </c>
      <c r="Z24" s="27">
        <f t="shared" si="8"/>
        <v>0</v>
      </c>
      <c r="AA24" s="27">
        <f>IF(AND(D24/Summary!$C$4&gt;30, D24/Summary!$C$4&lt;=50),1,0)*E24</f>
        <v>0</v>
      </c>
      <c r="AB24" s="27">
        <f t="shared" si="9"/>
        <v>0</v>
      </c>
      <c r="AC24" s="27">
        <f>IF(AND(D24/Summary!$C$4&gt;50, D24/Summary!$C$4&lt;=100),1,0)*E24</f>
        <v>0</v>
      </c>
      <c r="AD24" s="27">
        <f t="shared" si="10"/>
        <v>0</v>
      </c>
      <c r="AE24" s="27">
        <f>IF(D24/Summary!$C$4&gt;100,1,0)*E24</f>
        <v>0</v>
      </c>
      <c r="AF24" s="27">
        <f t="shared" si="11"/>
        <v>0</v>
      </c>
      <c r="AG24" s="19">
        <f t="shared" si="12"/>
        <v>0</v>
      </c>
      <c r="AH24" s="19">
        <f t="shared" si="13"/>
        <v>0</v>
      </c>
      <c r="AI24" s="19">
        <f t="shared" si="14"/>
        <v>0</v>
      </c>
      <c r="AJ24" s="27">
        <f t="shared" si="15"/>
        <v>0</v>
      </c>
      <c r="AK24" s="27">
        <f t="shared" si="16"/>
        <v>0</v>
      </c>
      <c r="AL24" s="27">
        <f t="shared" si="17"/>
        <v>0</v>
      </c>
      <c r="AM24">
        <f t="shared" si="18"/>
        <v>0</v>
      </c>
      <c r="AN24">
        <f t="shared" si="19"/>
        <v>0</v>
      </c>
      <c r="AO24">
        <f t="shared" si="20"/>
        <v>0</v>
      </c>
      <c r="AP24">
        <f t="shared" si="21"/>
        <v>0</v>
      </c>
      <c r="AQ24">
        <f t="shared" si="22"/>
        <v>0</v>
      </c>
      <c r="AR24">
        <f t="shared" si="23"/>
        <v>0</v>
      </c>
      <c r="AS24">
        <f t="shared" si="24"/>
        <v>0</v>
      </c>
      <c r="AT24">
        <f t="shared" si="25"/>
        <v>0</v>
      </c>
      <c r="AU24">
        <f t="shared" si="26"/>
        <v>0</v>
      </c>
      <c r="AV24">
        <f t="shared" si="27"/>
        <v>0</v>
      </c>
      <c r="AW24">
        <f t="shared" si="28"/>
        <v>0</v>
      </c>
      <c r="AX24">
        <f t="shared" si="29"/>
        <v>0</v>
      </c>
      <c r="AY24">
        <f t="shared" si="30"/>
        <v>0</v>
      </c>
      <c r="AZ24">
        <f t="shared" si="31"/>
        <v>0</v>
      </c>
      <c r="BA24">
        <f t="shared" si="32"/>
        <v>0</v>
      </c>
      <c r="BB24">
        <f t="shared" si="33"/>
        <v>0</v>
      </c>
      <c r="BC24">
        <f t="shared" si="34"/>
        <v>0</v>
      </c>
      <c r="BD24">
        <f t="shared" si="35"/>
        <v>0</v>
      </c>
      <c r="BE24">
        <f t="shared" si="36"/>
        <v>0</v>
      </c>
      <c r="BF24">
        <f t="shared" si="37"/>
        <v>0</v>
      </c>
      <c r="BG24">
        <f t="shared" si="38"/>
        <v>0</v>
      </c>
      <c r="BH24">
        <f t="shared" si="39"/>
        <v>0</v>
      </c>
      <c r="BI24">
        <f t="shared" si="40"/>
        <v>0</v>
      </c>
      <c r="BJ24">
        <f t="shared" si="41"/>
        <v>0</v>
      </c>
      <c r="BK24">
        <f t="shared" si="42"/>
        <v>0</v>
      </c>
      <c r="BL24">
        <v>0</v>
      </c>
      <c r="BM24" t="str">
        <f t="shared" si="47"/>
        <v>Standard Win</v>
      </c>
      <c r="BN24" s="32" t="str">
        <f t="shared" si="48"/>
        <v>Single Win</v>
      </c>
      <c r="BO24">
        <f>(D24/Summary!$C$4-Summary!$C$8)^2*E24</f>
        <v>20533.499999999996</v>
      </c>
      <c r="BP24">
        <f t="shared" si="43"/>
        <v>0</v>
      </c>
      <c r="BQ24">
        <f t="shared" si="44"/>
        <v>0</v>
      </c>
      <c r="BR24">
        <f t="shared" si="45"/>
        <v>0</v>
      </c>
      <c r="BS24">
        <f t="shared" si="46"/>
        <v>0</v>
      </c>
    </row>
    <row r="25" spans="2:71">
      <c r="B25" s="16">
        <f>Tiers!B26</f>
        <v>23</v>
      </c>
      <c r="C25" s="17" t="str">
        <f>Tiers!Y26</f>
        <v>main-22||||||||| x 1</v>
      </c>
      <c r="D25" s="18">
        <f>Tiers!C26</f>
        <v>5</v>
      </c>
      <c r="E25" s="19">
        <f>Frequency!E27</f>
        <v>1000</v>
      </c>
      <c r="F25" s="19">
        <f t="shared" si="0"/>
        <v>5000</v>
      </c>
      <c r="G25" s="19">
        <f>IF(Tiers!D26&gt;1,'Data Analysis'!E25,0)</f>
        <v>0</v>
      </c>
      <c r="H25" s="19">
        <f t="shared" si="1"/>
        <v>0</v>
      </c>
      <c r="I25" s="19">
        <f>IF(AND(D25/Summary!$C$4&gt;0, D25/Summary!$C$4&lt;5),E25,0) * D25</f>
        <v>0</v>
      </c>
      <c r="J25" s="19">
        <f>IF(AND(D25/Summary!$C$4&gt;= 5, D25/Summary!$C$4&lt;10),E25,0) * D25</f>
        <v>5000</v>
      </c>
      <c r="K25" s="19">
        <f>IF(AND(D25/Summary!$C$4&gt;=10, D25/Summary!$C$4&lt;25),E25,0)*D25</f>
        <v>0</v>
      </c>
      <c r="L25" s="19">
        <f>IF(D25/Summary!$C$4&gt;=25,E25,0)*D25</f>
        <v>0</v>
      </c>
      <c r="M25" s="27">
        <f>IF(AND(D25/Summary!$C$4&gt;0, D25/Summary!$C$4&lt;1),E25,0)</f>
        <v>0</v>
      </c>
      <c r="N25" s="27">
        <f t="shared" si="2"/>
        <v>0</v>
      </c>
      <c r="O25" s="27">
        <f>IF(D25/Summary!$C$4=1,1,0)*E25</f>
        <v>0</v>
      </c>
      <c r="P25" s="27">
        <f t="shared" si="3"/>
        <v>0</v>
      </c>
      <c r="Q25" s="27">
        <f>IF(AND(D25/Summary!$C$4&gt;1, D25/Summary!$C$4&lt;=2),1,0)*E25</f>
        <v>0</v>
      </c>
      <c r="R25" s="27">
        <f t="shared" si="4"/>
        <v>0</v>
      </c>
      <c r="S25" s="27">
        <f>IF(AND(D25/Summary!$C$4&gt;2,D25/Summary!$C$4&lt;=5),1,0)*E25</f>
        <v>1000</v>
      </c>
      <c r="T25" s="27">
        <f t="shared" si="5"/>
        <v>5000</v>
      </c>
      <c r="U25" s="27">
        <f>IF(AND(D25/Summary!$C$4&gt;5, D25/Summary!$C$4&lt;=10),1,0)*E25</f>
        <v>0</v>
      </c>
      <c r="V25" s="27">
        <f t="shared" si="6"/>
        <v>0</v>
      </c>
      <c r="W25" s="27">
        <f>IF(AND(D25/Summary!$C$4&gt;10, D25/Summary!$C$4&lt;=20),1,0)*E25</f>
        <v>0</v>
      </c>
      <c r="X25" s="27">
        <f t="shared" si="7"/>
        <v>0</v>
      </c>
      <c r="Y25" s="27">
        <f>IF(AND(D25/Summary!$C$4&gt;20, D25/Summary!$C$4&lt;=30),1,0)*E25</f>
        <v>0</v>
      </c>
      <c r="Z25" s="27">
        <f t="shared" si="8"/>
        <v>0</v>
      </c>
      <c r="AA25" s="27">
        <f>IF(AND(D25/Summary!$C$4&gt;30, D25/Summary!$C$4&lt;=50),1,0)*E25</f>
        <v>0</v>
      </c>
      <c r="AB25" s="27">
        <f t="shared" si="9"/>
        <v>0</v>
      </c>
      <c r="AC25" s="27">
        <f>IF(AND(D25/Summary!$C$4&gt;50, D25/Summary!$C$4&lt;=100),1,0)*E25</f>
        <v>0</v>
      </c>
      <c r="AD25" s="27">
        <f t="shared" si="10"/>
        <v>0</v>
      </c>
      <c r="AE25" s="27">
        <f>IF(D25/Summary!$C$4&gt;100,1,0)*E25</f>
        <v>0</v>
      </c>
      <c r="AF25" s="27">
        <f t="shared" si="11"/>
        <v>0</v>
      </c>
      <c r="AG25" s="19">
        <f t="shared" si="12"/>
        <v>0</v>
      </c>
      <c r="AH25" s="19">
        <f t="shared" si="13"/>
        <v>0</v>
      </c>
      <c r="AI25" s="19">
        <f t="shared" si="14"/>
        <v>0</v>
      </c>
      <c r="AJ25" s="27">
        <f t="shared" si="15"/>
        <v>0</v>
      </c>
      <c r="AK25" s="27">
        <f t="shared" si="16"/>
        <v>0</v>
      </c>
      <c r="AL25" s="27">
        <f t="shared" si="17"/>
        <v>0</v>
      </c>
      <c r="AM25">
        <f t="shared" si="18"/>
        <v>0</v>
      </c>
      <c r="AN25">
        <f t="shared" si="19"/>
        <v>0</v>
      </c>
      <c r="AO25">
        <f t="shared" si="20"/>
        <v>0</v>
      </c>
      <c r="AP25">
        <f t="shared" si="21"/>
        <v>0</v>
      </c>
      <c r="AQ25">
        <f t="shared" si="22"/>
        <v>0</v>
      </c>
      <c r="AR25">
        <f t="shared" si="23"/>
        <v>0</v>
      </c>
      <c r="AS25">
        <f t="shared" si="24"/>
        <v>0</v>
      </c>
      <c r="AT25">
        <f t="shared" si="25"/>
        <v>0</v>
      </c>
      <c r="AU25">
        <f t="shared" si="26"/>
        <v>0</v>
      </c>
      <c r="AV25">
        <f t="shared" si="27"/>
        <v>0</v>
      </c>
      <c r="AW25">
        <f t="shared" si="28"/>
        <v>0</v>
      </c>
      <c r="AX25">
        <f t="shared" si="29"/>
        <v>0</v>
      </c>
      <c r="AY25">
        <f t="shared" si="30"/>
        <v>0</v>
      </c>
      <c r="AZ25">
        <f t="shared" si="31"/>
        <v>0</v>
      </c>
      <c r="BA25">
        <f t="shared" si="32"/>
        <v>0</v>
      </c>
      <c r="BB25">
        <f t="shared" si="33"/>
        <v>0</v>
      </c>
      <c r="BC25">
        <f t="shared" si="34"/>
        <v>0</v>
      </c>
      <c r="BD25">
        <f t="shared" si="35"/>
        <v>0</v>
      </c>
      <c r="BE25">
        <f t="shared" si="36"/>
        <v>0</v>
      </c>
      <c r="BF25">
        <f t="shared" si="37"/>
        <v>0</v>
      </c>
      <c r="BG25">
        <f t="shared" si="38"/>
        <v>0</v>
      </c>
      <c r="BH25">
        <f t="shared" si="39"/>
        <v>0</v>
      </c>
      <c r="BI25">
        <f t="shared" si="40"/>
        <v>0</v>
      </c>
      <c r="BJ25">
        <f t="shared" si="41"/>
        <v>0</v>
      </c>
      <c r="BK25">
        <f t="shared" si="42"/>
        <v>0</v>
      </c>
      <c r="BL25">
        <v>0</v>
      </c>
      <c r="BM25" t="str">
        <f t="shared" si="47"/>
        <v>Standard Win</v>
      </c>
      <c r="BN25" s="32" t="str">
        <f t="shared" si="48"/>
        <v>Single Win</v>
      </c>
      <c r="BO25">
        <f>(D25/Summary!$C$4-Summary!$C$8)^2*E25</f>
        <v>17388.899999999998</v>
      </c>
      <c r="BP25">
        <f t="shared" si="43"/>
        <v>0</v>
      </c>
      <c r="BQ25">
        <f t="shared" si="44"/>
        <v>0</v>
      </c>
      <c r="BR25">
        <f t="shared" si="45"/>
        <v>0</v>
      </c>
      <c r="BS25">
        <f t="shared" si="46"/>
        <v>0</v>
      </c>
    </row>
    <row r="26" spans="2:71">
      <c r="B26" s="16">
        <f>Tiers!B27</f>
        <v>24</v>
      </c>
      <c r="C26" s="17" t="str">
        <f>Tiers!Y27</f>
        <v>main-23||||||||| x 1</v>
      </c>
      <c r="D26" s="18">
        <f>Tiers!C27</f>
        <v>10</v>
      </c>
      <c r="E26" s="19">
        <f>Frequency!E28</f>
        <v>500</v>
      </c>
      <c r="F26" s="19">
        <f t="shared" si="0"/>
        <v>5000</v>
      </c>
      <c r="G26" s="19">
        <f>IF(Tiers!D27&gt;1,'Data Analysis'!E26,0)</f>
        <v>0</v>
      </c>
      <c r="H26" s="19">
        <f t="shared" si="1"/>
        <v>0</v>
      </c>
      <c r="I26" s="19">
        <f>IF(AND(D26/Summary!$C$4&gt;0, D26/Summary!$C$4&lt;5),E26,0) * D26</f>
        <v>0</v>
      </c>
      <c r="J26" s="19">
        <f>IF(AND(D26/Summary!$C$4&gt;= 5, D26/Summary!$C$4&lt;10),E26,0) * D26</f>
        <v>0</v>
      </c>
      <c r="K26" s="19">
        <f>IF(AND(D26/Summary!$C$4&gt;=10, D26/Summary!$C$4&lt;25),E26,0)*D26</f>
        <v>5000</v>
      </c>
      <c r="L26" s="19">
        <f>IF(D26/Summary!$C$4&gt;=25,E26,0)*D26</f>
        <v>0</v>
      </c>
      <c r="M26" s="27">
        <f>IF(AND(D26/Summary!$C$4&gt;0, D26/Summary!$C$4&lt;1),E26,0)</f>
        <v>0</v>
      </c>
      <c r="N26" s="27">
        <f t="shared" si="2"/>
        <v>0</v>
      </c>
      <c r="O26" s="27">
        <f>IF(D26/Summary!$C$4=1,1,0)*E26</f>
        <v>0</v>
      </c>
      <c r="P26" s="27">
        <f t="shared" si="3"/>
        <v>0</v>
      </c>
      <c r="Q26" s="27">
        <f>IF(AND(D26/Summary!$C$4&gt;1, D26/Summary!$C$4&lt;=2),1,0)*E26</f>
        <v>0</v>
      </c>
      <c r="R26" s="27">
        <f t="shared" si="4"/>
        <v>0</v>
      </c>
      <c r="S26" s="27">
        <f>IF(AND(D26/Summary!$C$4&gt;2,D26/Summary!$C$4&lt;=5),1,0)*E26</f>
        <v>0</v>
      </c>
      <c r="T26" s="27">
        <f t="shared" si="5"/>
        <v>0</v>
      </c>
      <c r="U26" s="27">
        <f>IF(AND(D26/Summary!$C$4&gt;5, D26/Summary!$C$4&lt;=10),1,0)*E26</f>
        <v>500</v>
      </c>
      <c r="V26" s="27">
        <f t="shared" si="6"/>
        <v>5000</v>
      </c>
      <c r="W26" s="27">
        <f>IF(AND(D26/Summary!$C$4&gt;10, D26/Summary!$C$4&lt;=20),1,0)*E26</f>
        <v>0</v>
      </c>
      <c r="X26" s="27">
        <f t="shared" si="7"/>
        <v>0</v>
      </c>
      <c r="Y26" s="27">
        <f>IF(AND(D26/Summary!$C$4&gt;20, D26/Summary!$C$4&lt;=30),1,0)*E26</f>
        <v>0</v>
      </c>
      <c r="Z26" s="27">
        <f t="shared" si="8"/>
        <v>0</v>
      </c>
      <c r="AA26" s="27">
        <f>IF(AND(D26/Summary!$C$4&gt;30, D26/Summary!$C$4&lt;=50),1,0)*E26</f>
        <v>0</v>
      </c>
      <c r="AB26" s="27">
        <f t="shared" si="9"/>
        <v>0</v>
      </c>
      <c r="AC26" s="27">
        <f>IF(AND(D26/Summary!$C$4&gt;50, D26/Summary!$C$4&lt;=100),1,0)*E26</f>
        <v>0</v>
      </c>
      <c r="AD26" s="27">
        <f t="shared" si="10"/>
        <v>0</v>
      </c>
      <c r="AE26" s="27">
        <f>IF(D26/Summary!$C$4&gt;100,1,0)*E26</f>
        <v>0</v>
      </c>
      <c r="AF26" s="27">
        <f t="shared" si="11"/>
        <v>0</v>
      </c>
      <c r="AG26" s="19">
        <f t="shared" si="12"/>
        <v>0</v>
      </c>
      <c r="AH26" s="19">
        <f t="shared" si="13"/>
        <v>0</v>
      </c>
      <c r="AI26" s="19">
        <f t="shared" si="14"/>
        <v>0</v>
      </c>
      <c r="AJ26" s="27">
        <f t="shared" si="15"/>
        <v>0</v>
      </c>
      <c r="AK26" s="27">
        <f t="shared" si="16"/>
        <v>0</v>
      </c>
      <c r="AL26" s="27">
        <f t="shared" si="17"/>
        <v>0</v>
      </c>
      <c r="AM26">
        <f t="shared" si="18"/>
        <v>0</v>
      </c>
      <c r="AN26">
        <f t="shared" si="19"/>
        <v>0</v>
      </c>
      <c r="AO26">
        <f t="shared" si="20"/>
        <v>0</v>
      </c>
      <c r="AP26">
        <f t="shared" si="21"/>
        <v>0</v>
      </c>
      <c r="AQ26">
        <f t="shared" si="22"/>
        <v>0</v>
      </c>
      <c r="AR26">
        <f t="shared" si="23"/>
        <v>0</v>
      </c>
      <c r="AS26">
        <f t="shared" si="24"/>
        <v>0</v>
      </c>
      <c r="AT26">
        <f t="shared" si="25"/>
        <v>0</v>
      </c>
      <c r="AU26">
        <f t="shared" si="26"/>
        <v>0</v>
      </c>
      <c r="AV26">
        <f t="shared" si="27"/>
        <v>0</v>
      </c>
      <c r="AW26">
        <f t="shared" si="28"/>
        <v>0</v>
      </c>
      <c r="AX26">
        <f t="shared" si="29"/>
        <v>0</v>
      </c>
      <c r="AY26">
        <f t="shared" si="30"/>
        <v>0</v>
      </c>
      <c r="AZ26">
        <f t="shared" si="31"/>
        <v>0</v>
      </c>
      <c r="BA26">
        <f t="shared" si="32"/>
        <v>0</v>
      </c>
      <c r="BB26">
        <f t="shared" si="33"/>
        <v>0</v>
      </c>
      <c r="BC26">
        <f t="shared" si="34"/>
        <v>0</v>
      </c>
      <c r="BD26">
        <f t="shared" si="35"/>
        <v>0</v>
      </c>
      <c r="BE26">
        <f t="shared" si="36"/>
        <v>0</v>
      </c>
      <c r="BF26">
        <f t="shared" si="37"/>
        <v>0</v>
      </c>
      <c r="BG26">
        <f t="shared" si="38"/>
        <v>0</v>
      </c>
      <c r="BH26">
        <f t="shared" si="39"/>
        <v>0</v>
      </c>
      <c r="BI26">
        <f t="shared" si="40"/>
        <v>0</v>
      </c>
      <c r="BJ26">
        <f t="shared" si="41"/>
        <v>0</v>
      </c>
      <c r="BK26">
        <f t="shared" si="42"/>
        <v>0</v>
      </c>
      <c r="BL26">
        <v>0</v>
      </c>
      <c r="BM26" t="str">
        <f t="shared" si="47"/>
        <v>Big Win</v>
      </c>
      <c r="BN26" s="32" t="str">
        <f t="shared" si="48"/>
        <v>Single Win</v>
      </c>
      <c r="BO26">
        <f>(D26/Summary!$C$4-Summary!$C$8)^2*E26</f>
        <v>42044.45</v>
      </c>
      <c r="BP26">
        <f t="shared" si="43"/>
        <v>0</v>
      </c>
      <c r="BQ26">
        <f t="shared" si="44"/>
        <v>0</v>
      </c>
      <c r="BR26">
        <f t="shared" si="45"/>
        <v>0</v>
      </c>
      <c r="BS26">
        <f t="shared" si="46"/>
        <v>0</v>
      </c>
    </row>
    <row r="27" spans="2:71">
      <c r="B27" s="16">
        <f>Tiers!B28</f>
        <v>25</v>
      </c>
      <c r="C27" s="17" t="str">
        <f>Tiers!Y28</f>
        <v>main-24||||||||| x 1</v>
      </c>
      <c r="D27" s="18">
        <f>Tiers!C28</f>
        <v>15</v>
      </c>
      <c r="E27" s="19">
        <f>Frequency!E29</f>
        <v>320</v>
      </c>
      <c r="F27" s="19">
        <f t="shared" si="0"/>
        <v>4800</v>
      </c>
      <c r="G27" s="19">
        <f>IF(Tiers!D28&gt;1,'Data Analysis'!E27,0)</f>
        <v>0</v>
      </c>
      <c r="H27" s="19">
        <f t="shared" si="1"/>
        <v>0</v>
      </c>
      <c r="I27" s="19">
        <f>IF(AND(D27/Summary!$C$4&gt;0, D27/Summary!$C$4&lt;5),E27,0) * D27</f>
        <v>0</v>
      </c>
      <c r="J27" s="19">
        <f>IF(AND(D27/Summary!$C$4&gt;= 5, D27/Summary!$C$4&lt;10),E27,0) * D27</f>
        <v>0</v>
      </c>
      <c r="K27" s="19">
        <f>IF(AND(D27/Summary!$C$4&gt;=10, D27/Summary!$C$4&lt;25),E27,0)*D27</f>
        <v>4800</v>
      </c>
      <c r="L27" s="19">
        <f>IF(D27/Summary!$C$4&gt;=25,E27,0)*D27</f>
        <v>0</v>
      </c>
      <c r="M27" s="27">
        <f>IF(AND(D27/Summary!$C$4&gt;0, D27/Summary!$C$4&lt;1),E27,0)</f>
        <v>0</v>
      </c>
      <c r="N27" s="27">
        <f t="shared" si="2"/>
        <v>0</v>
      </c>
      <c r="O27" s="27">
        <f>IF(D27/Summary!$C$4=1,1,0)*E27</f>
        <v>0</v>
      </c>
      <c r="P27" s="27">
        <f t="shared" si="3"/>
        <v>0</v>
      </c>
      <c r="Q27" s="27">
        <f>IF(AND(D27/Summary!$C$4&gt;1, D27/Summary!$C$4&lt;=2),1,0)*E27</f>
        <v>0</v>
      </c>
      <c r="R27" s="27">
        <f t="shared" si="4"/>
        <v>0</v>
      </c>
      <c r="S27" s="27">
        <f>IF(AND(D27/Summary!$C$4&gt;2,D27/Summary!$C$4&lt;=5),1,0)*E27</f>
        <v>0</v>
      </c>
      <c r="T27" s="27">
        <f t="shared" si="5"/>
        <v>0</v>
      </c>
      <c r="U27" s="27">
        <f>IF(AND(D27/Summary!$C$4&gt;5, D27/Summary!$C$4&lt;=10),1,0)*E27</f>
        <v>0</v>
      </c>
      <c r="V27" s="27">
        <f t="shared" si="6"/>
        <v>0</v>
      </c>
      <c r="W27" s="27">
        <f>IF(AND(D27/Summary!$C$4&gt;10, D27/Summary!$C$4&lt;=20),1,0)*E27</f>
        <v>320</v>
      </c>
      <c r="X27" s="27">
        <f t="shared" si="7"/>
        <v>4800</v>
      </c>
      <c r="Y27" s="27">
        <f>IF(AND(D27/Summary!$C$4&gt;20, D27/Summary!$C$4&lt;=30),1,0)*E27</f>
        <v>0</v>
      </c>
      <c r="Z27" s="27">
        <f t="shared" si="8"/>
        <v>0</v>
      </c>
      <c r="AA27" s="27">
        <f>IF(AND(D27/Summary!$C$4&gt;30, D27/Summary!$C$4&lt;=50),1,0)*E27</f>
        <v>0</v>
      </c>
      <c r="AB27" s="27">
        <f t="shared" si="9"/>
        <v>0</v>
      </c>
      <c r="AC27" s="27">
        <f>IF(AND(D27/Summary!$C$4&gt;50, D27/Summary!$C$4&lt;=100),1,0)*E27</f>
        <v>0</v>
      </c>
      <c r="AD27" s="27">
        <f t="shared" si="10"/>
        <v>0</v>
      </c>
      <c r="AE27" s="27">
        <f>IF(D27/Summary!$C$4&gt;100,1,0)*E27</f>
        <v>0</v>
      </c>
      <c r="AF27" s="27">
        <f t="shared" si="11"/>
        <v>0</v>
      </c>
      <c r="AG27" s="19">
        <f t="shared" si="12"/>
        <v>0</v>
      </c>
      <c r="AH27" s="19">
        <f t="shared" si="13"/>
        <v>0</v>
      </c>
      <c r="AI27" s="19">
        <f t="shared" si="14"/>
        <v>0</v>
      </c>
      <c r="AJ27" s="27">
        <f t="shared" si="15"/>
        <v>0</v>
      </c>
      <c r="AK27" s="27">
        <f t="shared" si="16"/>
        <v>0</v>
      </c>
      <c r="AL27" s="27">
        <f t="shared" si="17"/>
        <v>0</v>
      </c>
      <c r="AM27">
        <f t="shared" si="18"/>
        <v>0</v>
      </c>
      <c r="AN27">
        <f t="shared" si="19"/>
        <v>0</v>
      </c>
      <c r="AO27">
        <f t="shared" si="20"/>
        <v>0</v>
      </c>
      <c r="AP27">
        <f t="shared" si="21"/>
        <v>0</v>
      </c>
      <c r="AQ27">
        <f t="shared" si="22"/>
        <v>0</v>
      </c>
      <c r="AR27">
        <f t="shared" si="23"/>
        <v>0</v>
      </c>
      <c r="AS27">
        <f t="shared" si="24"/>
        <v>0</v>
      </c>
      <c r="AT27">
        <f t="shared" si="25"/>
        <v>0</v>
      </c>
      <c r="AU27">
        <f t="shared" si="26"/>
        <v>0</v>
      </c>
      <c r="AV27">
        <f t="shared" si="27"/>
        <v>0</v>
      </c>
      <c r="AW27">
        <f t="shared" si="28"/>
        <v>0</v>
      </c>
      <c r="AX27">
        <f t="shared" si="29"/>
        <v>0</v>
      </c>
      <c r="AY27">
        <f t="shared" si="30"/>
        <v>0</v>
      </c>
      <c r="AZ27">
        <f t="shared" si="31"/>
        <v>0</v>
      </c>
      <c r="BA27">
        <f t="shared" si="32"/>
        <v>0</v>
      </c>
      <c r="BB27">
        <f t="shared" si="33"/>
        <v>0</v>
      </c>
      <c r="BC27">
        <f t="shared" si="34"/>
        <v>0</v>
      </c>
      <c r="BD27">
        <f t="shared" si="35"/>
        <v>0</v>
      </c>
      <c r="BE27">
        <f t="shared" si="36"/>
        <v>0</v>
      </c>
      <c r="BF27">
        <f t="shared" si="37"/>
        <v>0</v>
      </c>
      <c r="BG27">
        <f t="shared" si="38"/>
        <v>0</v>
      </c>
      <c r="BH27">
        <f t="shared" si="39"/>
        <v>0</v>
      </c>
      <c r="BI27">
        <f t="shared" si="40"/>
        <v>0</v>
      </c>
      <c r="BJ27">
        <f t="shared" si="41"/>
        <v>0</v>
      </c>
      <c r="BK27">
        <f t="shared" si="42"/>
        <v>0</v>
      </c>
      <c r="BL27">
        <v>0</v>
      </c>
      <c r="BM27" t="str">
        <f t="shared" si="47"/>
        <v>Big Win</v>
      </c>
      <c r="BN27" s="32" t="str">
        <f t="shared" si="48"/>
        <v>Single Win</v>
      </c>
      <c r="BO27">
        <f>(D27/Summary!$C$4-Summary!$C$8)^2*E27</f>
        <v>64252.447999999997</v>
      </c>
      <c r="BP27">
        <f t="shared" si="43"/>
        <v>0</v>
      </c>
      <c r="BQ27">
        <f t="shared" si="44"/>
        <v>0</v>
      </c>
      <c r="BR27">
        <f t="shared" si="45"/>
        <v>0</v>
      </c>
      <c r="BS27">
        <f t="shared" si="46"/>
        <v>0</v>
      </c>
    </row>
    <row r="28" spans="2:71">
      <c r="B28" s="16">
        <f>Tiers!B29</f>
        <v>26</v>
      </c>
      <c r="C28" s="17" t="str">
        <f>Tiers!Y29</f>
        <v>main-25||||||||| x 1</v>
      </c>
      <c r="D28" s="18">
        <f>Tiers!C29</f>
        <v>20</v>
      </c>
      <c r="E28" s="19">
        <f>Frequency!E30</f>
        <v>142</v>
      </c>
      <c r="F28" s="19">
        <f t="shared" si="0"/>
        <v>2840</v>
      </c>
      <c r="G28" s="19">
        <f>IF(Tiers!D29&gt;1,'Data Analysis'!E28,0)</f>
        <v>0</v>
      </c>
      <c r="H28" s="19">
        <f t="shared" si="1"/>
        <v>0</v>
      </c>
      <c r="I28" s="19">
        <f>IF(AND(D28/Summary!$C$4&gt;0, D28/Summary!$C$4&lt;5),E28,0) * D28</f>
        <v>0</v>
      </c>
      <c r="J28" s="19">
        <f>IF(AND(D28/Summary!$C$4&gt;= 5, D28/Summary!$C$4&lt;10),E28,0) * D28</f>
        <v>0</v>
      </c>
      <c r="K28" s="19">
        <f>IF(AND(D28/Summary!$C$4&gt;=10, D28/Summary!$C$4&lt;25),E28,0)*D28</f>
        <v>2840</v>
      </c>
      <c r="L28" s="19">
        <f>IF(D28/Summary!$C$4&gt;=25,E28,0)*D28</f>
        <v>0</v>
      </c>
      <c r="M28" s="27">
        <f>IF(AND(D28/Summary!$C$4&gt;0, D28/Summary!$C$4&lt;1),E28,0)</f>
        <v>0</v>
      </c>
      <c r="N28" s="27">
        <f t="shared" si="2"/>
        <v>0</v>
      </c>
      <c r="O28" s="27">
        <f>IF(D28/Summary!$C$4=1,1,0)*E28</f>
        <v>0</v>
      </c>
      <c r="P28" s="27">
        <f t="shared" si="3"/>
        <v>0</v>
      </c>
      <c r="Q28" s="27">
        <f>IF(AND(D28/Summary!$C$4&gt;1, D28/Summary!$C$4&lt;=2),1,0)*E28</f>
        <v>0</v>
      </c>
      <c r="R28" s="27">
        <f t="shared" si="4"/>
        <v>0</v>
      </c>
      <c r="S28" s="27">
        <f>IF(AND(D28/Summary!$C$4&gt;2,D28/Summary!$C$4&lt;=5),1,0)*E28</f>
        <v>0</v>
      </c>
      <c r="T28" s="27">
        <f t="shared" si="5"/>
        <v>0</v>
      </c>
      <c r="U28" s="27">
        <f>IF(AND(D28/Summary!$C$4&gt;5, D28/Summary!$C$4&lt;=10),1,0)*E28</f>
        <v>0</v>
      </c>
      <c r="V28" s="27">
        <f t="shared" si="6"/>
        <v>0</v>
      </c>
      <c r="W28" s="27">
        <f>IF(AND(D28/Summary!$C$4&gt;10, D28/Summary!$C$4&lt;=20),1,0)*E28</f>
        <v>142</v>
      </c>
      <c r="X28" s="27">
        <f t="shared" si="7"/>
        <v>2840</v>
      </c>
      <c r="Y28" s="27">
        <f>IF(AND(D28/Summary!$C$4&gt;20, D28/Summary!$C$4&lt;=30),1,0)*E28</f>
        <v>0</v>
      </c>
      <c r="Z28" s="27">
        <f t="shared" si="8"/>
        <v>0</v>
      </c>
      <c r="AA28" s="27">
        <f>IF(AND(D28/Summary!$C$4&gt;30, D28/Summary!$C$4&lt;=50),1,0)*E28</f>
        <v>0</v>
      </c>
      <c r="AB28" s="27">
        <f t="shared" si="9"/>
        <v>0</v>
      </c>
      <c r="AC28" s="27">
        <f>IF(AND(D28/Summary!$C$4&gt;50, D28/Summary!$C$4&lt;=100),1,0)*E28</f>
        <v>0</v>
      </c>
      <c r="AD28" s="27">
        <f t="shared" si="10"/>
        <v>0</v>
      </c>
      <c r="AE28" s="27">
        <f>IF(D28/Summary!$C$4&gt;100,1,0)*E28</f>
        <v>0</v>
      </c>
      <c r="AF28" s="27">
        <f t="shared" si="11"/>
        <v>0</v>
      </c>
      <c r="AG28" s="19">
        <f t="shared" si="12"/>
        <v>0</v>
      </c>
      <c r="AH28" s="19">
        <f t="shared" si="13"/>
        <v>0</v>
      </c>
      <c r="AI28" s="19">
        <f t="shared" si="14"/>
        <v>0</v>
      </c>
      <c r="AJ28" s="27">
        <f t="shared" si="15"/>
        <v>0</v>
      </c>
      <c r="AK28" s="27">
        <f t="shared" si="16"/>
        <v>0</v>
      </c>
      <c r="AL28" s="27">
        <f t="shared" si="17"/>
        <v>0</v>
      </c>
      <c r="AM28">
        <f t="shared" si="18"/>
        <v>0</v>
      </c>
      <c r="AN28">
        <f t="shared" si="19"/>
        <v>0</v>
      </c>
      <c r="AO28">
        <f t="shared" si="20"/>
        <v>0</v>
      </c>
      <c r="AP28">
        <f t="shared" si="21"/>
        <v>0</v>
      </c>
      <c r="AQ28">
        <f t="shared" si="22"/>
        <v>0</v>
      </c>
      <c r="AR28">
        <f t="shared" si="23"/>
        <v>0</v>
      </c>
      <c r="AS28">
        <f t="shared" si="24"/>
        <v>0</v>
      </c>
      <c r="AT28">
        <f t="shared" si="25"/>
        <v>0</v>
      </c>
      <c r="AU28">
        <f t="shared" si="26"/>
        <v>0</v>
      </c>
      <c r="AV28">
        <f t="shared" si="27"/>
        <v>0</v>
      </c>
      <c r="AW28">
        <f t="shared" si="28"/>
        <v>0</v>
      </c>
      <c r="AX28">
        <f t="shared" si="29"/>
        <v>0</v>
      </c>
      <c r="AY28">
        <f t="shared" si="30"/>
        <v>0</v>
      </c>
      <c r="AZ28">
        <f t="shared" si="31"/>
        <v>0</v>
      </c>
      <c r="BA28">
        <f t="shared" si="32"/>
        <v>0</v>
      </c>
      <c r="BB28">
        <f t="shared" si="33"/>
        <v>0</v>
      </c>
      <c r="BC28">
        <f t="shared" si="34"/>
        <v>0</v>
      </c>
      <c r="BD28">
        <f t="shared" si="35"/>
        <v>0</v>
      </c>
      <c r="BE28">
        <f t="shared" si="36"/>
        <v>0</v>
      </c>
      <c r="BF28">
        <f t="shared" si="37"/>
        <v>0</v>
      </c>
      <c r="BG28">
        <f t="shared" si="38"/>
        <v>0</v>
      </c>
      <c r="BH28">
        <f t="shared" si="39"/>
        <v>0</v>
      </c>
      <c r="BI28">
        <f t="shared" si="40"/>
        <v>0</v>
      </c>
      <c r="BJ28">
        <f t="shared" si="41"/>
        <v>0</v>
      </c>
      <c r="BK28">
        <f t="shared" si="42"/>
        <v>0</v>
      </c>
      <c r="BL28">
        <v>0</v>
      </c>
      <c r="BM28" t="str">
        <f t="shared" si="47"/>
        <v>Big Win</v>
      </c>
      <c r="BN28" s="32" t="str">
        <f t="shared" si="48"/>
        <v>Single Win</v>
      </c>
      <c r="BO28">
        <f>(D28/Summary!$C$4-Summary!$C$8)^2*E28</f>
        <v>52183.423800000011</v>
      </c>
      <c r="BP28">
        <f t="shared" si="43"/>
        <v>0</v>
      </c>
      <c r="BQ28">
        <f t="shared" si="44"/>
        <v>0</v>
      </c>
      <c r="BR28">
        <f t="shared" si="45"/>
        <v>0</v>
      </c>
      <c r="BS28">
        <f t="shared" si="46"/>
        <v>0</v>
      </c>
    </row>
    <row r="29" spans="2:71">
      <c r="B29" s="16">
        <f>Tiers!B30</f>
        <v>27</v>
      </c>
      <c r="C29" s="17" t="str">
        <f>Tiers!Y30</f>
        <v>main-26||||||||| x 1</v>
      </c>
      <c r="D29" s="18">
        <f>Tiers!C30</f>
        <v>50</v>
      </c>
      <c r="E29" s="19">
        <f>Frequency!E31</f>
        <v>10</v>
      </c>
      <c r="F29" s="19">
        <f t="shared" si="0"/>
        <v>500</v>
      </c>
      <c r="G29" s="19">
        <f>IF(Tiers!D30&gt;1,'Data Analysis'!E29,0)</f>
        <v>0</v>
      </c>
      <c r="H29" s="19">
        <f t="shared" si="1"/>
        <v>0</v>
      </c>
      <c r="I29" s="19">
        <f>IF(AND(D29/Summary!$C$4&gt;0, D29/Summary!$C$4&lt;5),E29,0) * D29</f>
        <v>0</v>
      </c>
      <c r="J29" s="19">
        <f>IF(AND(D29/Summary!$C$4&gt;= 5, D29/Summary!$C$4&lt;10),E29,0) * D29</f>
        <v>0</v>
      </c>
      <c r="K29" s="19">
        <f>IF(AND(D29/Summary!$C$4&gt;=10, D29/Summary!$C$4&lt;25),E29,0)*D29</f>
        <v>0</v>
      </c>
      <c r="L29" s="19">
        <f>IF(D29/Summary!$C$4&gt;=25,E29,0)*D29</f>
        <v>500</v>
      </c>
      <c r="M29" s="27">
        <f>IF(AND(D29/Summary!$C$4&gt;0, D29/Summary!$C$4&lt;1),E29,0)</f>
        <v>0</v>
      </c>
      <c r="N29" s="27">
        <f t="shared" si="2"/>
        <v>0</v>
      </c>
      <c r="O29" s="27">
        <f>IF(D29/Summary!$C$4=1,1,0)*E29</f>
        <v>0</v>
      </c>
      <c r="P29" s="27">
        <f t="shared" si="3"/>
        <v>0</v>
      </c>
      <c r="Q29" s="27">
        <f>IF(AND(D29/Summary!$C$4&gt;1, D29/Summary!$C$4&lt;=2),1,0)*E29</f>
        <v>0</v>
      </c>
      <c r="R29" s="27">
        <f t="shared" si="4"/>
        <v>0</v>
      </c>
      <c r="S29" s="27">
        <f>IF(AND(D29/Summary!$C$4&gt;2,D29/Summary!$C$4&lt;=5),1,0)*E29</f>
        <v>0</v>
      </c>
      <c r="T29" s="27">
        <f t="shared" si="5"/>
        <v>0</v>
      </c>
      <c r="U29" s="27">
        <f>IF(AND(D29/Summary!$C$4&gt;5, D29/Summary!$C$4&lt;=10),1,0)*E29</f>
        <v>0</v>
      </c>
      <c r="V29" s="27">
        <f t="shared" si="6"/>
        <v>0</v>
      </c>
      <c r="W29" s="27">
        <f>IF(AND(D29/Summary!$C$4&gt;10, D29/Summary!$C$4&lt;=20),1,0)*E29</f>
        <v>0</v>
      </c>
      <c r="X29" s="27">
        <f t="shared" si="7"/>
        <v>0</v>
      </c>
      <c r="Y29" s="27">
        <f>IF(AND(D29/Summary!$C$4&gt;20, D29/Summary!$C$4&lt;=30),1,0)*E29</f>
        <v>0</v>
      </c>
      <c r="Z29" s="27">
        <f t="shared" si="8"/>
        <v>0</v>
      </c>
      <c r="AA29" s="27">
        <f>IF(AND(D29/Summary!$C$4&gt;30, D29/Summary!$C$4&lt;=50),1,0)*E29</f>
        <v>10</v>
      </c>
      <c r="AB29" s="27">
        <f t="shared" si="9"/>
        <v>500</v>
      </c>
      <c r="AC29" s="27">
        <f>IF(AND(D29/Summary!$C$4&gt;50, D29/Summary!$C$4&lt;=100),1,0)*E29</f>
        <v>0</v>
      </c>
      <c r="AD29" s="27">
        <f t="shared" si="10"/>
        <v>0</v>
      </c>
      <c r="AE29" s="27">
        <f>IF(D29/Summary!$C$4&gt;100,1,0)*E29</f>
        <v>0</v>
      </c>
      <c r="AF29" s="27">
        <f t="shared" si="11"/>
        <v>0</v>
      </c>
      <c r="AG29" s="19">
        <f t="shared" si="12"/>
        <v>0</v>
      </c>
      <c r="AH29" s="19">
        <f t="shared" si="13"/>
        <v>0</v>
      </c>
      <c r="AI29" s="19">
        <f t="shared" si="14"/>
        <v>0</v>
      </c>
      <c r="AJ29" s="27">
        <f t="shared" si="15"/>
        <v>0</v>
      </c>
      <c r="AK29" s="27">
        <f t="shared" si="16"/>
        <v>0</v>
      </c>
      <c r="AL29" s="27">
        <f t="shared" si="17"/>
        <v>0</v>
      </c>
      <c r="AM29">
        <f t="shared" si="18"/>
        <v>0</v>
      </c>
      <c r="AN29">
        <f t="shared" si="19"/>
        <v>0</v>
      </c>
      <c r="AO29">
        <f t="shared" si="20"/>
        <v>0</v>
      </c>
      <c r="AP29">
        <f t="shared" si="21"/>
        <v>0</v>
      </c>
      <c r="AQ29">
        <f t="shared" si="22"/>
        <v>0</v>
      </c>
      <c r="AR29">
        <f t="shared" si="23"/>
        <v>0</v>
      </c>
      <c r="AS29">
        <f t="shared" si="24"/>
        <v>0</v>
      </c>
      <c r="AT29">
        <f t="shared" si="25"/>
        <v>0</v>
      </c>
      <c r="AU29">
        <f t="shared" si="26"/>
        <v>0</v>
      </c>
      <c r="AV29">
        <f t="shared" si="27"/>
        <v>0</v>
      </c>
      <c r="AW29">
        <f t="shared" si="28"/>
        <v>0</v>
      </c>
      <c r="AX29">
        <f t="shared" si="29"/>
        <v>0</v>
      </c>
      <c r="AY29">
        <f t="shared" si="30"/>
        <v>0</v>
      </c>
      <c r="AZ29">
        <f t="shared" si="31"/>
        <v>0</v>
      </c>
      <c r="BA29">
        <f t="shared" si="32"/>
        <v>0</v>
      </c>
      <c r="BB29">
        <f t="shared" si="33"/>
        <v>0</v>
      </c>
      <c r="BC29">
        <f t="shared" si="34"/>
        <v>0</v>
      </c>
      <c r="BD29">
        <f t="shared" si="35"/>
        <v>0</v>
      </c>
      <c r="BE29">
        <f t="shared" si="36"/>
        <v>0</v>
      </c>
      <c r="BF29">
        <f t="shared" si="37"/>
        <v>0</v>
      </c>
      <c r="BG29">
        <f t="shared" si="38"/>
        <v>0</v>
      </c>
      <c r="BH29">
        <f t="shared" si="39"/>
        <v>0</v>
      </c>
      <c r="BI29">
        <f t="shared" si="40"/>
        <v>0</v>
      </c>
      <c r="BJ29">
        <f t="shared" si="41"/>
        <v>0</v>
      </c>
      <c r="BK29">
        <f t="shared" si="42"/>
        <v>0</v>
      </c>
      <c r="BL29">
        <v>0</v>
      </c>
      <c r="BM29" t="str">
        <f t="shared" si="47"/>
        <v>Huge Win</v>
      </c>
      <c r="BN29" s="32" t="str">
        <f t="shared" si="48"/>
        <v>Single Win</v>
      </c>
      <c r="BO29">
        <f>(D29/Summary!$C$4-Summary!$C$8)^2*E29</f>
        <v>24176.889000000003</v>
      </c>
      <c r="BP29">
        <f t="shared" si="43"/>
        <v>0</v>
      </c>
      <c r="BQ29">
        <f t="shared" si="44"/>
        <v>0</v>
      </c>
      <c r="BR29">
        <f t="shared" si="45"/>
        <v>0</v>
      </c>
      <c r="BS29">
        <f t="shared" si="46"/>
        <v>0</v>
      </c>
    </row>
    <row r="30" spans="2:71">
      <c r="B30" s="16">
        <f>Tiers!B31</f>
        <v>28</v>
      </c>
      <c r="C30" s="17" t="str">
        <f>Tiers!Y31</f>
        <v>main-27||||||||| x 1</v>
      </c>
      <c r="D30" s="18">
        <f>Tiers!C31</f>
        <v>100</v>
      </c>
      <c r="E30" s="19">
        <f>Frequency!E32</f>
        <v>3</v>
      </c>
      <c r="F30" s="19">
        <f t="shared" si="0"/>
        <v>300</v>
      </c>
      <c r="G30" s="19">
        <f>IF(Tiers!D31&gt;1,'Data Analysis'!E30,0)</f>
        <v>0</v>
      </c>
      <c r="H30" s="19">
        <f t="shared" si="1"/>
        <v>0</v>
      </c>
      <c r="I30" s="19">
        <f>IF(AND(D30/Summary!$C$4&gt;0, D30/Summary!$C$4&lt;5),E30,0) * D30</f>
        <v>0</v>
      </c>
      <c r="J30" s="19">
        <f>IF(AND(D30/Summary!$C$4&gt;= 5, D30/Summary!$C$4&lt;10),E30,0) * D30</f>
        <v>0</v>
      </c>
      <c r="K30" s="19">
        <f>IF(AND(D30/Summary!$C$4&gt;=10, D30/Summary!$C$4&lt;25),E30,0)*D30</f>
        <v>0</v>
      </c>
      <c r="L30" s="19">
        <f>IF(D30/Summary!$C$4&gt;=25,E30,0)*D30</f>
        <v>300</v>
      </c>
      <c r="M30" s="27">
        <f>IF(AND(D30/Summary!$C$4&gt;0, D30/Summary!$C$4&lt;1),E30,0)</f>
        <v>0</v>
      </c>
      <c r="N30" s="27">
        <f t="shared" si="2"/>
        <v>0</v>
      </c>
      <c r="O30" s="27">
        <f>IF(D30/Summary!$C$4=1,1,0)*E30</f>
        <v>0</v>
      </c>
      <c r="P30" s="27">
        <f t="shared" si="3"/>
        <v>0</v>
      </c>
      <c r="Q30" s="27">
        <f>IF(AND(D30/Summary!$C$4&gt;1, D30/Summary!$C$4&lt;=2),1,0)*E30</f>
        <v>0</v>
      </c>
      <c r="R30" s="27">
        <f t="shared" si="4"/>
        <v>0</v>
      </c>
      <c r="S30" s="27">
        <f>IF(AND(D30/Summary!$C$4&gt;2,D30/Summary!$C$4&lt;=5),1,0)*E30</f>
        <v>0</v>
      </c>
      <c r="T30" s="27">
        <f t="shared" si="5"/>
        <v>0</v>
      </c>
      <c r="U30" s="27">
        <f>IF(AND(D30/Summary!$C$4&gt;5, D30/Summary!$C$4&lt;=10),1,0)*E30</f>
        <v>0</v>
      </c>
      <c r="V30" s="27">
        <f t="shared" si="6"/>
        <v>0</v>
      </c>
      <c r="W30" s="27">
        <f>IF(AND(D30/Summary!$C$4&gt;10, D30/Summary!$C$4&lt;=20),1,0)*E30</f>
        <v>0</v>
      </c>
      <c r="X30" s="27">
        <f t="shared" si="7"/>
        <v>0</v>
      </c>
      <c r="Y30" s="27">
        <f>IF(AND(D30/Summary!$C$4&gt;20, D30/Summary!$C$4&lt;=30),1,0)*E30</f>
        <v>0</v>
      </c>
      <c r="Z30" s="27">
        <f t="shared" si="8"/>
        <v>0</v>
      </c>
      <c r="AA30" s="27">
        <f>IF(AND(D30/Summary!$C$4&gt;30, D30/Summary!$C$4&lt;=50),1,0)*E30</f>
        <v>0</v>
      </c>
      <c r="AB30" s="27">
        <f t="shared" si="9"/>
        <v>0</v>
      </c>
      <c r="AC30" s="27">
        <f>IF(AND(D30/Summary!$C$4&gt;50, D30/Summary!$C$4&lt;=100),1,0)*E30</f>
        <v>3</v>
      </c>
      <c r="AD30" s="27">
        <f t="shared" si="10"/>
        <v>300</v>
      </c>
      <c r="AE30" s="27">
        <f>IF(D30/Summary!$C$4&gt;100,1,0)*E30</f>
        <v>0</v>
      </c>
      <c r="AF30" s="27">
        <f t="shared" si="11"/>
        <v>0</v>
      </c>
      <c r="AG30" s="19">
        <f t="shared" si="12"/>
        <v>0</v>
      </c>
      <c r="AH30" s="19">
        <f t="shared" si="13"/>
        <v>0</v>
      </c>
      <c r="AI30" s="19">
        <f t="shared" si="14"/>
        <v>0</v>
      </c>
      <c r="AJ30" s="27">
        <f t="shared" si="15"/>
        <v>0</v>
      </c>
      <c r="AK30" s="27">
        <f t="shared" si="16"/>
        <v>0</v>
      </c>
      <c r="AL30" s="27">
        <f t="shared" si="17"/>
        <v>0</v>
      </c>
      <c r="AM30">
        <f t="shared" si="18"/>
        <v>0</v>
      </c>
      <c r="AN30">
        <f t="shared" si="19"/>
        <v>0</v>
      </c>
      <c r="AO30">
        <f t="shared" si="20"/>
        <v>0</v>
      </c>
      <c r="AP30">
        <f t="shared" si="21"/>
        <v>0</v>
      </c>
      <c r="AQ30">
        <f t="shared" si="22"/>
        <v>0</v>
      </c>
      <c r="AR30">
        <f t="shared" si="23"/>
        <v>0</v>
      </c>
      <c r="AS30">
        <f t="shared" si="24"/>
        <v>0</v>
      </c>
      <c r="AT30">
        <f t="shared" si="25"/>
        <v>0</v>
      </c>
      <c r="AU30">
        <f t="shared" si="26"/>
        <v>0</v>
      </c>
      <c r="AV30">
        <f t="shared" si="27"/>
        <v>0</v>
      </c>
      <c r="AW30">
        <f t="shared" si="28"/>
        <v>0</v>
      </c>
      <c r="AX30">
        <f t="shared" si="29"/>
        <v>0</v>
      </c>
      <c r="AY30">
        <f t="shared" si="30"/>
        <v>0</v>
      </c>
      <c r="AZ30">
        <f t="shared" si="31"/>
        <v>0</v>
      </c>
      <c r="BA30">
        <f t="shared" si="32"/>
        <v>0</v>
      </c>
      <c r="BB30">
        <f t="shared" si="33"/>
        <v>0</v>
      </c>
      <c r="BC30">
        <f t="shared" si="34"/>
        <v>0</v>
      </c>
      <c r="BD30">
        <f t="shared" si="35"/>
        <v>0</v>
      </c>
      <c r="BE30">
        <f t="shared" si="36"/>
        <v>0</v>
      </c>
      <c r="BF30">
        <f t="shared" si="37"/>
        <v>0</v>
      </c>
      <c r="BG30">
        <f t="shared" si="38"/>
        <v>0</v>
      </c>
      <c r="BH30">
        <f t="shared" si="39"/>
        <v>0</v>
      </c>
      <c r="BI30">
        <f t="shared" si="40"/>
        <v>0</v>
      </c>
      <c r="BJ30">
        <f t="shared" si="41"/>
        <v>0</v>
      </c>
      <c r="BK30">
        <f t="shared" si="42"/>
        <v>0</v>
      </c>
      <c r="BL30">
        <v>0</v>
      </c>
      <c r="BM30" t="str">
        <f t="shared" si="47"/>
        <v>Huge Win</v>
      </c>
      <c r="BN30" s="32" t="str">
        <f t="shared" si="48"/>
        <v>Single Win</v>
      </c>
      <c r="BO30">
        <f>(D30/Summary!$C$4-Summary!$C$8)^2*E30</f>
        <v>29504.066700000003</v>
      </c>
      <c r="BP30">
        <f t="shared" si="43"/>
        <v>0</v>
      </c>
      <c r="BQ30">
        <f t="shared" si="44"/>
        <v>0</v>
      </c>
      <c r="BR30">
        <f t="shared" si="45"/>
        <v>0</v>
      </c>
      <c r="BS30">
        <f t="shared" si="46"/>
        <v>0</v>
      </c>
    </row>
    <row r="31" spans="2:71">
      <c r="B31" s="16">
        <f>Tiers!B32</f>
        <v>29</v>
      </c>
      <c r="C31" s="17" t="str">
        <f>Tiers!Y32</f>
        <v>main-28||||||||| x 1</v>
      </c>
      <c r="D31" s="18">
        <f>Tiers!C32</f>
        <v>200</v>
      </c>
      <c r="E31" s="19">
        <f>Frequency!E33</f>
        <v>2</v>
      </c>
      <c r="F31" s="19">
        <f t="shared" si="0"/>
        <v>400</v>
      </c>
      <c r="G31" s="19">
        <f>IF(Tiers!D32&gt;1,'Data Analysis'!E31,0)</f>
        <v>0</v>
      </c>
      <c r="H31" s="19">
        <f t="shared" si="1"/>
        <v>0</v>
      </c>
      <c r="I31" s="19">
        <f>IF(AND(D31/Summary!$C$4&gt;0, D31/Summary!$C$4&lt;5),E31,0) * D31</f>
        <v>0</v>
      </c>
      <c r="J31" s="19">
        <f>IF(AND(D31/Summary!$C$4&gt;= 5, D31/Summary!$C$4&lt;10),E31,0) * D31</f>
        <v>0</v>
      </c>
      <c r="K31" s="19">
        <f>IF(AND(D31/Summary!$C$4&gt;=10, D31/Summary!$C$4&lt;25),E31,0)*D31</f>
        <v>0</v>
      </c>
      <c r="L31" s="19">
        <f>IF(D31/Summary!$C$4&gt;=25,E31,0)*D31</f>
        <v>400</v>
      </c>
      <c r="M31" s="27">
        <f>IF(AND(D31/Summary!$C$4&gt;0, D31/Summary!$C$4&lt;1),E31,0)</f>
        <v>0</v>
      </c>
      <c r="N31" s="27">
        <f t="shared" si="2"/>
        <v>0</v>
      </c>
      <c r="O31" s="27">
        <f>IF(D31/Summary!$C$4=1,1,0)*E31</f>
        <v>0</v>
      </c>
      <c r="P31" s="27">
        <f t="shared" si="3"/>
        <v>0</v>
      </c>
      <c r="Q31" s="27">
        <f>IF(AND(D31/Summary!$C$4&gt;1, D31/Summary!$C$4&lt;=2),1,0)*E31</f>
        <v>0</v>
      </c>
      <c r="R31" s="27">
        <f t="shared" si="4"/>
        <v>0</v>
      </c>
      <c r="S31" s="27">
        <f>IF(AND(D31/Summary!$C$4&gt;2,D31/Summary!$C$4&lt;=5),1,0)*E31</f>
        <v>0</v>
      </c>
      <c r="T31" s="27">
        <f t="shared" si="5"/>
        <v>0</v>
      </c>
      <c r="U31" s="27">
        <f>IF(AND(D31/Summary!$C$4&gt;5, D31/Summary!$C$4&lt;=10),1,0)*E31</f>
        <v>0</v>
      </c>
      <c r="V31" s="27">
        <f t="shared" si="6"/>
        <v>0</v>
      </c>
      <c r="W31" s="27">
        <f>IF(AND(D31/Summary!$C$4&gt;10, D31/Summary!$C$4&lt;=20),1,0)*E31</f>
        <v>0</v>
      </c>
      <c r="X31" s="27">
        <f t="shared" si="7"/>
        <v>0</v>
      </c>
      <c r="Y31" s="27">
        <f>IF(AND(D31/Summary!$C$4&gt;20, D31/Summary!$C$4&lt;=30),1,0)*E31</f>
        <v>0</v>
      </c>
      <c r="Z31" s="27">
        <f t="shared" si="8"/>
        <v>0</v>
      </c>
      <c r="AA31" s="27">
        <f>IF(AND(D31/Summary!$C$4&gt;30, D31/Summary!$C$4&lt;=50),1,0)*E31</f>
        <v>0</v>
      </c>
      <c r="AB31" s="27">
        <f t="shared" si="9"/>
        <v>0</v>
      </c>
      <c r="AC31" s="27">
        <f>IF(AND(D31/Summary!$C$4&gt;50, D31/Summary!$C$4&lt;=100),1,0)*E31</f>
        <v>0</v>
      </c>
      <c r="AD31" s="27">
        <f t="shared" si="10"/>
        <v>0</v>
      </c>
      <c r="AE31" s="27">
        <f>IF(D31/Summary!$C$4&gt;100,1,0)*E31</f>
        <v>2</v>
      </c>
      <c r="AF31" s="27">
        <f t="shared" si="11"/>
        <v>400</v>
      </c>
      <c r="AG31" s="19">
        <f t="shared" si="12"/>
        <v>0</v>
      </c>
      <c r="AH31" s="19">
        <f t="shared" si="13"/>
        <v>0</v>
      </c>
      <c r="AI31" s="19">
        <f t="shared" si="14"/>
        <v>0</v>
      </c>
      <c r="AJ31" s="27">
        <f t="shared" si="15"/>
        <v>0</v>
      </c>
      <c r="AK31" s="27">
        <f t="shared" si="16"/>
        <v>0</v>
      </c>
      <c r="AL31" s="27">
        <f t="shared" si="17"/>
        <v>0</v>
      </c>
      <c r="AM31">
        <f t="shared" si="18"/>
        <v>0</v>
      </c>
      <c r="AN31">
        <f t="shared" si="19"/>
        <v>0</v>
      </c>
      <c r="AO31">
        <f t="shared" si="20"/>
        <v>0</v>
      </c>
      <c r="AP31">
        <f t="shared" si="21"/>
        <v>0</v>
      </c>
      <c r="AQ31">
        <f t="shared" si="22"/>
        <v>0</v>
      </c>
      <c r="AR31">
        <f t="shared" si="23"/>
        <v>0</v>
      </c>
      <c r="AS31">
        <f t="shared" si="24"/>
        <v>0</v>
      </c>
      <c r="AT31">
        <f t="shared" si="25"/>
        <v>0</v>
      </c>
      <c r="AU31">
        <f t="shared" si="26"/>
        <v>0</v>
      </c>
      <c r="AV31">
        <f t="shared" si="27"/>
        <v>0</v>
      </c>
      <c r="AW31">
        <f t="shared" si="28"/>
        <v>0</v>
      </c>
      <c r="AX31">
        <f t="shared" si="29"/>
        <v>0</v>
      </c>
      <c r="AY31">
        <f t="shared" si="30"/>
        <v>0</v>
      </c>
      <c r="AZ31">
        <f t="shared" si="31"/>
        <v>0</v>
      </c>
      <c r="BA31">
        <f t="shared" si="32"/>
        <v>0</v>
      </c>
      <c r="BB31">
        <f t="shared" si="33"/>
        <v>0</v>
      </c>
      <c r="BC31">
        <f t="shared" si="34"/>
        <v>0</v>
      </c>
      <c r="BD31">
        <f t="shared" si="35"/>
        <v>0</v>
      </c>
      <c r="BE31">
        <f t="shared" si="36"/>
        <v>0</v>
      </c>
      <c r="BF31">
        <f t="shared" si="37"/>
        <v>0</v>
      </c>
      <c r="BG31">
        <f t="shared" si="38"/>
        <v>0</v>
      </c>
      <c r="BH31">
        <f t="shared" si="39"/>
        <v>0</v>
      </c>
      <c r="BI31">
        <f t="shared" si="40"/>
        <v>0</v>
      </c>
      <c r="BJ31">
        <f t="shared" si="41"/>
        <v>0</v>
      </c>
      <c r="BK31">
        <f t="shared" si="42"/>
        <v>0</v>
      </c>
      <c r="BL31">
        <v>0</v>
      </c>
      <c r="BM31" t="str">
        <f t="shared" si="47"/>
        <v>Huge Win</v>
      </c>
      <c r="BN31" s="32" t="str">
        <f t="shared" si="48"/>
        <v>Single Win</v>
      </c>
      <c r="BO31">
        <f>(D31/Summary!$C$4-Summary!$C$8)^2*E31</f>
        <v>79337.377799999987</v>
      </c>
      <c r="BP31">
        <f t="shared" si="43"/>
        <v>0</v>
      </c>
      <c r="BQ31">
        <f t="shared" si="44"/>
        <v>0</v>
      </c>
      <c r="BR31">
        <f t="shared" si="45"/>
        <v>0</v>
      </c>
      <c r="BS31">
        <f t="shared" si="46"/>
        <v>0</v>
      </c>
    </row>
    <row r="32" spans="2:71">
      <c r="B32" s="16">
        <f>Tiers!B33</f>
        <v>30</v>
      </c>
      <c r="C32" s="17" t="str">
        <f>Tiers!Y33</f>
        <v>main-29||||||||| x 1</v>
      </c>
      <c r="D32" s="18">
        <f>Tiers!C33</f>
        <v>500</v>
      </c>
      <c r="E32" s="19">
        <f>Frequency!E34</f>
        <v>2</v>
      </c>
      <c r="F32" s="19">
        <f t="shared" si="0"/>
        <v>1000</v>
      </c>
      <c r="G32" s="19">
        <f>IF(Tiers!D33&gt;1,'Data Analysis'!E32,0)</f>
        <v>0</v>
      </c>
      <c r="H32" s="19">
        <f t="shared" si="1"/>
        <v>0</v>
      </c>
      <c r="I32" s="19">
        <f>IF(AND(D32/Summary!$C$4&gt;0, D32/Summary!$C$4&lt;5),E32,0) * D32</f>
        <v>0</v>
      </c>
      <c r="J32" s="19">
        <f>IF(AND(D32/Summary!$C$4&gt;= 5, D32/Summary!$C$4&lt;10),E32,0) * D32</f>
        <v>0</v>
      </c>
      <c r="K32" s="19">
        <f>IF(AND(D32/Summary!$C$4&gt;=10, D32/Summary!$C$4&lt;25),E32,0)*D32</f>
        <v>0</v>
      </c>
      <c r="L32" s="19">
        <f>IF(D32/Summary!$C$4&gt;=25,E32,0)*D32</f>
        <v>1000</v>
      </c>
      <c r="M32" s="27">
        <f>IF(AND(D32/Summary!$C$4&gt;0, D32/Summary!$C$4&lt;1),E32,0)</f>
        <v>0</v>
      </c>
      <c r="N32" s="27">
        <f t="shared" si="2"/>
        <v>0</v>
      </c>
      <c r="O32" s="27">
        <f>IF(D32/Summary!$C$4=1,1,0)*E32</f>
        <v>0</v>
      </c>
      <c r="P32" s="27">
        <f t="shared" si="3"/>
        <v>0</v>
      </c>
      <c r="Q32" s="27">
        <f>IF(AND(D32/Summary!$C$4&gt;1, D32/Summary!$C$4&lt;=2),1,0)*E32</f>
        <v>0</v>
      </c>
      <c r="R32" s="27">
        <f t="shared" si="4"/>
        <v>0</v>
      </c>
      <c r="S32" s="27">
        <f>IF(AND(D32/Summary!$C$4&gt;2,D32/Summary!$C$4&lt;=5),1,0)*E32</f>
        <v>0</v>
      </c>
      <c r="T32" s="27">
        <f t="shared" si="5"/>
        <v>0</v>
      </c>
      <c r="U32" s="27">
        <f>IF(AND(D32/Summary!$C$4&gt;5, D32/Summary!$C$4&lt;=10),1,0)*E32</f>
        <v>0</v>
      </c>
      <c r="V32" s="27">
        <f t="shared" si="6"/>
        <v>0</v>
      </c>
      <c r="W32" s="27">
        <f>IF(AND(D32/Summary!$C$4&gt;10, D32/Summary!$C$4&lt;=20),1,0)*E32</f>
        <v>0</v>
      </c>
      <c r="X32" s="27">
        <f t="shared" si="7"/>
        <v>0</v>
      </c>
      <c r="Y32" s="27">
        <f>IF(AND(D32/Summary!$C$4&gt;20, D32/Summary!$C$4&lt;=30),1,0)*E32</f>
        <v>0</v>
      </c>
      <c r="Z32" s="27">
        <f t="shared" si="8"/>
        <v>0</v>
      </c>
      <c r="AA32" s="27">
        <f>IF(AND(D32/Summary!$C$4&gt;30, D32/Summary!$C$4&lt;=50),1,0)*E32</f>
        <v>0</v>
      </c>
      <c r="AB32" s="27">
        <f t="shared" si="9"/>
        <v>0</v>
      </c>
      <c r="AC32" s="27">
        <f>IF(AND(D32/Summary!$C$4&gt;50, D32/Summary!$C$4&lt;=100),1,0)*E32</f>
        <v>0</v>
      </c>
      <c r="AD32" s="27">
        <f t="shared" si="10"/>
        <v>0</v>
      </c>
      <c r="AE32" s="27">
        <f>IF(D32/Summary!$C$4&gt;100,1,0)*E32</f>
        <v>2</v>
      </c>
      <c r="AF32" s="27">
        <f t="shared" si="11"/>
        <v>1000</v>
      </c>
      <c r="AG32" s="19">
        <f t="shared" si="12"/>
        <v>0</v>
      </c>
      <c r="AH32" s="19">
        <f t="shared" si="13"/>
        <v>0</v>
      </c>
      <c r="AI32" s="19">
        <f t="shared" si="14"/>
        <v>0</v>
      </c>
      <c r="AJ32" s="27">
        <f t="shared" si="15"/>
        <v>0</v>
      </c>
      <c r="AK32" s="27">
        <f t="shared" si="16"/>
        <v>0</v>
      </c>
      <c r="AL32" s="27">
        <f t="shared" si="17"/>
        <v>0</v>
      </c>
      <c r="AM32">
        <f t="shared" si="18"/>
        <v>0</v>
      </c>
      <c r="AN32">
        <f t="shared" si="19"/>
        <v>0</v>
      </c>
      <c r="AO32">
        <f t="shared" si="20"/>
        <v>0</v>
      </c>
      <c r="AP32">
        <f t="shared" si="21"/>
        <v>0</v>
      </c>
      <c r="AQ32">
        <f t="shared" si="22"/>
        <v>0</v>
      </c>
      <c r="AR32">
        <f t="shared" si="23"/>
        <v>0</v>
      </c>
      <c r="AS32">
        <f t="shared" si="24"/>
        <v>0</v>
      </c>
      <c r="AT32">
        <f t="shared" si="25"/>
        <v>0</v>
      </c>
      <c r="AU32">
        <f t="shared" si="26"/>
        <v>0</v>
      </c>
      <c r="AV32">
        <f t="shared" si="27"/>
        <v>0</v>
      </c>
      <c r="AW32">
        <f t="shared" si="28"/>
        <v>0</v>
      </c>
      <c r="AX32">
        <f t="shared" si="29"/>
        <v>0</v>
      </c>
      <c r="AY32">
        <f t="shared" si="30"/>
        <v>0</v>
      </c>
      <c r="AZ32">
        <f t="shared" si="31"/>
        <v>0</v>
      </c>
      <c r="BA32">
        <f t="shared" si="32"/>
        <v>0</v>
      </c>
      <c r="BB32">
        <f t="shared" si="33"/>
        <v>0</v>
      </c>
      <c r="BC32">
        <f t="shared" si="34"/>
        <v>0</v>
      </c>
      <c r="BD32">
        <f t="shared" si="35"/>
        <v>0</v>
      </c>
      <c r="BE32">
        <f t="shared" si="36"/>
        <v>0</v>
      </c>
      <c r="BF32">
        <f t="shared" si="37"/>
        <v>0</v>
      </c>
      <c r="BG32">
        <f t="shared" si="38"/>
        <v>0</v>
      </c>
      <c r="BH32">
        <f t="shared" si="39"/>
        <v>0</v>
      </c>
      <c r="BI32">
        <f t="shared" si="40"/>
        <v>0</v>
      </c>
      <c r="BJ32">
        <f t="shared" si="41"/>
        <v>0</v>
      </c>
      <c r="BK32">
        <f t="shared" si="42"/>
        <v>0</v>
      </c>
      <c r="BL32">
        <v>0</v>
      </c>
      <c r="BM32" t="str">
        <f t="shared" si="47"/>
        <v>Huge Win</v>
      </c>
      <c r="BN32" s="32" t="str">
        <f t="shared" si="48"/>
        <v>Single Win</v>
      </c>
      <c r="BO32">
        <f>(D32/Summary!$C$4-Summary!$C$8)^2*E32</f>
        <v>498341.37780000002</v>
      </c>
      <c r="BP32">
        <f t="shared" si="43"/>
        <v>0</v>
      </c>
      <c r="BQ32">
        <f t="shared" si="44"/>
        <v>0</v>
      </c>
      <c r="BR32">
        <f t="shared" si="45"/>
        <v>0</v>
      </c>
      <c r="BS32">
        <f t="shared" si="46"/>
        <v>0</v>
      </c>
    </row>
    <row r="33" spans="2:71">
      <c r="B33" s="16">
        <f>Tiers!B34</f>
        <v>31</v>
      </c>
      <c r="C33" s="17" t="str">
        <f>Tiers!Y34</f>
        <v>main-30||||||||| x 1</v>
      </c>
      <c r="D33" s="18">
        <f>Tiers!C34</f>
        <v>2</v>
      </c>
      <c r="E33" s="19">
        <f>Frequency!E35</f>
        <v>2416</v>
      </c>
      <c r="F33" s="19">
        <f t="shared" si="0"/>
        <v>4832</v>
      </c>
      <c r="G33" s="19">
        <f>IF(Tiers!D34&gt;1,'Data Analysis'!E33,0)</f>
        <v>0</v>
      </c>
      <c r="H33" s="19">
        <f t="shared" si="1"/>
        <v>0</v>
      </c>
      <c r="I33" s="19">
        <f>IF(AND(D33/Summary!$C$4&gt;0, D33/Summary!$C$4&lt;5),E33,0) * D33</f>
        <v>4832</v>
      </c>
      <c r="J33" s="19">
        <f>IF(AND(D33/Summary!$C$4&gt;= 5, D33/Summary!$C$4&lt;10),E33,0) * D33</f>
        <v>0</v>
      </c>
      <c r="K33" s="19">
        <f>IF(AND(D33/Summary!$C$4&gt;=10, D33/Summary!$C$4&lt;25),E33,0)*D33</f>
        <v>0</v>
      </c>
      <c r="L33" s="19">
        <f>IF(D33/Summary!$C$4&gt;=25,E33,0)*D33</f>
        <v>0</v>
      </c>
      <c r="M33" s="27">
        <f>IF(AND(D33/Summary!$C$4&gt;0, D33/Summary!$C$4&lt;1),E33,0)</f>
        <v>0</v>
      </c>
      <c r="N33" s="27">
        <f t="shared" si="2"/>
        <v>0</v>
      </c>
      <c r="O33" s="27">
        <f>IF(D33/Summary!$C$4=1,1,0)*E33</f>
        <v>0</v>
      </c>
      <c r="P33" s="27">
        <f t="shared" si="3"/>
        <v>0</v>
      </c>
      <c r="Q33" s="27">
        <f>IF(AND(D33/Summary!$C$4&gt;1, D33/Summary!$C$4&lt;=2),1,0)*E33</f>
        <v>2416</v>
      </c>
      <c r="R33" s="27">
        <f t="shared" si="4"/>
        <v>4832</v>
      </c>
      <c r="S33" s="27">
        <f>IF(AND(D33/Summary!$C$4&gt;2,D33/Summary!$C$4&lt;=5),1,0)*E33</f>
        <v>0</v>
      </c>
      <c r="T33" s="27">
        <f t="shared" si="5"/>
        <v>0</v>
      </c>
      <c r="U33" s="27">
        <f>IF(AND(D33/Summary!$C$4&gt;5, D33/Summary!$C$4&lt;=10),1,0)*E33</f>
        <v>0</v>
      </c>
      <c r="V33" s="27">
        <f t="shared" si="6"/>
        <v>0</v>
      </c>
      <c r="W33" s="27">
        <f>IF(AND(D33/Summary!$C$4&gt;10, D33/Summary!$C$4&lt;=20),1,0)*E33</f>
        <v>0</v>
      </c>
      <c r="X33" s="27">
        <f t="shared" si="7"/>
        <v>0</v>
      </c>
      <c r="Y33" s="27">
        <f>IF(AND(D33/Summary!$C$4&gt;20, D33/Summary!$C$4&lt;=30),1,0)*E33</f>
        <v>0</v>
      </c>
      <c r="Z33" s="27">
        <f t="shared" si="8"/>
        <v>0</v>
      </c>
      <c r="AA33" s="27">
        <f>IF(AND(D33/Summary!$C$4&gt;30, D33/Summary!$C$4&lt;=50),1,0)*E33</f>
        <v>0</v>
      </c>
      <c r="AB33" s="27">
        <f t="shared" si="9"/>
        <v>0</v>
      </c>
      <c r="AC33" s="27">
        <f>IF(AND(D33/Summary!$C$4&gt;50, D33/Summary!$C$4&lt;=100),1,0)*E33</f>
        <v>0</v>
      </c>
      <c r="AD33" s="27">
        <f t="shared" si="10"/>
        <v>0</v>
      </c>
      <c r="AE33" s="27">
        <f>IF(D33/Summary!$C$4&gt;100,1,0)*E33</f>
        <v>0</v>
      </c>
      <c r="AF33" s="27">
        <f t="shared" si="11"/>
        <v>0</v>
      </c>
      <c r="AG33" s="19">
        <f t="shared" si="12"/>
        <v>0</v>
      </c>
      <c r="AH33" s="19">
        <f t="shared" si="13"/>
        <v>0</v>
      </c>
      <c r="AI33" s="19">
        <f t="shared" si="14"/>
        <v>0</v>
      </c>
      <c r="AJ33" s="27">
        <f t="shared" si="15"/>
        <v>0</v>
      </c>
      <c r="AK33" s="27">
        <f t="shared" si="16"/>
        <v>0</v>
      </c>
      <c r="AL33" s="27">
        <f t="shared" si="17"/>
        <v>0</v>
      </c>
      <c r="AM33">
        <f t="shared" si="18"/>
        <v>0</v>
      </c>
      <c r="AN33">
        <f t="shared" si="19"/>
        <v>0</v>
      </c>
      <c r="AO33">
        <f t="shared" si="20"/>
        <v>0</v>
      </c>
      <c r="AP33">
        <f t="shared" si="21"/>
        <v>0</v>
      </c>
      <c r="AQ33">
        <f t="shared" si="22"/>
        <v>0</v>
      </c>
      <c r="AR33">
        <f t="shared" si="23"/>
        <v>0</v>
      </c>
      <c r="AS33">
        <f t="shared" si="24"/>
        <v>0</v>
      </c>
      <c r="AT33">
        <f t="shared" si="25"/>
        <v>0</v>
      </c>
      <c r="AU33">
        <f t="shared" si="26"/>
        <v>0</v>
      </c>
      <c r="AV33">
        <f t="shared" si="27"/>
        <v>0</v>
      </c>
      <c r="AW33">
        <f t="shared" si="28"/>
        <v>0</v>
      </c>
      <c r="AX33">
        <f t="shared" si="29"/>
        <v>0</v>
      </c>
      <c r="AY33">
        <f t="shared" si="30"/>
        <v>0</v>
      </c>
      <c r="AZ33">
        <f t="shared" si="31"/>
        <v>0</v>
      </c>
      <c r="BA33">
        <f t="shared" si="32"/>
        <v>0</v>
      </c>
      <c r="BB33">
        <f t="shared" si="33"/>
        <v>0</v>
      </c>
      <c r="BC33">
        <f t="shared" si="34"/>
        <v>0</v>
      </c>
      <c r="BD33">
        <f t="shared" si="35"/>
        <v>0</v>
      </c>
      <c r="BE33">
        <f t="shared" si="36"/>
        <v>0</v>
      </c>
      <c r="BF33">
        <f t="shared" si="37"/>
        <v>0</v>
      </c>
      <c r="BG33">
        <f t="shared" si="38"/>
        <v>0</v>
      </c>
      <c r="BH33">
        <f t="shared" si="39"/>
        <v>0</v>
      </c>
      <c r="BI33">
        <f t="shared" si="40"/>
        <v>0</v>
      </c>
      <c r="BJ33">
        <f t="shared" si="41"/>
        <v>0</v>
      </c>
      <c r="BK33">
        <f t="shared" si="42"/>
        <v>0</v>
      </c>
      <c r="BL33">
        <v>0</v>
      </c>
      <c r="BM33" t="str">
        <f t="shared" si="47"/>
        <v>Standard Win</v>
      </c>
      <c r="BN33" s="32" t="str">
        <f t="shared" si="48"/>
        <v>Single Win</v>
      </c>
      <c r="BO33">
        <f>(D33/Summary!$C$4-Summary!$C$8)^2*E33</f>
        <v>3307.2623999999996</v>
      </c>
      <c r="BP33">
        <f t="shared" si="43"/>
        <v>0</v>
      </c>
      <c r="BQ33">
        <f t="shared" si="44"/>
        <v>0</v>
      </c>
      <c r="BR33">
        <f t="shared" si="45"/>
        <v>0</v>
      </c>
      <c r="BS33">
        <f t="shared" si="46"/>
        <v>0</v>
      </c>
    </row>
    <row r="34" spans="2:71">
      <c r="B34" s="16">
        <f>Tiers!B35</f>
        <v>32</v>
      </c>
      <c r="C34" s="17" t="str">
        <f>Tiers!Y35</f>
        <v>main-31||||||||| x 1</v>
      </c>
      <c r="D34" s="18">
        <f>Tiers!C35</f>
        <v>5</v>
      </c>
      <c r="E34" s="19">
        <f>Frequency!E36</f>
        <v>967</v>
      </c>
      <c r="F34" s="19">
        <f t="shared" si="0"/>
        <v>4835</v>
      </c>
      <c r="G34" s="19">
        <f>IF(Tiers!D35&gt;1,'Data Analysis'!E34,0)</f>
        <v>0</v>
      </c>
      <c r="H34" s="19">
        <f t="shared" si="1"/>
        <v>0</v>
      </c>
      <c r="I34" s="19">
        <f>IF(AND(D34/Summary!$C$4&gt;0, D34/Summary!$C$4&lt;5),E34,0) * D34</f>
        <v>0</v>
      </c>
      <c r="J34" s="19">
        <f>IF(AND(D34/Summary!$C$4&gt;= 5, D34/Summary!$C$4&lt;10),E34,0) * D34</f>
        <v>4835</v>
      </c>
      <c r="K34" s="19">
        <f>IF(AND(D34/Summary!$C$4&gt;=10, D34/Summary!$C$4&lt;25),E34,0)*D34</f>
        <v>0</v>
      </c>
      <c r="L34" s="19">
        <f>IF(D34/Summary!$C$4&gt;=25,E34,0)*D34</f>
        <v>0</v>
      </c>
      <c r="M34" s="27">
        <f>IF(AND(D34/Summary!$C$4&gt;0, D34/Summary!$C$4&lt;1),E34,0)</f>
        <v>0</v>
      </c>
      <c r="N34" s="27">
        <f t="shared" si="2"/>
        <v>0</v>
      </c>
      <c r="O34" s="27">
        <f>IF(D34/Summary!$C$4=1,1,0)*E34</f>
        <v>0</v>
      </c>
      <c r="P34" s="27">
        <f t="shared" si="3"/>
        <v>0</v>
      </c>
      <c r="Q34" s="27">
        <f>IF(AND(D34/Summary!$C$4&gt;1, D34/Summary!$C$4&lt;=2),1,0)*E34</f>
        <v>0</v>
      </c>
      <c r="R34" s="27">
        <f t="shared" si="4"/>
        <v>0</v>
      </c>
      <c r="S34" s="27">
        <f>IF(AND(D34/Summary!$C$4&gt;2,D34/Summary!$C$4&lt;=5),1,0)*E34</f>
        <v>967</v>
      </c>
      <c r="T34" s="27">
        <f t="shared" si="5"/>
        <v>4835</v>
      </c>
      <c r="U34" s="27">
        <f>IF(AND(D34/Summary!$C$4&gt;5, D34/Summary!$C$4&lt;=10),1,0)*E34</f>
        <v>0</v>
      </c>
      <c r="V34" s="27">
        <f t="shared" si="6"/>
        <v>0</v>
      </c>
      <c r="W34" s="27">
        <f>IF(AND(D34/Summary!$C$4&gt;10, D34/Summary!$C$4&lt;=20),1,0)*E34</f>
        <v>0</v>
      </c>
      <c r="X34" s="27">
        <f t="shared" si="7"/>
        <v>0</v>
      </c>
      <c r="Y34" s="27">
        <f>IF(AND(D34/Summary!$C$4&gt;20, D34/Summary!$C$4&lt;=30),1,0)*E34</f>
        <v>0</v>
      </c>
      <c r="Z34" s="27">
        <f t="shared" si="8"/>
        <v>0</v>
      </c>
      <c r="AA34" s="27">
        <f>IF(AND(D34/Summary!$C$4&gt;30, D34/Summary!$C$4&lt;=50),1,0)*E34</f>
        <v>0</v>
      </c>
      <c r="AB34" s="27">
        <f t="shared" si="9"/>
        <v>0</v>
      </c>
      <c r="AC34" s="27">
        <f>IF(AND(D34/Summary!$C$4&gt;50, D34/Summary!$C$4&lt;=100),1,0)*E34</f>
        <v>0</v>
      </c>
      <c r="AD34" s="27">
        <f t="shared" si="10"/>
        <v>0</v>
      </c>
      <c r="AE34" s="27">
        <f>IF(D34/Summary!$C$4&gt;100,1,0)*E34</f>
        <v>0</v>
      </c>
      <c r="AF34" s="27">
        <f t="shared" si="11"/>
        <v>0</v>
      </c>
      <c r="AG34" s="19">
        <f t="shared" si="12"/>
        <v>0</v>
      </c>
      <c r="AH34" s="19">
        <f t="shared" si="13"/>
        <v>0</v>
      </c>
      <c r="AI34" s="19">
        <f t="shared" si="14"/>
        <v>0</v>
      </c>
      <c r="AJ34" s="27">
        <f t="shared" si="15"/>
        <v>0</v>
      </c>
      <c r="AK34" s="27">
        <f t="shared" si="16"/>
        <v>0</v>
      </c>
      <c r="AL34" s="27">
        <f t="shared" si="17"/>
        <v>0</v>
      </c>
      <c r="AM34">
        <f t="shared" si="18"/>
        <v>0</v>
      </c>
      <c r="AN34">
        <f t="shared" si="19"/>
        <v>0</v>
      </c>
      <c r="AO34">
        <f t="shared" si="20"/>
        <v>0</v>
      </c>
      <c r="AP34">
        <f t="shared" si="21"/>
        <v>0</v>
      </c>
      <c r="AQ34">
        <f t="shared" si="22"/>
        <v>0</v>
      </c>
      <c r="AR34">
        <f t="shared" si="23"/>
        <v>0</v>
      </c>
      <c r="AS34">
        <f t="shared" si="24"/>
        <v>0</v>
      </c>
      <c r="AT34">
        <f t="shared" si="25"/>
        <v>0</v>
      </c>
      <c r="AU34">
        <f t="shared" si="26"/>
        <v>0</v>
      </c>
      <c r="AV34">
        <f t="shared" si="27"/>
        <v>0</v>
      </c>
      <c r="AW34">
        <f t="shared" si="28"/>
        <v>0</v>
      </c>
      <c r="AX34">
        <f t="shared" si="29"/>
        <v>0</v>
      </c>
      <c r="AY34">
        <f t="shared" si="30"/>
        <v>0</v>
      </c>
      <c r="AZ34">
        <f t="shared" si="31"/>
        <v>0</v>
      </c>
      <c r="BA34">
        <f t="shared" si="32"/>
        <v>0</v>
      </c>
      <c r="BB34">
        <f t="shared" si="33"/>
        <v>0</v>
      </c>
      <c r="BC34">
        <f t="shared" si="34"/>
        <v>0</v>
      </c>
      <c r="BD34">
        <f t="shared" si="35"/>
        <v>0</v>
      </c>
      <c r="BE34">
        <f t="shared" si="36"/>
        <v>0</v>
      </c>
      <c r="BF34">
        <f t="shared" si="37"/>
        <v>0</v>
      </c>
      <c r="BG34">
        <f t="shared" si="38"/>
        <v>0</v>
      </c>
      <c r="BH34">
        <f t="shared" si="39"/>
        <v>0</v>
      </c>
      <c r="BI34">
        <f t="shared" si="40"/>
        <v>0</v>
      </c>
      <c r="BJ34">
        <f t="shared" si="41"/>
        <v>0</v>
      </c>
      <c r="BK34">
        <f t="shared" si="42"/>
        <v>0</v>
      </c>
      <c r="BL34">
        <v>0</v>
      </c>
      <c r="BM34" t="str">
        <f t="shared" si="47"/>
        <v>Standard Win</v>
      </c>
      <c r="BN34" s="32" t="str">
        <f t="shared" si="48"/>
        <v>Single Win</v>
      </c>
      <c r="BO34">
        <f>(D34/Summary!$C$4-Summary!$C$8)^2*E34</f>
        <v>16815.066299999999</v>
      </c>
      <c r="BP34">
        <f t="shared" si="43"/>
        <v>0</v>
      </c>
      <c r="BQ34">
        <f t="shared" si="44"/>
        <v>0</v>
      </c>
      <c r="BR34">
        <f t="shared" si="45"/>
        <v>0</v>
      </c>
      <c r="BS34">
        <f t="shared" si="46"/>
        <v>0</v>
      </c>
    </row>
    <row r="35" spans="2:71">
      <c r="B35" s="16">
        <f>Tiers!B36</f>
        <v>33</v>
      </c>
      <c r="C35" s="17" t="str">
        <f>Tiers!Y36</f>
        <v>main-32||||||||| x 1</v>
      </c>
      <c r="D35" s="18">
        <f>Tiers!C36</f>
        <v>10</v>
      </c>
      <c r="E35" s="19">
        <f>Frequency!E37</f>
        <v>484</v>
      </c>
      <c r="F35" s="19">
        <f t="shared" si="0"/>
        <v>4840</v>
      </c>
      <c r="G35" s="19">
        <f>IF(Tiers!D36&gt;1,'Data Analysis'!E35,0)</f>
        <v>0</v>
      </c>
      <c r="H35" s="19">
        <f t="shared" si="1"/>
        <v>0</v>
      </c>
      <c r="I35" s="19">
        <f>IF(AND(D35/Summary!$C$4&gt;0, D35/Summary!$C$4&lt;5),E35,0) * D35</f>
        <v>0</v>
      </c>
      <c r="J35" s="19">
        <f>IF(AND(D35/Summary!$C$4&gt;= 5, D35/Summary!$C$4&lt;10),E35,0) * D35</f>
        <v>0</v>
      </c>
      <c r="K35" s="19">
        <f>IF(AND(D35/Summary!$C$4&gt;=10, D35/Summary!$C$4&lt;25),E35,0)*D35</f>
        <v>4840</v>
      </c>
      <c r="L35" s="19">
        <f>IF(D35/Summary!$C$4&gt;=25,E35,0)*D35</f>
        <v>0</v>
      </c>
      <c r="M35" s="27">
        <f>IF(AND(D35/Summary!$C$4&gt;0, D35/Summary!$C$4&lt;1),E35,0)</f>
        <v>0</v>
      </c>
      <c r="N35" s="27">
        <f t="shared" si="2"/>
        <v>0</v>
      </c>
      <c r="O35" s="27">
        <f>IF(D35/Summary!$C$4=1,1,0)*E35</f>
        <v>0</v>
      </c>
      <c r="P35" s="27">
        <f t="shared" si="3"/>
        <v>0</v>
      </c>
      <c r="Q35" s="27">
        <f>IF(AND(D35/Summary!$C$4&gt;1, D35/Summary!$C$4&lt;=2),1,0)*E35</f>
        <v>0</v>
      </c>
      <c r="R35" s="27">
        <f t="shared" si="4"/>
        <v>0</v>
      </c>
      <c r="S35" s="27">
        <f>IF(AND(D35/Summary!$C$4&gt;2,D35/Summary!$C$4&lt;=5),1,0)*E35</f>
        <v>0</v>
      </c>
      <c r="T35" s="27">
        <f t="shared" si="5"/>
        <v>0</v>
      </c>
      <c r="U35" s="27">
        <f>IF(AND(D35/Summary!$C$4&gt;5, D35/Summary!$C$4&lt;=10),1,0)*E35</f>
        <v>484</v>
      </c>
      <c r="V35" s="27">
        <f t="shared" si="6"/>
        <v>4840</v>
      </c>
      <c r="W35" s="27">
        <f>IF(AND(D35/Summary!$C$4&gt;10, D35/Summary!$C$4&lt;=20),1,0)*E35</f>
        <v>0</v>
      </c>
      <c r="X35" s="27">
        <f t="shared" si="7"/>
        <v>0</v>
      </c>
      <c r="Y35" s="27">
        <f>IF(AND(D35/Summary!$C$4&gt;20, D35/Summary!$C$4&lt;=30),1,0)*E35</f>
        <v>0</v>
      </c>
      <c r="Z35" s="27">
        <f t="shared" si="8"/>
        <v>0</v>
      </c>
      <c r="AA35" s="27">
        <f>IF(AND(D35/Summary!$C$4&gt;30, D35/Summary!$C$4&lt;=50),1,0)*E35</f>
        <v>0</v>
      </c>
      <c r="AB35" s="27">
        <f t="shared" si="9"/>
        <v>0</v>
      </c>
      <c r="AC35" s="27">
        <f>IF(AND(D35/Summary!$C$4&gt;50, D35/Summary!$C$4&lt;=100),1,0)*E35</f>
        <v>0</v>
      </c>
      <c r="AD35" s="27">
        <f t="shared" si="10"/>
        <v>0</v>
      </c>
      <c r="AE35" s="27">
        <f>IF(D35/Summary!$C$4&gt;100,1,0)*E35</f>
        <v>0</v>
      </c>
      <c r="AF35" s="27">
        <f t="shared" si="11"/>
        <v>0</v>
      </c>
      <c r="AG35" s="19">
        <f t="shared" si="12"/>
        <v>0</v>
      </c>
      <c r="AH35" s="19">
        <f t="shared" si="13"/>
        <v>0</v>
      </c>
      <c r="AI35" s="19">
        <f t="shared" si="14"/>
        <v>0</v>
      </c>
      <c r="AJ35" s="27">
        <f t="shared" si="15"/>
        <v>0</v>
      </c>
      <c r="AK35" s="27">
        <f t="shared" si="16"/>
        <v>0</v>
      </c>
      <c r="AL35" s="27">
        <f t="shared" si="17"/>
        <v>0</v>
      </c>
      <c r="AM35">
        <f t="shared" si="18"/>
        <v>0</v>
      </c>
      <c r="AN35">
        <f t="shared" si="19"/>
        <v>0</v>
      </c>
      <c r="AO35">
        <f t="shared" si="20"/>
        <v>0</v>
      </c>
      <c r="AP35">
        <f t="shared" si="21"/>
        <v>0</v>
      </c>
      <c r="AQ35">
        <f t="shared" si="22"/>
        <v>0</v>
      </c>
      <c r="AR35">
        <f t="shared" si="23"/>
        <v>0</v>
      </c>
      <c r="AS35">
        <f t="shared" si="24"/>
        <v>0</v>
      </c>
      <c r="AT35">
        <f t="shared" si="25"/>
        <v>0</v>
      </c>
      <c r="AU35">
        <f t="shared" si="26"/>
        <v>0</v>
      </c>
      <c r="AV35">
        <f t="shared" si="27"/>
        <v>0</v>
      </c>
      <c r="AW35">
        <f t="shared" si="28"/>
        <v>0</v>
      </c>
      <c r="AX35">
        <f t="shared" si="29"/>
        <v>0</v>
      </c>
      <c r="AY35">
        <f t="shared" si="30"/>
        <v>0</v>
      </c>
      <c r="AZ35">
        <f t="shared" si="31"/>
        <v>0</v>
      </c>
      <c r="BA35">
        <f t="shared" si="32"/>
        <v>0</v>
      </c>
      <c r="BB35">
        <f t="shared" si="33"/>
        <v>0</v>
      </c>
      <c r="BC35">
        <f t="shared" si="34"/>
        <v>0</v>
      </c>
      <c r="BD35">
        <f t="shared" si="35"/>
        <v>0</v>
      </c>
      <c r="BE35">
        <f t="shared" si="36"/>
        <v>0</v>
      </c>
      <c r="BF35">
        <f t="shared" si="37"/>
        <v>0</v>
      </c>
      <c r="BG35">
        <f t="shared" si="38"/>
        <v>0</v>
      </c>
      <c r="BH35">
        <f t="shared" si="39"/>
        <v>0</v>
      </c>
      <c r="BI35">
        <f t="shared" si="40"/>
        <v>0</v>
      </c>
      <c r="BJ35">
        <f t="shared" si="41"/>
        <v>0</v>
      </c>
      <c r="BK35">
        <f t="shared" si="42"/>
        <v>0</v>
      </c>
      <c r="BL35">
        <v>0</v>
      </c>
      <c r="BM35" t="str">
        <f t="shared" ref="BM35:BM65" si="49">IF(D35 &lt; $D$367, $C$367,
IF(D35 = $D$368, $C$368,
IF(D35 &lt; $D$369, $C$369,
IF(D35 &lt; $D$370, $C$370,
IF(D35 &lt; $D$371, $C$371, $C$372)))))</f>
        <v>Big Win</v>
      </c>
      <c r="BN35" s="32" t="str">
        <f t="shared" ref="BN35:BN65" si="50">IF(AV35 &gt; 0,$C$376,
IF(AX35 &gt; 0,$C$377,
IF(AZ35 &gt; 0,$C$378,
IF(BB35 &gt; 0,$C$379,
IF(BD35 &gt; 0,$C$380,
IF(BF35 &gt; 0,$C$381,
IF(BH35 &gt; 0,$C$382,
IF(BJ35 &gt; 0,$C$383,
IF(ISNUMBER(SEARCH("|||||||||",C35)), $C$384,$C$385)))))))))</f>
        <v>Single Win</v>
      </c>
      <c r="BO35">
        <f>(D35/Summary!$C$4-Summary!$C$8)^2*E35</f>
        <v>40699.027600000001</v>
      </c>
      <c r="BP35">
        <f t="shared" si="43"/>
        <v>0</v>
      </c>
      <c r="BQ35">
        <f t="shared" si="44"/>
        <v>0</v>
      </c>
      <c r="BR35">
        <f t="shared" si="45"/>
        <v>0</v>
      </c>
      <c r="BS35">
        <f t="shared" si="46"/>
        <v>0</v>
      </c>
    </row>
    <row r="36" spans="2:71">
      <c r="B36" s="16">
        <f>Tiers!B37</f>
        <v>34</v>
      </c>
      <c r="C36" s="17" t="str">
        <f>Tiers!Y37</f>
        <v>main-33||||||||| x 1</v>
      </c>
      <c r="D36" s="18">
        <f>Tiers!C37</f>
        <v>15</v>
      </c>
      <c r="E36" s="19">
        <f>Frequency!E38</f>
        <v>323</v>
      </c>
      <c r="F36" s="19">
        <f t="shared" si="0"/>
        <v>4845</v>
      </c>
      <c r="G36" s="19">
        <f>IF(Tiers!D37&gt;1,'Data Analysis'!E36,0)</f>
        <v>0</v>
      </c>
      <c r="H36" s="19">
        <f t="shared" si="1"/>
        <v>0</v>
      </c>
      <c r="I36" s="19">
        <f>IF(AND(D36/Summary!$C$4&gt;0, D36/Summary!$C$4&lt;5),E36,0) * D36</f>
        <v>0</v>
      </c>
      <c r="J36" s="19">
        <f>IF(AND(D36/Summary!$C$4&gt;= 5, D36/Summary!$C$4&lt;10),E36,0) * D36</f>
        <v>0</v>
      </c>
      <c r="K36" s="19">
        <f>IF(AND(D36/Summary!$C$4&gt;=10, D36/Summary!$C$4&lt;25),E36,0)*D36</f>
        <v>4845</v>
      </c>
      <c r="L36" s="19">
        <f>IF(D36/Summary!$C$4&gt;=25,E36,0)*D36</f>
        <v>0</v>
      </c>
      <c r="M36" s="27">
        <f>IF(AND(D36/Summary!$C$4&gt;0, D36/Summary!$C$4&lt;1),E36,0)</f>
        <v>0</v>
      </c>
      <c r="N36" s="27">
        <f t="shared" si="2"/>
        <v>0</v>
      </c>
      <c r="O36" s="27">
        <f>IF(D36/Summary!$C$4=1,1,0)*E36</f>
        <v>0</v>
      </c>
      <c r="P36" s="27">
        <f t="shared" si="3"/>
        <v>0</v>
      </c>
      <c r="Q36" s="27">
        <f>IF(AND(D36/Summary!$C$4&gt;1, D36/Summary!$C$4&lt;=2),1,0)*E36</f>
        <v>0</v>
      </c>
      <c r="R36" s="27">
        <f t="shared" si="4"/>
        <v>0</v>
      </c>
      <c r="S36" s="27">
        <f>IF(AND(D36/Summary!$C$4&gt;2,D36/Summary!$C$4&lt;=5),1,0)*E36</f>
        <v>0</v>
      </c>
      <c r="T36" s="27">
        <f t="shared" si="5"/>
        <v>0</v>
      </c>
      <c r="U36" s="27">
        <f>IF(AND(D36/Summary!$C$4&gt;5, D36/Summary!$C$4&lt;=10),1,0)*E36</f>
        <v>0</v>
      </c>
      <c r="V36" s="27">
        <f t="shared" si="6"/>
        <v>0</v>
      </c>
      <c r="W36" s="27">
        <f>IF(AND(D36/Summary!$C$4&gt;10, D36/Summary!$C$4&lt;=20),1,0)*E36</f>
        <v>323</v>
      </c>
      <c r="X36" s="27">
        <f t="shared" si="7"/>
        <v>4845</v>
      </c>
      <c r="Y36" s="27">
        <f>IF(AND(D36/Summary!$C$4&gt;20, D36/Summary!$C$4&lt;=30),1,0)*E36</f>
        <v>0</v>
      </c>
      <c r="Z36" s="27">
        <f t="shared" si="8"/>
        <v>0</v>
      </c>
      <c r="AA36" s="27">
        <f>IF(AND(D36/Summary!$C$4&gt;30, D36/Summary!$C$4&lt;=50),1,0)*E36</f>
        <v>0</v>
      </c>
      <c r="AB36" s="27">
        <f t="shared" si="9"/>
        <v>0</v>
      </c>
      <c r="AC36" s="27">
        <f>IF(AND(D36/Summary!$C$4&gt;50, D36/Summary!$C$4&lt;=100),1,0)*E36</f>
        <v>0</v>
      </c>
      <c r="AD36" s="27">
        <f t="shared" si="10"/>
        <v>0</v>
      </c>
      <c r="AE36" s="27">
        <f>IF(D36/Summary!$C$4&gt;100,1,0)*E36</f>
        <v>0</v>
      </c>
      <c r="AF36" s="27">
        <f t="shared" si="11"/>
        <v>0</v>
      </c>
      <c r="AG36" s="19">
        <f t="shared" si="12"/>
        <v>0</v>
      </c>
      <c r="AH36" s="19">
        <f t="shared" si="13"/>
        <v>0</v>
      </c>
      <c r="AI36" s="19">
        <f t="shared" si="14"/>
        <v>0</v>
      </c>
      <c r="AJ36" s="27">
        <f t="shared" si="15"/>
        <v>0</v>
      </c>
      <c r="AK36" s="27">
        <f t="shared" si="16"/>
        <v>0</v>
      </c>
      <c r="AL36" s="27">
        <f t="shared" si="17"/>
        <v>0</v>
      </c>
      <c r="AM36">
        <f t="shared" si="18"/>
        <v>0</v>
      </c>
      <c r="AN36">
        <f t="shared" si="19"/>
        <v>0</v>
      </c>
      <c r="AO36">
        <f t="shared" si="20"/>
        <v>0</v>
      </c>
      <c r="AP36">
        <f t="shared" si="21"/>
        <v>0</v>
      </c>
      <c r="AQ36">
        <f t="shared" si="22"/>
        <v>0</v>
      </c>
      <c r="AR36">
        <f t="shared" si="23"/>
        <v>0</v>
      </c>
      <c r="AS36">
        <f t="shared" si="24"/>
        <v>0</v>
      </c>
      <c r="AT36">
        <f t="shared" si="25"/>
        <v>0</v>
      </c>
      <c r="AU36">
        <f t="shared" si="26"/>
        <v>0</v>
      </c>
      <c r="AV36">
        <f t="shared" si="27"/>
        <v>0</v>
      </c>
      <c r="AW36">
        <f t="shared" si="28"/>
        <v>0</v>
      </c>
      <c r="AX36">
        <f t="shared" si="29"/>
        <v>0</v>
      </c>
      <c r="AY36">
        <f t="shared" si="30"/>
        <v>0</v>
      </c>
      <c r="AZ36">
        <f t="shared" si="31"/>
        <v>0</v>
      </c>
      <c r="BA36">
        <f t="shared" si="32"/>
        <v>0</v>
      </c>
      <c r="BB36">
        <f t="shared" si="33"/>
        <v>0</v>
      </c>
      <c r="BC36">
        <f t="shared" si="34"/>
        <v>0</v>
      </c>
      <c r="BD36">
        <f t="shared" si="35"/>
        <v>0</v>
      </c>
      <c r="BE36">
        <f t="shared" si="36"/>
        <v>0</v>
      </c>
      <c r="BF36">
        <f t="shared" si="37"/>
        <v>0</v>
      </c>
      <c r="BG36">
        <f t="shared" si="38"/>
        <v>0</v>
      </c>
      <c r="BH36">
        <f t="shared" si="39"/>
        <v>0</v>
      </c>
      <c r="BI36">
        <f t="shared" si="40"/>
        <v>0</v>
      </c>
      <c r="BJ36">
        <f t="shared" si="41"/>
        <v>0</v>
      </c>
      <c r="BK36">
        <f t="shared" si="42"/>
        <v>0</v>
      </c>
      <c r="BL36">
        <v>0</v>
      </c>
      <c r="BM36" t="str">
        <f t="shared" si="49"/>
        <v>Big Win</v>
      </c>
      <c r="BN36" s="32" t="str">
        <f t="shared" si="50"/>
        <v>Single Win</v>
      </c>
      <c r="BO36">
        <f>(D36/Summary!$C$4-Summary!$C$8)^2*E36</f>
        <v>64854.814699999995</v>
      </c>
      <c r="BP36">
        <f t="shared" si="43"/>
        <v>0</v>
      </c>
      <c r="BQ36">
        <f t="shared" si="44"/>
        <v>0</v>
      </c>
      <c r="BR36">
        <f t="shared" si="45"/>
        <v>0</v>
      </c>
      <c r="BS36">
        <f t="shared" si="46"/>
        <v>0</v>
      </c>
    </row>
    <row r="37" spans="2:71">
      <c r="B37" s="16">
        <f>Tiers!B38</f>
        <v>35</v>
      </c>
      <c r="C37" s="17" t="str">
        <f>Tiers!Y38</f>
        <v>main-34||||||||| x 1</v>
      </c>
      <c r="D37" s="18">
        <f>Tiers!C38</f>
        <v>20</v>
      </c>
      <c r="E37" s="19">
        <f>Frequency!E39</f>
        <v>142</v>
      </c>
      <c r="F37" s="19">
        <f t="shared" si="0"/>
        <v>2840</v>
      </c>
      <c r="G37" s="19">
        <f>IF(Tiers!D38&gt;1,'Data Analysis'!E37,0)</f>
        <v>0</v>
      </c>
      <c r="H37" s="19">
        <f t="shared" si="1"/>
        <v>0</v>
      </c>
      <c r="I37" s="19">
        <f>IF(AND(D37/Summary!$C$4&gt;0, D37/Summary!$C$4&lt;5),E37,0) * D37</f>
        <v>0</v>
      </c>
      <c r="J37" s="19">
        <f>IF(AND(D37/Summary!$C$4&gt;= 5, D37/Summary!$C$4&lt;10),E37,0) * D37</f>
        <v>0</v>
      </c>
      <c r="K37" s="19">
        <f>IF(AND(D37/Summary!$C$4&gt;=10, D37/Summary!$C$4&lt;25),E37,0)*D37</f>
        <v>2840</v>
      </c>
      <c r="L37" s="19">
        <f>IF(D37/Summary!$C$4&gt;=25,E37,0)*D37</f>
        <v>0</v>
      </c>
      <c r="M37" s="27">
        <f>IF(AND(D37/Summary!$C$4&gt;0, D37/Summary!$C$4&lt;1),E37,0)</f>
        <v>0</v>
      </c>
      <c r="N37" s="27">
        <f t="shared" si="2"/>
        <v>0</v>
      </c>
      <c r="O37" s="27">
        <f>IF(D37/Summary!$C$4=1,1,0)*E37</f>
        <v>0</v>
      </c>
      <c r="P37" s="27">
        <f t="shared" si="3"/>
        <v>0</v>
      </c>
      <c r="Q37" s="27">
        <f>IF(AND(D37/Summary!$C$4&gt;1, D37/Summary!$C$4&lt;=2),1,0)*E37</f>
        <v>0</v>
      </c>
      <c r="R37" s="27">
        <f t="shared" si="4"/>
        <v>0</v>
      </c>
      <c r="S37" s="27">
        <f>IF(AND(D37/Summary!$C$4&gt;2,D37/Summary!$C$4&lt;=5),1,0)*E37</f>
        <v>0</v>
      </c>
      <c r="T37" s="27">
        <f t="shared" si="5"/>
        <v>0</v>
      </c>
      <c r="U37" s="27">
        <f>IF(AND(D37/Summary!$C$4&gt;5, D37/Summary!$C$4&lt;=10),1,0)*E37</f>
        <v>0</v>
      </c>
      <c r="V37" s="27">
        <f t="shared" si="6"/>
        <v>0</v>
      </c>
      <c r="W37" s="27">
        <f>IF(AND(D37/Summary!$C$4&gt;10, D37/Summary!$C$4&lt;=20),1,0)*E37</f>
        <v>142</v>
      </c>
      <c r="X37" s="27">
        <f t="shared" si="7"/>
        <v>2840</v>
      </c>
      <c r="Y37" s="27">
        <f>IF(AND(D37/Summary!$C$4&gt;20, D37/Summary!$C$4&lt;=30),1,0)*E37</f>
        <v>0</v>
      </c>
      <c r="Z37" s="27">
        <f t="shared" si="8"/>
        <v>0</v>
      </c>
      <c r="AA37" s="27">
        <f>IF(AND(D37/Summary!$C$4&gt;30, D37/Summary!$C$4&lt;=50),1,0)*E37</f>
        <v>0</v>
      </c>
      <c r="AB37" s="27">
        <f t="shared" si="9"/>
        <v>0</v>
      </c>
      <c r="AC37" s="27">
        <f>IF(AND(D37/Summary!$C$4&gt;50, D37/Summary!$C$4&lt;=100),1,0)*E37</f>
        <v>0</v>
      </c>
      <c r="AD37" s="27">
        <f t="shared" si="10"/>
        <v>0</v>
      </c>
      <c r="AE37" s="27">
        <f>IF(D37/Summary!$C$4&gt;100,1,0)*E37</f>
        <v>0</v>
      </c>
      <c r="AF37" s="27">
        <f t="shared" si="11"/>
        <v>0</v>
      </c>
      <c r="AG37" s="19">
        <f t="shared" si="12"/>
        <v>0</v>
      </c>
      <c r="AH37" s="19">
        <f t="shared" si="13"/>
        <v>0</v>
      </c>
      <c r="AI37" s="19">
        <f t="shared" si="14"/>
        <v>0</v>
      </c>
      <c r="AJ37" s="27">
        <f t="shared" si="15"/>
        <v>0</v>
      </c>
      <c r="AK37" s="27">
        <f t="shared" si="16"/>
        <v>0</v>
      </c>
      <c r="AL37" s="27">
        <f t="shared" si="17"/>
        <v>0</v>
      </c>
      <c r="AM37">
        <f t="shared" si="18"/>
        <v>0</v>
      </c>
      <c r="AN37">
        <f t="shared" si="19"/>
        <v>0</v>
      </c>
      <c r="AO37">
        <f t="shared" si="20"/>
        <v>0</v>
      </c>
      <c r="AP37">
        <f t="shared" si="21"/>
        <v>0</v>
      </c>
      <c r="AQ37">
        <f t="shared" si="22"/>
        <v>0</v>
      </c>
      <c r="AR37">
        <f t="shared" si="23"/>
        <v>0</v>
      </c>
      <c r="AS37">
        <f t="shared" si="24"/>
        <v>0</v>
      </c>
      <c r="AT37">
        <f t="shared" si="25"/>
        <v>0</v>
      </c>
      <c r="AU37">
        <f t="shared" si="26"/>
        <v>0</v>
      </c>
      <c r="AV37">
        <f t="shared" si="27"/>
        <v>0</v>
      </c>
      <c r="AW37">
        <f t="shared" si="28"/>
        <v>0</v>
      </c>
      <c r="AX37">
        <f t="shared" si="29"/>
        <v>0</v>
      </c>
      <c r="AY37">
        <f t="shared" si="30"/>
        <v>0</v>
      </c>
      <c r="AZ37">
        <f t="shared" si="31"/>
        <v>0</v>
      </c>
      <c r="BA37">
        <f t="shared" si="32"/>
        <v>0</v>
      </c>
      <c r="BB37">
        <f t="shared" si="33"/>
        <v>0</v>
      </c>
      <c r="BC37">
        <f t="shared" si="34"/>
        <v>0</v>
      </c>
      <c r="BD37">
        <f t="shared" si="35"/>
        <v>0</v>
      </c>
      <c r="BE37">
        <f t="shared" si="36"/>
        <v>0</v>
      </c>
      <c r="BF37">
        <f t="shared" si="37"/>
        <v>0</v>
      </c>
      <c r="BG37">
        <f t="shared" si="38"/>
        <v>0</v>
      </c>
      <c r="BH37">
        <f t="shared" si="39"/>
        <v>0</v>
      </c>
      <c r="BI37">
        <f t="shared" si="40"/>
        <v>0</v>
      </c>
      <c r="BJ37">
        <f t="shared" si="41"/>
        <v>0</v>
      </c>
      <c r="BK37">
        <f t="shared" si="42"/>
        <v>0</v>
      </c>
      <c r="BL37">
        <v>0</v>
      </c>
      <c r="BM37" t="str">
        <f t="shared" si="49"/>
        <v>Big Win</v>
      </c>
      <c r="BN37" s="32" t="str">
        <f t="shared" si="50"/>
        <v>Single Win</v>
      </c>
      <c r="BO37">
        <f>(D37/Summary!$C$4-Summary!$C$8)^2*E37</f>
        <v>52183.423800000011</v>
      </c>
      <c r="BP37">
        <f t="shared" si="43"/>
        <v>0</v>
      </c>
      <c r="BQ37">
        <f t="shared" si="44"/>
        <v>0</v>
      </c>
      <c r="BR37">
        <f t="shared" si="45"/>
        <v>0</v>
      </c>
      <c r="BS37">
        <f t="shared" si="46"/>
        <v>0</v>
      </c>
    </row>
    <row r="38" spans="2:71">
      <c r="B38" s="16">
        <f>Tiers!B39</f>
        <v>36</v>
      </c>
      <c r="C38" s="17" t="str">
        <f>Tiers!Y39</f>
        <v>main-35||||||||| x 1</v>
      </c>
      <c r="D38" s="18">
        <f>Tiers!C39</f>
        <v>50</v>
      </c>
      <c r="E38" s="19">
        <f>Frequency!E40</f>
        <v>10</v>
      </c>
      <c r="F38" s="19">
        <f t="shared" si="0"/>
        <v>500</v>
      </c>
      <c r="G38" s="19">
        <f>IF(Tiers!D39&gt;1,'Data Analysis'!E38,0)</f>
        <v>0</v>
      </c>
      <c r="H38" s="19">
        <f t="shared" si="1"/>
        <v>0</v>
      </c>
      <c r="I38" s="19">
        <f>IF(AND(D38/Summary!$C$4&gt;0, D38/Summary!$C$4&lt;5),E38,0) * D38</f>
        <v>0</v>
      </c>
      <c r="J38" s="19">
        <f>IF(AND(D38/Summary!$C$4&gt;= 5, D38/Summary!$C$4&lt;10),E38,0) * D38</f>
        <v>0</v>
      </c>
      <c r="K38" s="19">
        <f>IF(AND(D38/Summary!$C$4&gt;=10, D38/Summary!$C$4&lt;25),E38,0)*D38</f>
        <v>0</v>
      </c>
      <c r="L38" s="19">
        <f>IF(D38/Summary!$C$4&gt;=25,E38,0)*D38</f>
        <v>500</v>
      </c>
      <c r="M38" s="27">
        <f>IF(AND(D38/Summary!$C$4&gt;0, D38/Summary!$C$4&lt;1),E38,0)</f>
        <v>0</v>
      </c>
      <c r="N38" s="27">
        <f t="shared" si="2"/>
        <v>0</v>
      </c>
      <c r="O38" s="27">
        <f>IF(D38/Summary!$C$4=1,1,0)*E38</f>
        <v>0</v>
      </c>
      <c r="P38" s="27">
        <f t="shared" si="3"/>
        <v>0</v>
      </c>
      <c r="Q38" s="27">
        <f>IF(AND(D38/Summary!$C$4&gt;1, D38/Summary!$C$4&lt;=2),1,0)*E38</f>
        <v>0</v>
      </c>
      <c r="R38" s="27">
        <f t="shared" si="4"/>
        <v>0</v>
      </c>
      <c r="S38" s="27">
        <f>IF(AND(D38/Summary!$C$4&gt;2,D38/Summary!$C$4&lt;=5),1,0)*E38</f>
        <v>0</v>
      </c>
      <c r="T38" s="27">
        <f t="shared" si="5"/>
        <v>0</v>
      </c>
      <c r="U38" s="27">
        <f>IF(AND(D38/Summary!$C$4&gt;5, D38/Summary!$C$4&lt;=10),1,0)*E38</f>
        <v>0</v>
      </c>
      <c r="V38" s="27">
        <f t="shared" si="6"/>
        <v>0</v>
      </c>
      <c r="W38" s="27">
        <f>IF(AND(D38/Summary!$C$4&gt;10, D38/Summary!$C$4&lt;=20),1,0)*E38</f>
        <v>0</v>
      </c>
      <c r="X38" s="27">
        <f t="shared" si="7"/>
        <v>0</v>
      </c>
      <c r="Y38" s="27">
        <f>IF(AND(D38/Summary!$C$4&gt;20, D38/Summary!$C$4&lt;=30),1,0)*E38</f>
        <v>0</v>
      </c>
      <c r="Z38" s="27">
        <f t="shared" si="8"/>
        <v>0</v>
      </c>
      <c r="AA38" s="27">
        <f>IF(AND(D38/Summary!$C$4&gt;30, D38/Summary!$C$4&lt;=50),1,0)*E38</f>
        <v>10</v>
      </c>
      <c r="AB38" s="27">
        <f t="shared" si="9"/>
        <v>500</v>
      </c>
      <c r="AC38" s="27">
        <f>IF(AND(D38/Summary!$C$4&gt;50, D38/Summary!$C$4&lt;=100),1,0)*E38</f>
        <v>0</v>
      </c>
      <c r="AD38" s="27">
        <f t="shared" si="10"/>
        <v>0</v>
      </c>
      <c r="AE38" s="27">
        <f>IF(D38/Summary!$C$4&gt;100,1,0)*E38</f>
        <v>0</v>
      </c>
      <c r="AF38" s="27">
        <f t="shared" si="11"/>
        <v>0</v>
      </c>
      <c r="AG38" s="19">
        <f t="shared" si="12"/>
        <v>0</v>
      </c>
      <c r="AH38" s="19">
        <f t="shared" si="13"/>
        <v>0</v>
      </c>
      <c r="AI38" s="19">
        <f t="shared" si="14"/>
        <v>0</v>
      </c>
      <c r="AJ38" s="27">
        <f t="shared" si="15"/>
        <v>0</v>
      </c>
      <c r="AK38" s="27">
        <f t="shared" si="16"/>
        <v>0</v>
      </c>
      <c r="AL38" s="27">
        <f t="shared" si="17"/>
        <v>0</v>
      </c>
      <c r="AM38">
        <f t="shared" si="18"/>
        <v>0</v>
      </c>
      <c r="AN38">
        <f t="shared" si="19"/>
        <v>0</v>
      </c>
      <c r="AO38">
        <f t="shared" si="20"/>
        <v>0</v>
      </c>
      <c r="AP38">
        <f t="shared" si="21"/>
        <v>0</v>
      </c>
      <c r="AQ38">
        <f t="shared" si="22"/>
        <v>0</v>
      </c>
      <c r="AR38">
        <f t="shared" si="23"/>
        <v>0</v>
      </c>
      <c r="AS38">
        <f t="shared" si="24"/>
        <v>0</v>
      </c>
      <c r="AT38">
        <f t="shared" si="25"/>
        <v>0</v>
      </c>
      <c r="AU38">
        <f t="shared" si="26"/>
        <v>0</v>
      </c>
      <c r="AV38">
        <f t="shared" si="27"/>
        <v>0</v>
      </c>
      <c r="AW38">
        <f t="shared" si="28"/>
        <v>0</v>
      </c>
      <c r="AX38">
        <f t="shared" si="29"/>
        <v>0</v>
      </c>
      <c r="AY38">
        <f t="shared" si="30"/>
        <v>0</v>
      </c>
      <c r="AZ38">
        <f t="shared" si="31"/>
        <v>0</v>
      </c>
      <c r="BA38">
        <f t="shared" si="32"/>
        <v>0</v>
      </c>
      <c r="BB38">
        <f t="shared" si="33"/>
        <v>0</v>
      </c>
      <c r="BC38">
        <f t="shared" si="34"/>
        <v>0</v>
      </c>
      <c r="BD38">
        <f t="shared" si="35"/>
        <v>0</v>
      </c>
      <c r="BE38">
        <f t="shared" si="36"/>
        <v>0</v>
      </c>
      <c r="BF38">
        <f t="shared" si="37"/>
        <v>0</v>
      </c>
      <c r="BG38">
        <f t="shared" si="38"/>
        <v>0</v>
      </c>
      <c r="BH38">
        <f t="shared" si="39"/>
        <v>0</v>
      </c>
      <c r="BI38">
        <f t="shared" si="40"/>
        <v>0</v>
      </c>
      <c r="BJ38">
        <f t="shared" si="41"/>
        <v>0</v>
      </c>
      <c r="BK38">
        <f t="shared" si="42"/>
        <v>0</v>
      </c>
      <c r="BL38">
        <v>0</v>
      </c>
      <c r="BM38" t="str">
        <f t="shared" si="49"/>
        <v>Huge Win</v>
      </c>
      <c r="BN38" s="32" t="str">
        <f t="shared" si="50"/>
        <v>Single Win</v>
      </c>
      <c r="BO38">
        <f>(D38/Summary!$C$4-Summary!$C$8)^2*E38</f>
        <v>24176.889000000003</v>
      </c>
      <c r="BP38">
        <f t="shared" si="43"/>
        <v>0</v>
      </c>
      <c r="BQ38">
        <f t="shared" si="44"/>
        <v>0</v>
      </c>
      <c r="BR38">
        <f t="shared" si="45"/>
        <v>0</v>
      </c>
      <c r="BS38">
        <f t="shared" si="46"/>
        <v>0</v>
      </c>
    </row>
    <row r="39" spans="2:71">
      <c r="B39" s="16">
        <f>Tiers!B40</f>
        <v>37</v>
      </c>
      <c r="C39" s="17" t="str">
        <f>Tiers!Y40</f>
        <v>main-36||||||||| x 1</v>
      </c>
      <c r="D39" s="18">
        <f>Tiers!C40</f>
        <v>100</v>
      </c>
      <c r="E39" s="19">
        <f>Frequency!E41</f>
        <v>3</v>
      </c>
      <c r="F39" s="19">
        <f t="shared" si="0"/>
        <v>300</v>
      </c>
      <c r="G39" s="19">
        <f>IF(Tiers!D40&gt;1,'Data Analysis'!E39,0)</f>
        <v>0</v>
      </c>
      <c r="H39" s="19">
        <f t="shared" si="1"/>
        <v>0</v>
      </c>
      <c r="I39" s="19">
        <f>IF(AND(D39/Summary!$C$4&gt;0, D39/Summary!$C$4&lt;5),E39,0) * D39</f>
        <v>0</v>
      </c>
      <c r="J39" s="19">
        <f>IF(AND(D39/Summary!$C$4&gt;= 5, D39/Summary!$C$4&lt;10),E39,0) * D39</f>
        <v>0</v>
      </c>
      <c r="K39" s="19">
        <f>IF(AND(D39/Summary!$C$4&gt;=10, D39/Summary!$C$4&lt;25),E39,0)*D39</f>
        <v>0</v>
      </c>
      <c r="L39" s="19">
        <f>IF(D39/Summary!$C$4&gt;=25,E39,0)*D39</f>
        <v>300</v>
      </c>
      <c r="M39" s="27">
        <f>IF(AND(D39/Summary!$C$4&gt;0, D39/Summary!$C$4&lt;1),E39,0)</f>
        <v>0</v>
      </c>
      <c r="N39" s="27">
        <f t="shared" si="2"/>
        <v>0</v>
      </c>
      <c r="O39" s="27">
        <f>IF(D39/Summary!$C$4=1,1,0)*E39</f>
        <v>0</v>
      </c>
      <c r="P39" s="27">
        <f t="shared" si="3"/>
        <v>0</v>
      </c>
      <c r="Q39" s="27">
        <f>IF(AND(D39/Summary!$C$4&gt;1, D39/Summary!$C$4&lt;=2),1,0)*E39</f>
        <v>0</v>
      </c>
      <c r="R39" s="27">
        <f t="shared" si="4"/>
        <v>0</v>
      </c>
      <c r="S39" s="27">
        <f>IF(AND(D39/Summary!$C$4&gt;2,D39/Summary!$C$4&lt;=5),1,0)*E39</f>
        <v>0</v>
      </c>
      <c r="T39" s="27">
        <f t="shared" si="5"/>
        <v>0</v>
      </c>
      <c r="U39" s="27">
        <f>IF(AND(D39/Summary!$C$4&gt;5, D39/Summary!$C$4&lt;=10),1,0)*E39</f>
        <v>0</v>
      </c>
      <c r="V39" s="27">
        <f t="shared" si="6"/>
        <v>0</v>
      </c>
      <c r="W39" s="27">
        <f>IF(AND(D39/Summary!$C$4&gt;10, D39/Summary!$C$4&lt;=20),1,0)*E39</f>
        <v>0</v>
      </c>
      <c r="X39" s="27">
        <f t="shared" si="7"/>
        <v>0</v>
      </c>
      <c r="Y39" s="27">
        <f>IF(AND(D39/Summary!$C$4&gt;20, D39/Summary!$C$4&lt;=30),1,0)*E39</f>
        <v>0</v>
      </c>
      <c r="Z39" s="27">
        <f t="shared" si="8"/>
        <v>0</v>
      </c>
      <c r="AA39" s="27">
        <f>IF(AND(D39/Summary!$C$4&gt;30, D39/Summary!$C$4&lt;=50),1,0)*E39</f>
        <v>0</v>
      </c>
      <c r="AB39" s="27">
        <f t="shared" si="9"/>
        <v>0</v>
      </c>
      <c r="AC39" s="27">
        <f>IF(AND(D39/Summary!$C$4&gt;50, D39/Summary!$C$4&lt;=100),1,0)*E39</f>
        <v>3</v>
      </c>
      <c r="AD39" s="27">
        <f t="shared" si="10"/>
        <v>300</v>
      </c>
      <c r="AE39" s="27">
        <f>IF(D39/Summary!$C$4&gt;100,1,0)*E39</f>
        <v>0</v>
      </c>
      <c r="AF39" s="27">
        <f t="shared" si="11"/>
        <v>0</v>
      </c>
      <c r="AG39" s="19">
        <f t="shared" si="12"/>
        <v>0</v>
      </c>
      <c r="AH39" s="19">
        <f t="shared" si="13"/>
        <v>0</v>
      </c>
      <c r="AI39" s="19">
        <f t="shared" si="14"/>
        <v>0</v>
      </c>
      <c r="AJ39" s="27">
        <f t="shared" si="15"/>
        <v>0</v>
      </c>
      <c r="AK39" s="27">
        <f t="shared" si="16"/>
        <v>0</v>
      </c>
      <c r="AL39" s="27">
        <f t="shared" si="17"/>
        <v>0</v>
      </c>
      <c r="AM39">
        <f t="shared" si="18"/>
        <v>0</v>
      </c>
      <c r="AN39">
        <f t="shared" si="19"/>
        <v>0</v>
      </c>
      <c r="AO39">
        <f t="shared" si="20"/>
        <v>0</v>
      </c>
      <c r="AP39">
        <f t="shared" si="21"/>
        <v>0</v>
      </c>
      <c r="AQ39">
        <f t="shared" si="22"/>
        <v>0</v>
      </c>
      <c r="AR39">
        <f t="shared" si="23"/>
        <v>0</v>
      </c>
      <c r="AS39">
        <f t="shared" si="24"/>
        <v>0</v>
      </c>
      <c r="AT39">
        <f t="shared" si="25"/>
        <v>0</v>
      </c>
      <c r="AU39">
        <f t="shared" si="26"/>
        <v>0</v>
      </c>
      <c r="AV39">
        <f t="shared" si="27"/>
        <v>0</v>
      </c>
      <c r="AW39">
        <f t="shared" si="28"/>
        <v>0</v>
      </c>
      <c r="AX39">
        <f t="shared" si="29"/>
        <v>0</v>
      </c>
      <c r="AY39">
        <f t="shared" si="30"/>
        <v>0</v>
      </c>
      <c r="AZ39">
        <f t="shared" si="31"/>
        <v>0</v>
      </c>
      <c r="BA39">
        <f t="shared" si="32"/>
        <v>0</v>
      </c>
      <c r="BB39">
        <f t="shared" si="33"/>
        <v>0</v>
      </c>
      <c r="BC39">
        <f t="shared" si="34"/>
        <v>0</v>
      </c>
      <c r="BD39">
        <f t="shared" si="35"/>
        <v>0</v>
      </c>
      <c r="BE39">
        <f t="shared" si="36"/>
        <v>0</v>
      </c>
      <c r="BF39">
        <f t="shared" si="37"/>
        <v>0</v>
      </c>
      <c r="BG39">
        <f t="shared" si="38"/>
        <v>0</v>
      </c>
      <c r="BH39">
        <f t="shared" si="39"/>
        <v>0</v>
      </c>
      <c r="BI39">
        <f t="shared" si="40"/>
        <v>0</v>
      </c>
      <c r="BJ39">
        <f t="shared" si="41"/>
        <v>0</v>
      </c>
      <c r="BK39">
        <f t="shared" si="42"/>
        <v>0</v>
      </c>
      <c r="BL39">
        <v>0</v>
      </c>
      <c r="BM39" t="str">
        <f t="shared" si="49"/>
        <v>Huge Win</v>
      </c>
      <c r="BN39" s="32" t="str">
        <f t="shared" si="50"/>
        <v>Single Win</v>
      </c>
      <c r="BO39">
        <f>(D39/Summary!$C$4-Summary!$C$8)^2*E39</f>
        <v>29504.066700000003</v>
      </c>
      <c r="BP39">
        <f t="shared" si="43"/>
        <v>0</v>
      </c>
      <c r="BQ39">
        <f t="shared" si="44"/>
        <v>0</v>
      </c>
      <c r="BR39">
        <f t="shared" si="45"/>
        <v>0</v>
      </c>
      <c r="BS39">
        <f t="shared" si="46"/>
        <v>0</v>
      </c>
    </row>
    <row r="40" spans="2:71">
      <c r="B40" s="16">
        <f>Tiers!B41</f>
        <v>38</v>
      </c>
      <c r="C40" s="17" t="str">
        <f>Tiers!Y41</f>
        <v>main-37||||||||| x 1</v>
      </c>
      <c r="D40" s="18">
        <f>Tiers!C41</f>
        <v>200</v>
      </c>
      <c r="E40" s="19">
        <f>Frequency!E42</f>
        <v>1</v>
      </c>
      <c r="F40" s="19">
        <f t="shared" si="0"/>
        <v>200</v>
      </c>
      <c r="G40" s="19">
        <f>IF(Tiers!D41&gt;1,'Data Analysis'!E40,0)</f>
        <v>0</v>
      </c>
      <c r="H40" s="19">
        <f t="shared" si="1"/>
        <v>0</v>
      </c>
      <c r="I40" s="19">
        <f>IF(AND(D40/Summary!$C$4&gt;0, D40/Summary!$C$4&lt;5),E40,0) * D40</f>
        <v>0</v>
      </c>
      <c r="J40" s="19">
        <f>IF(AND(D40/Summary!$C$4&gt;= 5, D40/Summary!$C$4&lt;10),E40,0) * D40</f>
        <v>0</v>
      </c>
      <c r="K40" s="19">
        <f>IF(AND(D40/Summary!$C$4&gt;=10, D40/Summary!$C$4&lt;25),E40,0)*D40</f>
        <v>0</v>
      </c>
      <c r="L40" s="19">
        <f>IF(D40/Summary!$C$4&gt;=25,E40,0)*D40</f>
        <v>200</v>
      </c>
      <c r="M40" s="27">
        <f>IF(AND(D40/Summary!$C$4&gt;0, D40/Summary!$C$4&lt;1),E40,0)</f>
        <v>0</v>
      </c>
      <c r="N40" s="27">
        <f t="shared" si="2"/>
        <v>0</v>
      </c>
      <c r="O40" s="27">
        <f>IF(D40/Summary!$C$4=1,1,0)*E40</f>
        <v>0</v>
      </c>
      <c r="P40" s="27">
        <f t="shared" si="3"/>
        <v>0</v>
      </c>
      <c r="Q40" s="27">
        <f>IF(AND(D40/Summary!$C$4&gt;1, D40/Summary!$C$4&lt;=2),1,0)*E40</f>
        <v>0</v>
      </c>
      <c r="R40" s="27">
        <f t="shared" si="4"/>
        <v>0</v>
      </c>
      <c r="S40" s="27">
        <f>IF(AND(D40/Summary!$C$4&gt;2,D40/Summary!$C$4&lt;=5),1,0)*E40</f>
        <v>0</v>
      </c>
      <c r="T40" s="27">
        <f t="shared" si="5"/>
        <v>0</v>
      </c>
      <c r="U40" s="27">
        <f>IF(AND(D40/Summary!$C$4&gt;5, D40/Summary!$C$4&lt;=10),1,0)*E40</f>
        <v>0</v>
      </c>
      <c r="V40" s="27">
        <f t="shared" si="6"/>
        <v>0</v>
      </c>
      <c r="W40" s="27">
        <f>IF(AND(D40/Summary!$C$4&gt;10, D40/Summary!$C$4&lt;=20),1,0)*E40</f>
        <v>0</v>
      </c>
      <c r="X40" s="27">
        <f t="shared" si="7"/>
        <v>0</v>
      </c>
      <c r="Y40" s="27">
        <f>IF(AND(D40/Summary!$C$4&gt;20, D40/Summary!$C$4&lt;=30),1,0)*E40</f>
        <v>0</v>
      </c>
      <c r="Z40" s="27">
        <f t="shared" si="8"/>
        <v>0</v>
      </c>
      <c r="AA40" s="27">
        <f>IF(AND(D40/Summary!$C$4&gt;30, D40/Summary!$C$4&lt;=50),1,0)*E40</f>
        <v>0</v>
      </c>
      <c r="AB40" s="27">
        <f t="shared" si="9"/>
        <v>0</v>
      </c>
      <c r="AC40" s="27">
        <f>IF(AND(D40/Summary!$C$4&gt;50, D40/Summary!$C$4&lt;=100),1,0)*E40</f>
        <v>0</v>
      </c>
      <c r="AD40" s="27">
        <f t="shared" si="10"/>
        <v>0</v>
      </c>
      <c r="AE40" s="27">
        <f>IF(D40/Summary!$C$4&gt;100,1,0)*E40</f>
        <v>1</v>
      </c>
      <c r="AF40" s="27">
        <f t="shared" si="11"/>
        <v>200</v>
      </c>
      <c r="AG40" s="19">
        <f t="shared" si="12"/>
        <v>0</v>
      </c>
      <c r="AH40" s="19">
        <f t="shared" si="13"/>
        <v>0</v>
      </c>
      <c r="AI40" s="19">
        <f t="shared" si="14"/>
        <v>0</v>
      </c>
      <c r="AJ40" s="27">
        <f t="shared" si="15"/>
        <v>0</v>
      </c>
      <c r="AK40" s="27">
        <f t="shared" si="16"/>
        <v>0</v>
      </c>
      <c r="AL40" s="27">
        <f t="shared" si="17"/>
        <v>0</v>
      </c>
      <c r="AM40">
        <f t="shared" si="18"/>
        <v>0</v>
      </c>
      <c r="AN40">
        <f t="shared" si="19"/>
        <v>0</v>
      </c>
      <c r="AO40">
        <f t="shared" si="20"/>
        <v>0</v>
      </c>
      <c r="AP40">
        <f t="shared" si="21"/>
        <v>0</v>
      </c>
      <c r="AQ40">
        <f t="shared" si="22"/>
        <v>0</v>
      </c>
      <c r="AR40">
        <f t="shared" si="23"/>
        <v>0</v>
      </c>
      <c r="AS40">
        <f t="shared" si="24"/>
        <v>0</v>
      </c>
      <c r="AT40">
        <f t="shared" si="25"/>
        <v>0</v>
      </c>
      <c r="AU40">
        <f t="shared" si="26"/>
        <v>0</v>
      </c>
      <c r="AV40">
        <f t="shared" si="27"/>
        <v>0</v>
      </c>
      <c r="AW40">
        <f t="shared" si="28"/>
        <v>0</v>
      </c>
      <c r="AX40">
        <f t="shared" si="29"/>
        <v>0</v>
      </c>
      <c r="AY40">
        <f t="shared" si="30"/>
        <v>0</v>
      </c>
      <c r="AZ40">
        <f t="shared" si="31"/>
        <v>0</v>
      </c>
      <c r="BA40">
        <f t="shared" si="32"/>
        <v>0</v>
      </c>
      <c r="BB40">
        <f t="shared" si="33"/>
        <v>0</v>
      </c>
      <c r="BC40">
        <f t="shared" si="34"/>
        <v>0</v>
      </c>
      <c r="BD40">
        <f t="shared" si="35"/>
        <v>0</v>
      </c>
      <c r="BE40">
        <f t="shared" si="36"/>
        <v>0</v>
      </c>
      <c r="BF40">
        <f t="shared" si="37"/>
        <v>0</v>
      </c>
      <c r="BG40">
        <f t="shared" si="38"/>
        <v>0</v>
      </c>
      <c r="BH40">
        <f t="shared" si="39"/>
        <v>0</v>
      </c>
      <c r="BI40">
        <f t="shared" si="40"/>
        <v>0</v>
      </c>
      <c r="BJ40">
        <f t="shared" si="41"/>
        <v>0</v>
      </c>
      <c r="BK40">
        <f t="shared" si="42"/>
        <v>0</v>
      </c>
      <c r="BL40">
        <v>0</v>
      </c>
      <c r="BM40" t="str">
        <f t="shared" si="49"/>
        <v>Huge Win</v>
      </c>
      <c r="BN40" s="32" t="str">
        <f t="shared" si="50"/>
        <v>Single Win</v>
      </c>
      <c r="BO40">
        <f>(D40/Summary!$C$4-Summary!$C$8)^2*E40</f>
        <v>39668.688899999994</v>
      </c>
      <c r="BP40">
        <f t="shared" si="43"/>
        <v>0</v>
      </c>
      <c r="BQ40">
        <f t="shared" si="44"/>
        <v>0</v>
      </c>
      <c r="BR40">
        <f t="shared" si="45"/>
        <v>0</v>
      </c>
      <c r="BS40">
        <f t="shared" si="46"/>
        <v>0</v>
      </c>
    </row>
    <row r="41" spans="2:71">
      <c r="B41" s="16">
        <f>Tiers!B42</f>
        <v>39</v>
      </c>
      <c r="C41" s="17" t="str">
        <f>Tiers!Y42</f>
        <v>main-38||||||||| x 1</v>
      </c>
      <c r="D41" s="18">
        <f>Tiers!C42</f>
        <v>500</v>
      </c>
      <c r="E41" s="19">
        <f>Frequency!E43</f>
        <v>1</v>
      </c>
      <c r="F41" s="19">
        <f t="shared" si="0"/>
        <v>500</v>
      </c>
      <c r="G41" s="19">
        <f>IF(Tiers!D42&gt;1,'Data Analysis'!E41,0)</f>
        <v>0</v>
      </c>
      <c r="H41" s="19">
        <f t="shared" si="1"/>
        <v>0</v>
      </c>
      <c r="I41" s="19">
        <f>IF(AND(D41/Summary!$C$4&gt;0, D41/Summary!$C$4&lt;5),E41,0) * D41</f>
        <v>0</v>
      </c>
      <c r="J41" s="19">
        <f>IF(AND(D41/Summary!$C$4&gt;= 5, D41/Summary!$C$4&lt;10),E41,0) * D41</f>
        <v>0</v>
      </c>
      <c r="K41" s="19">
        <f>IF(AND(D41/Summary!$C$4&gt;=10, D41/Summary!$C$4&lt;25),E41,0)*D41</f>
        <v>0</v>
      </c>
      <c r="L41" s="19">
        <f>IF(D41/Summary!$C$4&gt;=25,E41,0)*D41</f>
        <v>500</v>
      </c>
      <c r="M41" s="27">
        <f>IF(AND(D41/Summary!$C$4&gt;0, D41/Summary!$C$4&lt;1),E41,0)</f>
        <v>0</v>
      </c>
      <c r="N41" s="27">
        <f t="shared" si="2"/>
        <v>0</v>
      </c>
      <c r="O41" s="27">
        <f>IF(D41/Summary!$C$4=1,1,0)*E41</f>
        <v>0</v>
      </c>
      <c r="P41" s="27">
        <f t="shared" si="3"/>
        <v>0</v>
      </c>
      <c r="Q41" s="27">
        <f>IF(AND(D41/Summary!$C$4&gt;1, D41/Summary!$C$4&lt;=2),1,0)*E41</f>
        <v>0</v>
      </c>
      <c r="R41" s="27">
        <f t="shared" si="4"/>
        <v>0</v>
      </c>
      <c r="S41" s="27">
        <f>IF(AND(D41/Summary!$C$4&gt;2,D41/Summary!$C$4&lt;=5),1,0)*E41</f>
        <v>0</v>
      </c>
      <c r="T41" s="27">
        <f t="shared" si="5"/>
        <v>0</v>
      </c>
      <c r="U41" s="27">
        <f>IF(AND(D41/Summary!$C$4&gt;5, D41/Summary!$C$4&lt;=10),1,0)*E41</f>
        <v>0</v>
      </c>
      <c r="V41" s="27">
        <f t="shared" si="6"/>
        <v>0</v>
      </c>
      <c r="W41" s="27">
        <f>IF(AND(D41/Summary!$C$4&gt;10, D41/Summary!$C$4&lt;=20),1,0)*E41</f>
        <v>0</v>
      </c>
      <c r="X41" s="27">
        <f t="shared" si="7"/>
        <v>0</v>
      </c>
      <c r="Y41" s="27">
        <f>IF(AND(D41/Summary!$C$4&gt;20, D41/Summary!$C$4&lt;=30),1,0)*E41</f>
        <v>0</v>
      </c>
      <c r="Z41" s="27">
        <f t="shared" si="8"/>
        <v>0</v>
      </c>
      <c r="AA41" s="27">
        <f>IF(AND(D41/Summary!$C$4&gt;30, D41/Summary!$C$4&lt;=50),1,0)*E41</f>
        <v>0</v>
      </c>
      <c r="AB41" s="27">
        <f t="shared" si="9"/>
        <v>0</v>
      </c>
      <c r="AC41" s="27">
        <f>IF(AND(D41/Summary!$C$4&gt;50, D41/Summary!$C$4&lt;=100),1,0)*E41</f>
        <v>0</v>
      </c>
      <c r="AD41" s="27">
        <f t="shared" si="10"/>
        <v>0</v>
      </c>
      <c r="AE41" s="27">
        <f>IF(D41/Summary!$C$4&gt;100,1,0)*E41</f>
        <v>1</v>
      </c>
      <c r="AF41" s="27">
        <f t="shared" si="11"/>
        <v>500</v>
      </c>
      <c r="AG41" s="19">
        <f t="shared" si="12"/>
        <v>0</v>
      </c>
      <c r="AH41" s="19">
        <f t="shared" si="13"/>
        <v>0</v>
      </c>
      <c r="AI41" s="19">
        <f t="shared" si="14"/>
        <v>0</v>
      </c>
      <c r="AJ41" s="27">
        <f t="shared" si="15"/>
        <v>0</v>
      </c>
      <c r="AK41" s="27">
        <f t="shared" si="16"/>
        <v>0</v>
      </c>
      <c r="AL41" s="27">
        <f t="shared" si="17"/>
        <v>0</v>
      </c>
      <c r="AM41">
        <f t="shared" si="18"/>
        <v>0</v>
      </c>
      <c r="AN41">
        <f t="shared" si="19"/>
        <v>0</v>
      </c>
      <c r="AO41">
        <f t="shared" si="20"/>
        <v>0</v>
      </c>
      <c r="AP41">
        <f t="shared" si="21"/>
        <v>0</v>
      </c>
      <c r="AQ41">
        <f t="shared" si="22"/>
        <v>0</v>
      </c>
      <c r="AR41">
        <f t="shared" si="23"/>
        <v>0</v>
      </c>
      <c r="AS41">
        <f t="shared" si="24"/>
        <v>0</v>
      </c>
      <c r="AT41">
        <f t="shared" si="25"/>
        <v>0</v>
      </c>
      <c r="AU41">
        <f t="shared" si="26"/>
        <v>0</v>
      </c>
      <c r="AV41">
        <f t="shared" si="27"/>
        <v>0</v>
      </c>
      <c r="AW41">
        <f t="shared" si="28"/>
        <v>0</v>
      </c>
      <c r="AX41">
        <f t="shared" si="29"/>
        <v>0</v>
      </c>
      <c r="AY41">
        <f t="shared" si="30"/>
        <v>0</v>
      </c>
      <c r="AZ41">
        <f t="shared" si="31"/>
        <v>0</v>
      </c>
      <c r="BA41">
        <f t="shared" si="32"/>
        <v>0</v>
      </c>
      <c r="BB41">
        <f t="shared" si="33"/>
        <v>0</v>
      </c>
      <c r="BC41">
        <f t="shared" si="34"/>
        <v>0</v>
      </c>
      <c r="BD41">
        <f t="shared" si="35"/>
        <v>0</v>
      </c>
      <c r="BE41">
        <f t="shared" si="36"/>
        <v>0</v>
      </c>
      <c r="BF41">
        <f t="shared" si="37"/>
        <v>0</v>
      </c>
      <c r="BG41">
        <f t="shared" si="38"/>
        <v>0</v>
      </c>
      <c r="BH41">
        <f t="shared" si="39"/>
        <v>0</v>
      </c>
      <c r="BI41">
        <f t="shared" si="40"/>
        <v>0</v>
      </c>
      <c r="BJ41">
        <f t="shared" si="41"/>
        <v>0</v>
      </c>
      <c r="BK41">
        <f t="shared" si="42"/>
        <v>0</v>
      </c>
      <c r="BL41">
        <v>0</v>
      </c>
      <c r="BM41" t="str">
        <f t="shared" si="49"/>
        <v>Huge Win</v>
      </c>
      <c r="BN41" s="32" t="str">
        <f t="shared" si="50"/>
        <v>Single Win</v>
      </c>
      <c r="BO41">
        <f>(D41/Summary!$C$4-Summary!$C$8)^2*E41</f>
        <v>249170.68890000001</v>
      </c>
      <c r="BP41">
        <f t="shared" si="43"/>
        <v>0</v>
      </c>
      <c r="BQ41">
        <f t="shared" si="44"/>
        <v>0</v>
      </c>
      <c r="BR41">
        <f t="shared" si="45"/>
        <v>0</v>
      </c>
      <c r="BS41">
        <f t="shared" si="46"/>
        <v>0</v>
      </c>
    </row>
    <row r="42" spans="2:71">
      <c r="B42" s="16">
        <f>Tiers!B43</f>
        <v>40</v>
      </c>
      <c r="C42" s="17" t="str">
        <f>Tiers!Y43</f>
        <v>main-39||||||||| x 1</v>
      </c>
      <c r="D42" s="18">
        <f>Tiers!C43</f>
        <v>1000</v>
      </c>
      <c r="E42" s="19">
        <f>Frequency!E44</f>
        <v>1</v>
      </c>
      <c r="F42" s="19">
        <f t="shared" si="0"/>
        <v>1000</v>
      </c>
      <c r="G42" s="19">
        <f>IF(Tiers!D43&gt;1,'Data Analysis'!E42,0)</f>
        <v>0</v>
      </c>
      <c r="H42" s="19">
        <f t="shared" si="1"/>
        <v>0</v>
      </c>
      <c r="I42" s="19">
        <f>IF(AND(D42/Summary!$C$4&gt;0, D42/Summary!$C$4&lt;5),E42,0) * D42</f>
        <v>0</v>
      </c>
      <c r="J42" s="19">
        <f>IF(AND(D42/Summary!$C$4&gt;= 5, D42/Summary!$C$4&lt;10),E42,0) * D42</f>
        <v>0</v>
      </c>
      <c r="K42" s="19">
        <f>IF(AND(D42/Summary!$C$4&gt;=10, D42/Summary!$C$4&lt;25),E42,0)*D42</f>
        <v>0</v>
      </c>
      <c r="L42" s="19">
        <f>IF(D42/Summary!$C$4&gt;=25,E42,0)*D42</f>
        <v>1000</v>
      </c>
      <c r="M42" s="27">
        <f>IF(AND(D42/Summary!$C$4&gt;0, D42/Summary!$C$4&lt;1),E42,0)</f>
        <v>0</v>
      </c>
      <c r="N42" s="27">
        <f t="shared" si="2"/>
        <v>0</v>
      </c>
      <c r="O42" s="27">
        <f>IF(D42/Summary!$C$4=1,1,0)*E42</f>
        <v>0</v>
      </c>
      <c r="P42" s="27">
        <f t="shared" si="3"/>
        <v>0</v>
      </c>
      <c r="Q42" s="27">
        <f>IF(AND(D42/Summary!$C$4&gt;1, D42/Summary!$C$4&lt;=2),1,0)*E42</f>
        <v>0</v>
      </c>
      <c r="R42" s="27">
        <f t="shared" si="4"/>
        <v>0</v>
      </c>
      <c r="S42" s="27">
        <f>IF(AND(D42/Summary!$C$4&gt;2,D42/Summary!$C$4&lt;=5),1,0)*E42</f>
        <v>0</v>
      </c>
      <c r="T42" s="27">
        <f t="shared" si="5"/>
        <v>0</v>
      </c>
      <c r="U42" s="27">
        <f>IF(AND(D42/Summary!$C$4&gt;5, D42/Summary!$C$4&lt;=10),1,0)*E42</f>
        <v>0</v>
      </c>
      <c r="V42" s="27">
        <f t="shared" si="6"/>
        <v>0</v>
      </c>
      <c r="W42" s="27">
        <f>IF(AND(D42/Summary!$C$4&gt;10, D42/Summary!$C$4&lt;=20),1,0)*E42</f>
        <v>0</v>
      </c>
      <c r="X42" s="27">
        <f t="shared" si="7"/>
        <v>0</v>
      </c>
      <c r="Y42" s="27">
        <f>IF(AND(D42/Summary!$C$4&gt;20, D42/Summary!$C$4&lt;=30),1,0)*E42</f>
        <v>0</v>
      </c>
      <c r="Z42" s="27">
        <f t="shared" si="8"/>
        <v>0</v>
      </c>
      <c r="AA42" s="27">
        <f>IF(AND(D42/Summary!$C$4&gt;30, D42/Summary!$C$4&lt;=50),1,0)*E42</f>
        <v>0</v>
      </c>
      <c r="AB42" s="27">
        <f t="shared" si="9"/>
        <v>0</v>
      </c>
      <c r="AC42" s="27">
        <f>IF(AND(D42/Summary!$C$4&gt;50, D42/Summary!$C$4&lt;=100),1,0)*E42</f>
        <v>0</v>
      </c>
      <c r="AD42" s="27">
        <f t="shared" si="10"/>
        <v>0</v>
      </c>
      <c r="AE42" s="27">
        <f>IF(D42/Summary!$C$4&gt;100,1,0)*E42</f>
        <v>1</v>
      </c>
      <c r="AF42" s="27">
        <f t="shared" si="11"/>
        <v>1000</v>
      </c>
      <c r="AG42" s="19">
        <f t="shared" si="12"/>
        <v>0</v>
      </c>
      <c r="AH42" s="19">
        <f t="shared" si="13"/>
        <v>0</v>
      </c>
      <c r="AI42" s="19">
        <f t="shared" si="14"/>
        <v>0</v>
      </c>
      <c r="AJ42" s="27">
        <f t="shared" si="15"/>
        <v>0</v>
      </c>
      <c r="AK42" s="27">
        <f t="shared" si="16"/>
        <v>0</v>
      </c>
      <c r="AL42" s="27">
        <f t="shared" si="17"/>
        <v>0</v>
      </c>
      <c r="AM42">
        <f t="shared" si="18"/>
        <v>0</v>
      </c>
      <c r="AN42">
        <f t="shared" si="19"/>
        <v>0</v>
      </c>
      <c r="AO42">
        <f t="shared" si="20"/>
        <v>0</v>
      </c>
      <c r="AP42">
        <f t="shared" si="21"/>
        <v>0</v>
      </c>
      <c r="AQ42">
        <f t="shared" si="22"/>
        <v>0</v>
      </c>
      <c r="AR42">
        <f t="shared" si="23"/>
        <v>0</v>
      </c>
      <c r="AS42">
        <f t="shared" si="24"/>
        <v>0</v>
      </c>
      <c r="AT42">
        <f t="shared" si="25"/>
        <v>0</v>
      </c>
      <c r="AU42">
        <f t="shared" si="26"/>
        <v>0</v>
      </c>
      <c r="AV42">
        <f t="shared" si="27"/>
        <v>0</v>
      </c>
      <c r="AW42">
        <f t="shared" si="28"/>
        <v>0</v>
      </c>
      <c r="AX42">
        <f t="shared" si="29"/>
        <v>0</v>
      </c>
      <c r="AY42">
        <f t="shared" si="30"/>
        <v>0</v>
      </c>
      <c r="AZ42">
        <f t="shared" si="31"/>
        <v>0</v>
      </c>
      <c r="BA42">
        <f t="shared" si="32"/>
        <v>0</v>
      </c>
      <c r="BB42">
        <f t="shared" si="33"/>
        <v>0</v>
      </c>
      <c r="BC42">
        <f t="shared" si="34"/>
        <v>0</v>
      </c>
      <c r="BD42">
        <f t="shared" si="35"/>
        <v>0</v>
      </c>
      <c r="BE42">
        <f t="shared" si="36"/>
        <v>0</v>
      </c>
      <c r="BF42">
        <f t="shared" si="37"/>
        <v>0</v>
      </c>
      <c r="BG42">
        <f t="shared" si="38"/>
        <v>0</v>
      </c>
      <c r="BH42">
        <f t="shared" si="39"/>
        <v>0</v>
      </c>
      <c r="BI42">
        <f t="shared" si="40"/>
        <v>0</v>
      </c>
      <c r="BJ42">
        <f t="shared" si="41"/>
        <v>0</v>
      </c>
      <c r="BK42">
        <f t="shared" si="42"/>
        <v>0</v>
      </c>
      <c r="BL42">
        <v>0</v>
      </c>
      <c r="BM42" t="str">
        <f t="shared" si="49"/>
        <v>Top Prize</v>
      </c>
      <c r="BN42" s="32" t="str">
        <f t="shared" si="50"/>
        <v>Single Win</v>
      </c>
      <c r="BO42">
        <f>(D42/Summary!$C$4-Summary!$C$8)^2*E42</f>
        <v>998340.68889999995</v>
      </c>
      <c r="BP42">
        <f t="shared" si="43"/>
        <v>0</v>
      </c>
      <c r="BQ42">
        <f t="shared" si="44"/>
        <v>0</v>
      </c>
      <c r="BR42">
        <f t="shared" si="45"/>
        <v>0</v>
      </c>
      <c r="BS42">
        <f t="shared" si="46"/>
        <v>0</v>
      </c>
    </row>
    <row r="43" spans="2:71">
      <c r="B43" s="16">
        <f>Tiers!B44</f>
        <v>41</v>
      </c>
      <c r="C43" s="17" t="str">
        <f>Tiers!Y44</f>
        <v>main-40||||||||| x 1</v>
      </c>
      <c r="D43" s="18">
        <f>Tiers!C44</f>
        <v>15</v>
      </c>
      <c r="E43" s="19">
        <f>Frequency!E45</f>
        <v>100</v>
      </c>
      <c r="F43" s="19">
        <f t="shared" si="0"/>
        <v>1500</v>
      </c>
      <c r="G43" s="19">
        <f>IF(Tiers!D44&gt;1,'Data Analysis'!E43,0)</f>
        <v>0</v>
      </c>
      <c r="H43" s="19">
        <f t="shared" si="1"/>
        <v>0</v>
      </c>
      <c r="I43" s="19">
        <f>IF(AND(D43/Summary!$C$4&gt;0, D43/Summary!$C$4&lt;5),E43,0) * D43</f>
        <v>0</v>
      </c>
      <c r="J43" s="19">
        <f>IF(AND(D43/Summary!$C$4&gt;= 5, D43/Summary!$C$4&lt;10),E43,0) * D43</f>
        <v>0</v>
      </c>
      <c r="K43" s="19">
        <f>IF(AND(D43/Summary!$C$4&gt;=10, D43/Summary!$C$4&lt;25),E43,0)*D43</f>
        <v>1500</v>
      </c>
      <c r="L43" s="19">
        <f>IF(D43/Summary!$C$4&gt;=25,E43,0)*D43</f>
        <v>0</v>
      </c>
      <c r="M43" s="27">
        <f>IF(AND(D43/Summary!$C$4&gt;0, D43/Summary!$C$4&lt;1),E43,0)</f>
        <v>0</v>
      </c>
      <c r="N43" s="27">
        <f t="shared" si="2"/>
        <v>0</v>
      </c>
      <c r="O43" s="27">
        <f>IF(D43/Summary!$C$4=1,1,0)*E43</f>
        <v>0</v>
      </c>
      <c r="P43" s="27">
        <f t="shared" si="3"/>
        <v>0</v>
      </c>
      <c r="Q43" s="27">
        <f>IF(AND(D43/Summary!$C$4&gt;1, D43/Summary!$C$4&lt;=2),1,0)*E43</f>
        <v>0</v>
      </c>
      <c r="R43" s="27">
        <f t="shared" si="4"/>
        <v>0</v>
      </c>
      <c r="S43" s="27">
        <f>IF(AND(D43/Summary!$C$4&gt;2,D43/Summary!$C$4&lt;=5),1,0)*E43</f>
        <v>0</v>
      </c>
      <c r="T43" s="27">
        <f t="shared" si="5"/>
        <v>0</v>
      </c>
      <c r="U43" s="27">
        <f>IF(AND(D43/Summary!$C$4&gt;5, D43/Summary!$C$4&lt;=10),1,0)*E43</f>
        <v>0</v>
      </c>
      <c r="V43" s="27">
        <f t="shared" si="6"/>
        <v>0</v>
      </c>
      <c r="W43" s="27">
        <f>IF(AND(D43/Summary!$C$4&gt;10, D43/Summary!$C$4&lt;=20),1,0)*E43</f>
        <v>100</v>
      </c>
      <c r="X43" s="27">
        <f t="shared" si="7"/>
        <v>1500</v>
      </c>
      <c r="Y43" s="27">
        <f>IF(AND(D43/Summary!$C$4&gt;20, D43/Summary!$C$4&lt;=30),1,0)*E43</f>
        <v>0</v>
      </c>
      <c r="Z43" s="27">
        <f t="shared" si="8"/>
        <v>0</v>
      </c>
      <c r="AA43" s="27">
        <f>IF(AND(D43/Summary!$C$4&gt;30, D43/Summary!$C$4&lt;=50),1,0)*E43</f>
        <v>0</v>
      </c>
      <c r="AB43" s="27">
        <f t="shared" si="9"/>
        <v>0</v>
      </c>
      <c r="AC43" s="27">
        <f>IF(AND(D43/Summary!$C$4&gt;50, D43/Summary!$C$4&lt;=100),1,0)*E43</f>
        <v>0</v>
      </c>
      <c r="AD43" s="27">
        <f t="shared" si="10"/>
        <v>0</v>
      </c>
      <c r="AE43" s="27">
        <f>IF(D43/Summary!$C$4&gt;100,1,0)*E43</f>
        <v>0</v>
      </c>
      <c r="AF43" s="27">
        <f t="shared" si="11"/>
        <v>0</v>
      </c>
      <c r="AG43" s="19">
        <f t="shared" si="12"/>
        <v>0</v>
      </c>
      <c r="AH43" s="19">
        <f t="shared" si="13"/>
        <v>0</v>
      </c>
      <c r="AI43" s="19">
        <f t="shared" si="14"/>
        <v>0</v>
      </c>
      <c r="AJ43" s="27">
        <f t="shared" si="15"/>
        <v>0</v>
      </c>
      <c r="AK43" s="27">
        <f t="shared" si="16"/>
        <v>0</v>
      </c>
      <c r="AL43" s="27">
        <f t="shared" si="17"/>
        <v>0</v>
      </c>
      <c r="AM43">
        <f t="shared" si="18"/>
        <v>0</v>
      </c>
      <c r="AN43">
        <f t="shared" si="19"/>
        <v>0</v>
      </c>
      <c r="AO43">
        <f t="shared" si="20"/>
        <v>0</v>
      </c>
      <c r="AP43">
        <f t="shared" si="21"/>
        <v>0</v>
      </c>
      <c r="AQ43">
        <f t="shared" si="22"/>
        <v>0</v>
      </c>
      <c r="AR43">
        <f t="shared" si="23"/>
        <v>0</v>
      </c>
      <c r="AS43">
        <f t="shared" si="24"/>
        <v>0</v>
      </c>
      <c r="AT43">
        <f t="shared" si="25"/>
        <v>0</v>
      </c>
      <c r="AU43">
        <f t="shared" si="26"/>
        <v>0</v>
      </c>
      <c r="AV43">
        <f t="shared" si="27"/>
        <v>0</v>
      </c>
      <c r="AW43">
        <f t="shared" si="28"/>
        <v>0</v>
      </c>
      <c r="AX43">
        <f t="shared" si="29"/>
        <v>0</v>
      </c>
      <c r="AY43">
        <f t="shared" si="30"/>
        <v>0</v>
      </c>
      <c r="AZ43">
        <f t="shared" si="31"/>
        <v>0</v>
      </c>
      <c r="BA43">
        <f t="shared" si="32"/>
        <v>0</v>
      </c>
      <c r="BB43">
        <f t="shared" si="33"/>
        <v>0</v>
      </c>
      <c r="BC43">
        <f t="shared" si="34"/>
        <v>0</v>
      </c>
      <c r="BD43">
        <f t="shared" si="35"/>
        <v>0</v>
      </c>
      <c r="BE43">
        <f t="shared" si="36"/>
        <v>0</v>
      </c>
      <c r="BF43">
        <f t="shared" si="37"/>
        <v>0</v>
      </c>
      <c r="BG43">
        <f t="shared" si="38"/>
        <v>0</v>
      </c>
      <c r="BH43">
        <f t="shared" si="39"/>
        <v>0</v>
      </c>
      <c r="BI43">
        <f t="shared" si="40"/>
        <v>0</v>
      </c>
      <c r="BJ43">
        <f t="shared" si="41"/>
        <v>0</v>
      </c>
      <c r="BK43">
        <f t="shared" si="42"/>
        <v>0</v>
      </c>
      <c r="BL43">
        <v>0</v>
      </c>
      <c r="BM43" t="str">
        <f t="shared" si="49"/>
        <v>Big Win</v>
      </c>
      <c r="BN43" s="32" t="str">
        <f t="shared" si="50"/>
        <v>Single Win</v>
      </c>
      <c r="BO43">
        <f>(D43/Summary!$C$4-Summary!$C$8)^2*E43</f>
        <v>20078.89</v>
      </c>
      <c r="BP43">
        <f t="shared" si="43"/>
        <v>0</v>
      </c>
      <c r="BQ43">
        <f t="shared" si="44"/>
        <v>0</v>
      </c>
      <c r="BR43">
        <f t="shared" si="45"/>
        <v>0</v>
      </c>
      <c r="BS43">
        <f t="shared" si="46"/>
        <v>0</v>
      </c>
    </row>
    <row r="44" spans="2:71">
      <c r="B44" s="16">
        <f>Tiers!B45</f>
        <v>42</v>
      </c>
      <c r="C44" s="17" t="str">
        <f>Tiers!Y45</f>
        <v>main-41||||||||| x 1</v>
      </c>
      <c r="D44" s="18">
        <f>Tiers!C45</f>
        <v>20</v>
      </c>
      <c r="E44" s="19">
        <f>Frequency!E46</f>
        <v>100</v>
      </c>
      <c r="F44" s="19">
        <f t="shared" si="0"/>
        <v>2000</v>
      </c>
      <c r="G44" s="19">
        <f>IF(Tiers!D45&gt;1,'Data Analysis'!E44,0)</f>
        <v>0</v>
      </c>
      <c r="H44" s="19">
        <f t="shared" si="1"/>
        <v>0</v>
      </c>
      <c r="I44" s="19">
        <f>IF(AND(D44/Summary!$C$4&gt;0, D44/Summary!$C$4&lt;5),E44,0) * D44</f>
        <v>0</v>
      </c>
      <c r="J44" s="19">
        <f>IF(AND(D44/Summary!$C$4&gt;= 5, D44/Summary!$C$4&lt;10),E44,0) * D44</f>
        <v>0</v>
      </c>
      <c r="K44" s="19">
        <f>IF(AND(D44/Summary!$C$4&gt;=10, D44/Summary!$C$4&lt;25),E44,0)*D44</f>
        <v>2000</v>
      </c>
      <c r="L44" s="19">
        <f>IF(D44/Summary!$C$4&gt;=25,E44,0)*D44</f>
        <v>0</v>
      </c>
      <c r="M44" s="27">
        <f>IF(AND(D44/Summary!$C$4&gt;0, D44/Summary!$C$4&lt;1),E44,0)</f>
        <v>0</v>
      </c>
      <c r="N44" s="27">
        <f t="shared" si="2"/>
        <v>0</v>
      </c>
      <c r="O44" s="27">
        <f>IF(D44/Summary!$C$4=1,1,0)*E44</f>
        <v>0</v>
      </c>
      <c r="P44" s="27">
        <f t="shared" si="3"/>
        <v>0</v>
      </c>
      <c r="Q44" s="27">
        <f>IF(AND(D44/Summary!$C$4&gt;1, D44/Summary!$C$4&lt;=2),1,0)*E44</f>
        <v>0</v>
      </c>
      <c r="R44" s="27">
        <f t="shared" si="4"/>
        <v>0</v>
      </c>
      <c r="S44" s="27">
        <f>IF(AND(D44/Summary!$C$4&gt;2,D44/Summary!$C$4&lt;=5),1,0)*E44</f>
        <v>0</v>
      </c>
      <c r="T44" s="27">
        <f t="shared" si="5"/>
        <v>0</v>
      </c>
      <c r="U44" s="27">
        <f>IF(AND(D44/Summary!$C$4&gt;5, D44/Summary!$C$4&lt;=10),1,0)*E44</f>
        <v>0</v>
      </c>
      <c r="V44" s="27">
        <f t="shared" si="6"/>
        <v>0</v>
      </c>
      <c r="W44" s="27">
        <f>IF(AND(D44/Summary!$C$4&gt;10, D44/Summary!$C$4&lt;=20),1,0)*E44</f>
        <v>100</v>
      </c>
      <c r="X44" s="27">
        <f t="shared" si="7"/>
        <v>2000</v>
      </c>
      <c r="Y44" s="27">
        <f>IF(AND(D44/Summary!$C$4&gt;20, D44/Summary!$C$4&lt;=30),1,0)*E44</f>
        <v>0</v>
      </c>
      <c r="Z44" s="27">
        <f t="shared" si="8"/>
        <v>0</v>
      </c>
      <c r="AA44" s="27">
        <f>IF(AND(D44/Summary!$C$4&gt;30, D44/Summary!$C$4&lt;=50),1,0)*E44</f>
        <v>0</v>
      </c>
      <c r="AB44" s="27">
        <f t="shared" si="9"/>
        <v>0</v>
      </c>
      <c r="AC44" s="27">
        <f>IF(AND(D44/Summary!$C$4&gt;50, D44/Summary!$C$4&lt;=100),1,0)*E44</f>
        <v>0</v>
      </c>
      <c r="AD44" s="27">
        <f t="shared" si="10"/>
        <v>0</v>
      </c>
      <c r="AE44" s="27">
        <f>IF(D44/Summary!$C$4&gt;100,1,0)*E44</f>
        <v>0</v>
      </c>
      <c r="AF44" s="27">
        <f t="shared" si="11"/>
        <v>0</v>
      </c>
      <c r="AG44" s="19">
        <f t="shared" si="12"/>
        <v>0</v>
      </c>
      <c r="AH44" s="19">
        <f t="shared" si="13"/>
        <v>0</v>
      </c>
      <c r="AI44" s="19">
        <f t="shared" si="14"/>
        <v>0</v>
      </c>
      <c r="AJ44" s="27">
        <f t="shared" si="15"/>
        <v>0</v>
      </c>
      <c r="AK44" s="27">
        <f t="shared" si="16"/>
        <v>0</v>
      </c>
      <c r="AL44" s="27">
        <f t="shared" si="17"/>
        <v>0</v>
      </c>
      <c r="AM44">
        <f t="shared" si="18"/>
        <v>0</v>
      </c>
      <c r="AN44">
        <f t="shared" si="19"/>
        <v>0</v>
      </c>
      <c r="AO44">
        <f t="shared" si="20"/>
        <v>0</v>
      </c>
      <c r="AP44">
        <f t="shared" si="21"/>
        <v>0</v>
      </c>
      <c r="AQ44">
        <f t="shared" si="22"/>
        <v>0</v>
      </c>
      <c r="AR44">
        <f t="shared" si="23"/>
        <v>0</v>
      </c>
      <c r="AS44">
        <f t="shared" si="24"/>
        <v>0</v>
      </c>
      <c r="AT44">
        <f t="shared" si="25"/>
        <v>0</v>
      </c>
      <c r="AU44">
        <f t="shared" si="26"/>
        <v>0</v>
      </c>
      <c r="AV44">
        <f t="shared" si="27"/>
        <v>0</v>
      </c>
      <c r="AW44">
        <f t="shared" si="28"/>
        <v>0</v>
      </c>
      <c r="AX44">
        <f t="shared" si="29"/>
        <v>0</v>
      </c>
      <c r="AY44">
        <f t="shared" si="30"/>
        <v>0</v>
      </c>
      <c r="AZ44">
        <f t="shared" si="31"/>
        <v>0</v>
      </c>
      <c r="BA44">
        <f t="shared" si="32"/>
        <v>0</v>
      </c>
      <c r="BB44">
        <f t="shared" si="33"/>
        <v>0</v>
      </c>
      <c r="BC44">
        <f t="shared" si="34"/>
        <v>0</v>
      </c>
      <c r="BD44">
        <f t="shared" si="35"/>
        <v>0</v>
      </c>
      <c r="BE44">
        <f t="shared" si="36"/>
        <v>0</v>
      </c>
      <c r="BF44">
        <f t="shared" si="37"/>
        <v>0</v>
      </c>
      <c r="BG44">
        <f t="shared" si="38"/>
        <v>0</v>
      </c>
      <c r="BH44">
        <f t="shared" si="39"/>
        <v>0</v>
      </c>
      <c r="BI44">
        <f t="shared" si="40"/>
        <v>0</v>
      </c>
      <c r="BJ44">
        <f t="shared" si="41"/>
        <v>0</v>
      </c>
      <c r="BK44">
        <f t="shared" si="42"/>
        <v>0</v>
      </c>
      <c r="BL44">
        <v>0</v>
      </c>
      <c r="BM44" t="str">
        <f t="shared" si="49"/>
        <v>Big Win</v>
      </c>
      <c r="BN44" s="32" t="str">
        <f t="shared" si="50"/>
        <v>Single Win</v>
      </c>
      <c r="BO44">
        <f>(D44/Summary!$C$4-Summary!$C$8)^2*E44</f>
        <v>36748.890000000007</v>
      </c>
      <c r="BP44">
        <f t="shared" si="43"/>
        <v>0</v>
      </c>
      <c r="BQ44">
        <f t="shared" si="44"/>
        <v>0</v>
      </c>
      <c r="BR44">
        <f t="shared" si="45"/>
        <v>0</v>
      </c>
      <c r="BS44">
        <f t="shared" si="46"/>
        <v>0</v>
      </c>
    </row>
    <row r="45" spans="2:71">
      <c r="B45" s="16">
        <f>Tiers!B46</f>
        <v>43</v>
      </c>
      <c r="C45" s="17" t="str">
        <f>Tiers!Y46</f>
        <v>main-42||||||||| x 1</v>
      </c>
      <c r="D45" s="18">
        <f>Tiers!C46</f>
        <v>30</v>
      </c>
      <c r="E45" s="19">
        <f>Frequency!E47</f>
        <v>100</v>
      </c>
      <c r="F45" s="19">
        <f t="shared" si="0"/>
        <v>3000</v>
      </c>
      <c r="G45" s="19">
        <f>IF(Tiers!D46&gt;1,'Data Analysis'!E45,0)</f>
        <v>0</v>
      </c>
      <c r="H45" s="19">
        <f t="shared" si="1"/>
        <v>0</v>
      </c>
      <c r="I45" s="19">
        <f>IF(AND(D45/Summary!$C$4&gt;0, D45/Summary!$C$4&lt;5),E45,0) * D45</f>
        <v>0</v>
      </c>
      <c r="J45" s="19">
        <f>IF(AND(D45/Summary!$C$4&gt;= 5, D45/Summary!$C$4&lt;10),E45,0) * D45</f>
        <v>0</v>
      </c>
      <c r="K45" s="19">
        <f>IF(AND(D45/Summary!$C$4&gt;=10, D45/Summary!$C$4&lt;25),E45,0)*D45</f>
        <v>0</v>
      </c>
      <c r="L45" s="19">
        <f>IF(D45/Summary!$C$4&gt;=25,E45,0)*D45</f>
        <v>3000</v>
      </c>
      <c r="M45" s="27">
        <f>IF(AND(D45/Summary!$C$4&gt;0, D45/Summary!$C$4&lt;1),E45,0)</f>
        <v>0</v>
      </c>
      <c r="N45" s="27">
        <f t="shared" si="2"/>
        <v>0</v>
      </c>
      <c r="O45" s="27">
        <f>IF(D45/Summary!$C$4=1,1,0)*E45</f>
        <v>0</v>
      </c>
      <c r="P45" s="27">
        <f t="shared" si="3"/>
        <v>0</v>
      </c>
      <c r="Q45" s="27">
        <f>IF(AND(D45/Summary!$C$4&gt;1, D45/Summary!$C$4&lt;=2),1,0)*E45</f>
        <v>0</v>
      </c>
      <c r="R45" s="27">
        <f t="shared" si="4"/>
        <v>0</v>
      </c>
      <c r="S45" s="27">
        <f>IF(AND(D45/Summary!$C$4&gt;2,D45/Summary!$C$4&lt;=5),1,0)*E45</f>
        <v>0</v>
      </c>
      <c r="T45" s="27">
        <f t="shared" si="5"/>
        <v>0</v>
      </c>
      <c r="U45" s="27">
        <f>IF(AND(D45/Summary!$C$4&gt;5, D45/Summary!$C$4&lt;=10),1,0)*E45</f>
        <v>0</v>
      </c>
      <c r="V45" s="27">
        <f t="shared" si="6"/>
        <v>0</v>
      </c>
      <c r="W45" s="27">
        <f>IF(AND(D45/Summary!$C$4&gt;10, D45/Summary!$C$4&lt;=20),1,0)*E45</f>
        <v>0</v>
      </c>
      <c r="X45" s="27">
        <f t="shared" si="7"/>
        <v>0</v>
      </c>
      <c r="Y45" s="27">
        <f>IF(AND(D45/Summary!$C$4&gt;20, D45/Summary!$C$4&lt;=30),1,0)*E45</f>
        <v>100</v>
      </c>
      <c r="Z45" s="27">
        <f t="shared" si="8"/>
        <v>3000</v>
      </c>
      <c r="AA45" s="27">
        <f>IF(AND(D45/Summary!$C$4&gt;30, D45/Summary!$C$4&lt;=50),1,0)*E45</f>
        <v>0</v>
      </c>
      <c r="AB45" s="27">
        <f t="shared" si="9"/>
        <v>0</v>
      </c>
      <c r="AC45" s="27">
        <f>IF(AND(D45/Summary!$C$4&gt;50, D45/Summary!$C$4&lt;=100),1,0)*E45</f>
        <v>0</v>
      </c>
      <c r="AD45" s="27">
        <f t="shared" si="10"/>
        <v>0</v>
      </c>
      <c r="AE45" s="27">
        <f>IF(D45/Summary!$C$4&gt;100,1,0)*E45</f>
        <v>0</v>
      </c>
      <c r="AF45" s="27">
        <f t="shared" si="11"/>
        <v>0</v>
      </c>
      <c r="AG45" s="19">
        <f t="shared" si="12"/>
        <v>0</v>
      </c>
      <c r="AH45" s="19">
        <f t="shared" si="13"/>
        <v>0</v>
      </c>
      <c r="AI45" s="19">
        <f t="shared" si="14"/>
        <v>0</v>
      </c>
      <c r="AJ45" s="27">
        <f t="shared" si="15"/>
        <v>0</v>
      </c>
      <c r="AK45" s="27">
        <f t="shared" si="16"/>
        <v>0</v>
      </c>
      <c r="AL45" s="27">
        <f t="shared" si="17"/>
        <v>0</v>
      </c>
      <c r="AM45">
        <f t="shared" si="18"/>
        <v>0</v>
      </c>
      <c r="AN45">
        <f t="shared" si="19"/>
        <v>0</v>
      </c>
      <c r="AO45">
        <f t="shared" si="20"/>
        <v>0</v>
      </c>
      <c r="AP45">
        <f t="shared" si="21"/>
        <v>0</v>
      </c>
      <c r="AQ45">
        <f t="shared" si="22"/>
        <v>0</v>
      </c>
      <c r="AR45">
        <f t="shared" si="23"/>
        <v>0</v>
      </c>
      <c r="AS45">
        <f t="shared" si="24"/>
        <v>0</v>
      </c>
      <c r="AT45">
        <f t="shared" si="25"/>
        <v>0</v>
      </c>
      <c r="AU45">
        <f t="shared" si="26"/>
        <v>0</v>
      </c>
      <c r="AV45">
        <f t="shared" si="27"/>
        <v>0</v>
      </c>
      <c r="AW45">
        <f t="shared" si="28"/>
        <v>0</v>
      </c>
      <c r="AX45">
        <f t="shared" si="29"/>
        <v>0</v>
      </c>
      <c r="AY45">
        <f t="shared" si="30"/>
        <v>0</v>
      </c>
      <c r="AZ45">
        <f t="shared" si="31"/>
        <v>0</v>
      </c>
      <c r="BA45">
        <f t="shared" si="32"/>
        <v>0</v>
      </c>
      <c r="BB45">
        <f t="shared" si="33"/>
        <v>0</v>
      </c>
      <c r="BC45">
        <f t="shared" si="34"/>
        <v>0</v>
      </c>
      <c r="BD45">
        <f t="shared" si="35"/>
        <v>0</v>
      </c>
      <c r="BE45">
        <f t="shared" si="36"/>
        <v>0</v>
      </c>
      <c r="BF45">
        <f t="shared" si="37"/>
        <v>0</v>
      </c>
      <c r="BG45">
        <f t="shared" si="38"/>
        <v>0</v>
      </c>
      <c r="BH45">
        <f t="shared" si="39"/>
        <v>0</v>
      </c>
      <c r="BI45">
        <f t="shared" si="40"/>
        <v>0</v>
      </c>
      <c r="BJ45">
        <f t="shared" si="41"/>
        <v>0</v>
      </c>
      <c r="BK45">
        <f t="shared" si="42"/>
        <v>0</v>
      </c>
      <c r="BL45">
        <v>0</v>
      </c>
      <c r="BM45" t="str">
        <f t="shared" si="49"/>
        <v>Big Win</v>
      </c>
      <c r="BN45" s="32" t="str">
        <f t="shared" si="50"/>
        <v>Single Win</v>
      </c>
      <c r="BO45">
        <f>(D45/Summary!$C$4-Summary!$C$8)^2*E45</f>
        <v>85088.890000000014</v>
      </c>
      <c r="BP45">
        <f t="shared" si="43"/>
        <v>0</v>
      </c>
      <c r="BQ45">
        <f t="shared" si="44"/>
        <v>0</v>
      </c>
      <c r="BR45">
        <f t="shared" si="45"/>
        <v>0</v>
      </c>
      <c r="BS45">
        <f t="shared" si="46"/>
        <v>0</v>
      </c>
    </row>
    <row r="46" spans="2:71">
      <c r="B46" s="16">
        <f>Tiers!B47</f>
        <v>44</v>
      </c>
      <c r="C46" s="17" t="str">
        <f>Tiers!Y47</f>
        <v>main-0|main-0|||||||| x 1</v>
      </c>
      <c r="D46" s="18">
        <f>Tiers!C47</f>
        <v>0.2</v>
      </c>
      <c r="E46" s="19">
        <f>Frequency!E48</f>
        <v>24000</v>
      </c>
      <c r="F46" s="19">
        <f t="shared" si="0"/>
        <v>4800</v>
      </c>
      <c r="G46" s="19">
        <f>IF(Tiers!D47&gt;1,'Data Analysis'!E46,0)</f>
        <v>0</v>
      </c>
      <c r="H46" s="19">
        <f t="shared" si="1"/>
        <v>0</v>
      </c>
      <c r="I46" s="19">
        <f>IF(AND(D46/Summary!$C$4&gt;0, D46/Summary!$C$4&lt;5),E46,0) * D46</f>
        <v>4800</v>
      </c>
      <c r="J46" s="19">
        <f>IF(AND(D46/Summary!$C$4&gt;= 5, D46/Summary!$C$4&lt;10),E46,0) * D46</f>
        <v>0</v>
      </c>
      <c r="K46" s="19">
        <f>IF(AND(D46/Summary!$C$4&gt;=10, D46/Summary!$C$4&lt;25),E46,0)*D46</f>
        <v>0</v>
      </c>
      <c r="L46" s="19">
        <f>IF(D46/Summary!$C$4&gt;=25,E46,0)*D46</f>
        <v>0</v>
      </c>
      <c r="M46" s="27">
        <f>IF(AND(D46/Summary!$C$4&gt;0, D46/Summary!$C$4&lt;1),E46,0)</f>
        <v>24000</v>
      </c>
      <c r="N46" s="27">
        <f t="shared" si="2"/>
        <v>4800</v>
      </c>
      <c r="O46" s="27">
        <f>IF(D46/Summary!$C$4=1,1,0)*E46</f>
        <v>0</v>
      </c>
      <c r="P46" s="27">
        <f t="shared" si="3"/>
        <v>0</v>
      </c>
      <c r="Q46" s="27">
        <f>IF(AND(D46/Summary!$C$4&gt;1, D46/Summary!$C$4&lt;=2),1,0)*E46</f>
        <v>0</v>
      </c>
      <c r="R46" s="27">
        <f t="shared" si="4"/>
        <v>0</v>
      </c>
      <c r="S46" s="27">
        <f>IF(AND(D46/Summary!$C$4&gt;2,D46/Summary!$C$4&lt;=5),1,0)*E46</f>
        <v>0</v>
      </c>
      <c r="T46" s="27">
        <f t="shared" si="5"/>
        <v>0</v>
      </c>
      <c r="U46" s="27">
        <f>IF(AND(D46/Summary!$C$4&gt;5, D46/Summary!$C$4&lt;=10),1,0)*E46</f>
        <v>0</v>
      </c>
      <c r="V46" s="27">
        <f t="shared" si="6"/>
        <v>0</v>
      </c>
      <c r="W46" s="27">
        <f>IF(AND(D46/Summary!$C$4&gt;10, D46/Summary!$C$4&lt;=20),1,0)*E46</f>
        <v>0</v>
      </c>
      <c r="X46" s="27">
        <f t="shared" si="7"/>
        <v>0</v>
      </c>
      <c r="Y46" s="27">
        <f>IF(AND(D46/Summary!$C$4&gt;20, D46/Summary!$C$4&lt;=30),1,0)*E46</f>
        <v>0</v>
      </c>
      <c r="Z46" s="27">
        <f t="shared" si="8"/>
        <v>0</v>
      </c>
      <c r="AA46" s="27">
        <f>IF(AND(D46/Summary!$C$4&gt;30, D46/Summary!$C$4&lt;=50),1,0)*E46</f>
        <v>0</v>
      </c>
      <c r="AB46" s="27">
        <f t="shared" si="9"/>
        <v>0</v>
      </c>
      <c r="AC46" s="27">
        <f>IF(AND(D46/Summary!$C$4&gt;50, D46/Summary!$C$4&lt;=100),1,0)*E46</f>
        <v>0</v>
      </c>
      <c r="AD46" s="27">
        <f t="shared" si="10"/>
        <v>0</v>
      </c>
      <c r="AE46" s="27">
        <f>IF(D46/Summary!$C$4&gt;100,1,0)*E46</f>
        <v>0</v>
      </c>
      <c r="AF46" s="27">
        <f t="shared" si="11"/>
        <v>0</v>
      </c>
      <c r="AG46" s="19">
        <f t="shared" si="12"/>
        <v>0</v>
      </c>
      <c r="AH46" s="19">
        <f t="shared" si="13"/>
        <v>0</v>
      </c>
      <c r="AI46" s="19">
        <f t="shared" si="14"/>
        <v>0</v>
      </c>
      <c r="AJ46" s="27">
        <f t="shared" si="15"/>
        <v>1</v>
      </c>
      <c r="AK46" s="27">
        <f t="shared" si="16"/>
        <v>24000</v>
      </c>
      <c r="AL46" s="27">
        <f t="shared" si="17"/>
        <v>4800</v>
      </c>
      <c r="AM46">
        <f t="shared" si="18"/>
        <v>0</v>
      </c>
      <c r="AN46">
        <f t="shared" si="19"/>
        <v>0</v>
      </c>
      <c r="AO46">
        <f t="shared" si="20"/>
        <v>0</v>
      </c>
      <c r="AP46">
        <f t="shared" si="21"/>
        <v>0</v>
      </c>
      <c r="AQ46">
        <f t="shared" si="22"/>
        <v>0</v>
      </c>
      <c r="AR46">
        <f t="shared" si="23"/>
        <v>0</v>
      </c>
      <c r="AS46">
        <f t="shared" si="24"/>
        <v>0</v>
      </c>
      <c r="AT46">
        <f t="shared" si="25"/>
        <v>0</v>
      </c>
      <c r="AU46">
        <f t="shared" si="26"/>
        <v>0</v>
      </c>
      <c r="AV46">
        <f t="shared" si="27"/>
        <v>0</v>
      </c>
      <c r="AW46">
        <f t="shared" si="28"/>
        <v>0</v>
      </c>
      <c r="AX46">
        <f t="shared" si="29"/>
        <v>0</v>
      </c>
      <c r="AY46">
        <f t="shared" si="30"/>
        <v>0</v>
      </c>
      <c r="AZ46">
        <f t="shared" si="31"/>
        <v>0</v>
      </c>
      <c r="BA46">
        <f t="shared" si="32"/>
        <v>0</v>
      </c>
      <c r="BB46">
        <f t="shared" si="33"/>
        <v>0</v>
      </c>
      <c r="BC46">
        <f t="shared" si="34"/>
        <v>0</v>
      </c>
      <c r="BD46">
        <f t="shared" si="35"/>
        <v>0</v>
      </c>
      <c r="BE46">
        <f t="shared" si="36"/>
        <v>0</v>
      </c>
      <c r="BF46">
        <f t="shared" si="37"/>
        <v>0</v>
      </c>
      <c r="BG46">
        <f t="shared" si="38"/>
        <v>0</v>
      </c>
      <c r="BH46">
        <f t="shared" si="39"/>
        <v>0</v>
      </c>
      <c r="BI46">
        <f t="shared" si="40"/>
        <v>0</v>
      </c>
      <c r="BJ46">
        <f t="shared" si="41"/>
        <v>0</v>
      </c>
      <c r="BK46">
        <f t="shared" si="42"/>
        <v>0</v>
      </c>
      <c r="BL46">
        <v>0</v>
      </c>
      <c r="BM46" t="str">
        <f t="shared" si="49"/>
        <v>Less than Stake</v>
      </c>
      <c r="BN46" s="32" t="str">
        <f t="shared" si="50"/>
        <v>Combo Win</v>
      </c>
      <c r="BO46">
        <f>(D46/Summary!$C$4-Summary!$C$8)^2*E46</f>
        <v>9525.5999999999967</v>
      </c>
      <c r="BP46">
        <f t="shared" si="43"/>
        <v>0</v>
      </c>
      <c r="BQ46">
        <f t="shared" si="44"/>
        <v>0</v>
      </c>
      <c r="BR46">
        <f t="shared" si="45"/>
        <v>0</v>
      </c>
      <c r="BS46">
        <f t="shared" si="46"/>
        <v>0</v>
      </c>
    </row>
    <row r="47" spans="2:71">
      <c r="B47" s="16">
        <f>Tiers!B48</f>
        <v>45</v>
      </c>
      <c r="C47" s="17" t="str">
        <f>Tiers!Y48</f>
        <v>main-0|main-1|||||||| x 1</v>
      </c>
      <c r="D47" s="18">
        <f>Tiers!C48</f>
        <v>0.30000000000000004</v>
      </c>
      <c r="E47" s="19">
        <f>Frequency!E49</f>
        <v>16000</v>
      </c>
      <c r="F47" s="19">
        <f t="shared" si="0"/>
        <v>4800.0000000000009</v>
      </c>
      <c r="G47" s="19">
        <f>IF(Tiers!D48&gt;1,'Data Analysis'!E47,0)</f>
        <v>0</v>
      </c>
      <c r="H47" s="19">
        <f t="shared" si="1"/>
        <v>0</v>
      </c>
      <c r="I47" s="19">
        <f>IF(AND(D47/Summary!$C$4&gt;0, D47/Summary!$C$4&lt;5),E47,0) * D47</f>
        <v>4800.0000000000009</v>
      </c>
      <c r="J47" s="19">
        <f>IF(AND(D47/Summary!$C$4&gt;= 5, D47/Summary!$C$4&lt;10),E47,0) * D47</f>
        <v>0</v>
      </c>
      <c r="K47" s="19">
        <f>IF(AND(D47/Summary!$C$4&gt;=10, D47/Summary!$C$4&lt;25),E47,0)*D47</f>
        <v>0</v>
      </c>
      <c r="L47" s="19">
        <f>IF(D47/Summary!$C$4&gt;=25,E47,0)*D47</f>
        <v>0</v>
      </c>
      <c r="M47" s="27">
        <f>IF(AND(D47/Summary!$C$4&gt;0, D47/Summary!$C$4&lt;1),E47,0)</f>
        <v>16000</v>
      </c>
      <c r="N47" s="27">
        <f t="shared" si="2"/>
        <v>4800.0000000000009</v>
      </c>
      <c r="O47" s="27">
        <f>IF(D47/Summary!$C$4=1,1,0)*E47</f>
        <v>0</v>
      </c>
      <c r="P47" s="27">
        <f t="shared" si="3"/>
        <v>0</v>
      </c>
      <c r="Q47" s="27">
        <f>IF(AND(D47/Summary!$C$4&gt;1, D47/Summary!$C$4&lt;=2),1,0)*E47</f>
        <v>0</v>
      </c>
      <c r="R47" s="27">
        <f t="shared" si="4"/>
        <v>0</v>
      </c>
      <c r="S47" s="27">
        <f>IF(AND(D47/Summary!$C$4&gt;2,D47/Summary!$C$4&lt;=5),1,0)*E47</f>
        <v>0</v>
      </c>
      <c r="T47" s="27">
        <f t="shared" si="5"/>
        <v>0</v>
      </c>
      <c r="U47" s="27">
        <f>IF(AND(D47/Summary!$C$4&gt;5, D47/Summary!$C$4&lt;=10),1,0)*E47</f>
        <v>0</v>
      </c>
      <c r="V47" s="27">
        <f t="shared" si="6"/>
        <v>0</v>
      </c>
      <c r="W47" s="27">
        <f>IF(AND(D47/Summary!$C$4&gt;10, D47/Summary!$C$4&lt;=20),1,0)*E47</f>
        <v>0</v>
      </c>
      <c r="X47" s="27">
        <f t="shared" si="7"/>
        <v>0</v>
      </c>
      <c r="Y47" s="27">
        <f>IF(AND(D47/Summary!$C$4&gt;20, D47/Summary!$C$4&lt;=30),1,0)*E47</f>
        <v>0</v>
      </c>
      <c r="Z47" s="27">
        <f t="shared" si="8"/>
        <v>0</v>
      </c>
      <c r="AA47" s="27">
        <f>IF(AND(D47/Summary!$C$4&gt;30, D47/Summary!$C$4&lt;=50),1,0)*E47</f>
        <v>0</v>
      </c>
      <c r="AB47" s="27">
        <f t="shared" si="9"/>
        <v>0</v>
      </c>
      <c r="AC47" s="27">
        <f>IF(AND(D47/Summary!$C$4&gt;50, D47/Summary!$C$4&lt;=100),1,0)*E47</f>
        <v>0</v>
      </c>
      <c r="AD47" s="27">
        <f t="shared" si="10"/>
        <v>0</v>
      </c>
      <c r="AE47" s="27">
        <f>IF(D47/Summary!$C$4&gt;100,1,0)*E47</f>
        <v>0</v>
      </c>
      <c r="AF47" s="27">
        <f t="shared" si="11"/>
        <v>0</v>
      </c>
      <c r="AG47" s="19">
        <f t="shared" si="12"/>
        <v>0</v>
      </c>
      <c r="AH47" s="19">
        <f t="shared" si="13"/>
        <v>0</v>
      </c>
      <c r="AI47" s="19">
        <f t="shared" si="14"/>
        <v>0</v>
      </c>
      <c r="AJ47" s="27">
        <f t="shared" si="15"/>
        <v>1</v>
      </c>
      <c r="AK47" s="27">
        <f t="shared" si="16"/>
        <v>16000</v>
      </c>
      <c r="AL47" s="27">
        <f t="shared" si="17"/>
        <v>4800.0000000000009</v>
      </c>
      <c r="AM47">
        <f t="shared" si="18"/>
        <v>0</v>
      </c>
      <c r="AN47">
        <f t="shared" si="19"/>
        <v>0</v>
      </c>
      <c r="AO47">
        <f t="shared" si="20"/>
        <v>0</v>
      </c>
      <c r="AP47">
        <f t="shared" si="21"/>
        <v>0</v>
      </c>
      <c r="AQ47">
        <f t="shared" si="22"/>
        <v>0</v>
      </c>
      <c r="AR47">
        <f t="shared" si="23"/>
        <v>0</v>
      </c>
      <c r="AS47">
        <f t="shared" si="24"/>
        <v>0</v>
      </c>
      <c r="AT47">
        <f t="shared" si="25"/>
        <v>0</v>
      </c>
      <c r="AU47">
        <f t="shared" si="26"/>
        <v>0</v>
      </c>
      <c r="AV47">
        <f t="shared" si="27"/>
        <v>0</v>
      </c>
      <c r="AW47">
        <f t="shared" si="28"/>
        <v>0</v>
      </c>
      <c r="AX47">
        <f t="shared" si="29"/>
        <v>0</v>
      </c>
      <c r="AY47">
        <f t="shared" si="30"/>
        <v>0</v>
      </c>
      <c r="AZ47">
        <f t="shared" si="31"/>
        <v>0</v>
      </c>
      <c r="BA47">
        <f t="shared" si="32"/>
        <v>0</v>
      </c>
      <c r="BB47">
        <f t="shared" si="33"/>
        <v>0</v>
      </c>
      <c r="BC47">
        <f t="shared" si="34"/>
        <v>0</v>
      </c>
      <c r="BD47">
        <f t="shared" si="35"/>
        <v>0</v>
      </c>
      <c r="BE47">
        <f t="shared" si="36"/>
        <v>0</v>
      </c>
      <c r="BF47">
        <f t="shared" si="37"/>
        <v>0</v>
      </c>
      <c r="BG47">
        <f t="shared" si="38"/>
        <v>0</v>
      </c>
      <c r="BH47">
        <f t="shared" si="39"/>
        <v>0</v>
      </c>
      <c r="BI47">
        <f t="shared" si="40"/>
        <v>0</v>
      </c>
      <c r="BJ47">
        <f t="shared" si="41"/>
        <v>0</v>
      </c>
      <c r="BK47">
        <f t="shared" si="42"/>
        <v>0</v>
      </c>
      <c r="BL47">
        <v>0</v>
      </c>
      <c r="BM47" t="str">
        <f t="shared" si="49"/>
        <v>Less than Stake</v>
      </c>
      <c r="BN47" s="32" t="str">
        <f t="shared" si="50"/>
        <v>Combo Win</v>
      </c>
      <c r="BO47">
        <f>(D47/Summary!$C$4-Summary!$C$8)^2*E47</f>
        <v>4494.3999999999987</v>
      </c>
      <c r="BP47">
        <f t="shared" si="43"/>
        <v>0</v>
      </c>
      <c r="BQ47">
        <f t="shared" si="44"/>
        <v>0</v>
      </c>
      <c r="BR47">
        <f t="shared" si="45"/>
        <v>0</v>
      </c>
      <c r="BS47">
        <f t="shared" si="46"/>
        <v>0</v>
      </c>
    </row>
    <row r="48" spans="2:71">
      <c r="B48" s="16">
        <f>Tiers!B49</f>
        <v>46</v>
      </c>
      <c r="C48" s="17" t="str">
        <f>Tiers!Y49</f>
        <v>main-1|main-1|||||||| x 1</v>
      </c>
      <c r="D48" s="18">
        <f>Tiers!C49</f>
        <v>0.4</v>
      </c>
      <c r="E48" s="19">
        <f>Frequency!E50</f>
        <v>12000</v>
      </c>
      <c r="F48" s="19">
        <f t="shared" si="0"/>
        <v>4800</v>
      </c>
      <c r="G48" s="19">
        <f>IF(Tiers!D49&gt;1,'Data Analysis'!E48,0)</f>
        <v>0</v>
      </c>
      <c r="H48" s="19">
        <f t="shared" si="1"/>
        <v>0</v>
      </c>
      <c r="I48" s="19">
        <f>IF(AND(D48/Summary!$C$4&gt;0, D48/Summary!$C$4&lt;5),E48,0) * D48</f>
        <v>4800</v>
      </c>
      <c r="J48" s="19">
        <f>IF(AND(D48/Summary!$C$4&gt;= 5, D48/Summary!$C$4&lt;10),E48,0) * D48</f>
        <v>0</v>
      </c>
      <c r="K48" s="19">
        <f>IF(AND(D48/Summary!$C$4&gt;=10, D48/Summary!$C$4&lt;25),E48,0)*D48</f>
        <v>0</v>
      </c>
      <c r="L48" s="19">
        <f>IF(D48/Summary!$C$4&gt;=25,E48,0)*D48</f>
        <v>0</v>
      </c>
      <c r="M48" s="27">
        <f>IF(AND(D48/Summary!$C$4&gt;0, D48/Summary!$C$4&lt;1),E48,0)</f>
        <v>12000</v>
      </c>
      <c r="N48" s="27">
        <f t="shared" si="2"/>
        <v>4800</v>
      </c>
      <c r="O48" s="27">
        <f>IF(D48/Summary!$C$4=1,1,0)*E48</f>
        <v>0</v>
      </c>
      <c r="P48" s="27">
        <f t="shared" si="3"/>
        <v>0</v>
      </c>
      <c r="Q48" s="27">
        <f>IF(AND(D48/Summary!$C$4&gt;1, D48/Summary!$C$4&lt;=2),1,0)*E48</f>
        <v>0</v>
      </c>
      <c r="R48" s="27">
        <f t="shared" si="4"/>
        <v>0</v>
      </c>
      <c r="S48" s="27">
        <f>IF(AND(D48/Summary!$C$4&gt;2,D48/Summary!$C$4&lt;=5),1,0)*E48</f>
        <v>0</v>
      </c>
      <c r="T48" s="27">
        <f t="shared" si="5"/>
        <v>0</v>
      </c>
      <c r="U48" s="27">
        <f>IF(AND(D48/Summary!$C$4&gt;5, D48/Summary!$C$4&lt;=10),1,0)*E48</f>
        <v>0</v>
      </c>
      <c r="V48" s="27">
        <f t="shared" si="6"/>
        <v>0</v>
      </c>
      <c r="W48" s="27">
        <f>IF(AND(D48/Summary!$C$4&gt;10, D48/Summary!$C$4&lt;=20),1,0)*E48</f>
        <v>0</v>
      </c>
      <c r="X48" s="27">
        <f t="shared" si="7"/>
        <v>0</v>
      </c>
      <c r="Y48" s="27">
        <f>IF(AND(D48/Summary!$C$4&gt;20, D48/Summary!$C$4&lt;=30),1,0)*E48</f>
        <v>0</v>
      </c>
      <c r="Z48" s="27">
        <f t="shared" si="8"/>
        <v>0</v>
      </c>
      <c r="AA48" s="27">
        <f>IF(AND(D48/Summary!$C$4&gt;30, D48/Summary!$C$4&lt;=50),1,0)*E48</f>
        <v>0</v>
      </c>
      <c r="AB48" s="27">
        <f t="shared" si="9"/>
        <v>0</v>
      </c>
      <c r="AC48" s="27">
        <f>IF(AND(D48/Summary!$C$4&gt;50, D48/Summary!$C$4&lt;=100),1,0)*E48</f>
        <v>0</v>
      </c>
      <c r="AD48" s="27">
        <f t="shared" si="10"/>
        <v>0</v>
      </c>
      <c r="AE48" s="27">
        <f>IF(D48/Summary!$C$4&gt;100,1,0)*E48</f>
        <v>0</v>
      </c>
      <c r="AF48" s="27">
        <f t="shared" si="11"/>
        <v>0</v>
      </c>
      <c r="AG48" s="19">
        <f t="shared" si="12"/>
        <v>0</v>
      </c>
      <c r="AH48" s="19">
        <f t="shared" si="13"/>
        <v>0</v>
      </c>
      <c r="AI48" s="19">
        <f t="shared" si="14"/>
        <v>0</v>
      </c>
      <c r="AJ48" s="27">
        <f t="shared" si="15"/>
        <v>1</v>
      </c>
      <c r="AK48" s="27">
        <f t="shared" si="16"/>
        <v>12000</v>
      </c>
      <c r="AL48" s="27">
        <f t="shared" si="17"/>
        <v>4800</v>
      </c>
      <c r="AM48">
        <f t="shared" si="18"/>
        <v>0</v>
      </c>
      <c r="AN48">
        <f t="shared" si="19"/>
        <v>0</v>
      </c>
      <c r="AO48">
        <f t="shared" si="20"/>
        <v>0</v>
      </c>
      <c r="AP48">
        <f t="shared" si="21"/>
        <v>0</v>
      </c>
      <c r="AQ48">
        <f t="shared" si="22"/>
        <v>0</v>
      </c>
      <c r="AR48">
        <f t="shared" si="23"/>
        <v>0</v>
      </c>
      <c r="AS48">
        <f t="shared" si="24"/>
        <v>0</v>
      </c>
      <c r="AT48">
        <f t="shared" si="25"/>
        <v>0</v>
      </c>
      <c r="AU48">
        <f t="shared" si="26"/>
        <v>0</v>
      </c>
      <c r="AV48">
        <f t="shared" si="27"/>
        <v>0</v>
      </c>
      <c r="AW48">
        <f t="shared" si="28"/>
        <v>0</v>
      </c>
      <c r="AX48">
        <f t="shared" si="29"/>
        <v>0</v>
      </c>
      <c r="AY48">
        <f t="shared" si="30"/>
        <v>0</v>
      </c>
      <c r="AZ48">
        <f t="shared" si="31"/>
        <v>0</v>
      </c>
      <c r="BA48">
        <f t="shared" si="32"/>
        <v>0</v>
      </c>
      <c r="BB48">
        <f t="shared" si="33"/>
        <v>0</v>
      </c>
      <c r="BC48">
        <f t="shared" si="34"/>
        <v>0</v>
      </c>
      <c r="BD48">
        <f t="shared" si="35"/>
        <v>0</v>
      </c>
      <c r="BE48">
        <f t="shared" si="36"/>
        <v>0</v>
      </c>
      <c r="BF48">
        <f t="shared" si="37"/>
        <v>0</v>
      </c>
      <c r="BG48">
        <f t="shared" si="38"/>
        <v>0</v>
      </c>
      <c r="BH48">
        <f t="shared" si="39"/>
        <v>0</v>
      </c>
      <c r="BI48">
        <f t="shared" si="40"/>
        <v>0</v>
      </c>
      <c r="BJ48">
        <f t="shared" si="41"/>
        <v>0</v>
      </c>
      <c r="BK48">
        <f t="shared" si="42"/>
        <v>0</v>
      </c>
      <c r="BL48">
        <v>0</v>
      </c>
      <c r="BM48" t="str">
        <f t="shared" si="49"/>
        <v>Less than Stake</v>
      </c>
      <c r="BN48" s="32" t="str">
        <f t="shared" si="50"/>
        <v>Combo Win</v>
      </c>
      <c r="BO48">
        <f>(D48/Summary!$C$4-Summary!$C$8)^2*E48</f>
        <v>2218.7999999999993</v>
      </c>
      <c r="BP48">
        <f t="shared" si="43"/>
        <v>0</v>
      </c>
      <c r="BQ48">
        <f t="shared" si="44"/>
        <v>0</v>
      </c>
      <c r="BR48">
        <f t="shared" si="45"/>
        <v>0</v>
      </c>
      <c r="BS48">
        <f t="shared" si="46"/>
        <v>0</v>
      </c>
    </row>
    <row r="49" spans="2:71">
      <c r="B49" s="16">
        <f>Tiers!B50</f>
        <v>47</v>
      </c>
      <c r="C49" s="17" t="str">
        <f>Tiers!Y50</f>
        <v>main-0|main-2|||||||| x 1</v>
      </c>
      <c r="D49" s="18">
        <f>Tiers!C50</f>
        <v>0.6</v>
      </c>
      <c r="E49" s="19">
        <f>Frequency!E51</f>
        <v>8000</v>
      </c>
      <c r="F49" s="19">
        <f t="shared" si="0"/>
        <v>4800</v>
      </c>
      <c r="G49" s="19">
        <f>IF(Tiers!D50&gt;1,'Data Analysis'!E49,0)</f>
        <v>0</v>
      </c>
      <c r="H49" s="19">
        <f t="shared" si="1"/>
        <v>0</v>
      </c>
      <c r="I49" s="19">
        <f>IF(AND(D49/Summary!$C$4&gt;0, D49/Summary!$C$4&lt;5),E49,0) * D49</f>
        <v>4800</v>
      </c>
      <c r="J49" s="19">
        <f>IF(AND(D49/Summary!$C$4&gt;= 5, D49/Summary!$C$4&lt;10),E49,0) * D49</f>
        <v>0</v>
      </c>
      <c r="K49" s="19">
        <f>IF(AND(D49/Summary!$C$4&gt;=10, D49/Summary!$C$4&lt;25),E49,0)*D49</f>
        <v>0</v>
      </c>
      <c r="L49" s="19">
        <f>IF(D49/Summary!$C$4&gt;=25,E49,0)*D49</f>
        <v>0</v>
      </c>
      <c r="M49" s="27">
        <f>IF(AND(D49/Summary!$C$4&gt;0, D49/Summary!$C$4&lt;1),E49,0)</f>
        <v>8000</v>
      </c>
      <c r="N49" s="27">
        <f t="shared" si="2"/>
        <v>4800</v>
      </c>
      <c r="O49" s="27">
        <f>IF(D49/Summary!$C$4=1,1,0)*E49</f>
        <v>0</v>
      </c>
      <c r="P49" s="27">
        <f t="shared" si="3"/>
        <v>0</v>
      </c>
      <c r="Q49" s="27">
        <f>IF(AND(D49/Summary!$C$4&gt;1, D49/Summary!$C$4&lt;=2),1,0)*E49</f>
        <v>0</v>
      </c>
      <c r="R49" s="27">
        <f t="shared" si="4"/>
        <v>0</v>
      </c>
      <c r="S49" s="27">
        <f>IF(AND(D49/Summary!$C$4&gt;2,D49/Summary!$C$4&lt;=5),1,0)*E49</f>
        <v>0</v>
      </c>
      <c r="T49" s="27">
        <f t="shared" si="5"/>
        <v>0</v>
      </c>
      <c r="U49" s="27">
        <f>IF(AND(D49/Summary!$C$4&gt;5, D49/Summary!$C$4&lt;=10),1,0)*E49</f>
        <v>0</v>
      </c>
      <c r="V49" s="27">
        <f t="shared" si="6"/>
        <v>0</v>
      </c>
      <c r="W49" s="27">
        <f>IF(AND(D49/Summary!$C$4&gt;10, D49/Summary!$C$4&lt;=20),1,0)*E49</f>
        <v>0</v>
      </c>
      <c r="X49" s="27">
        <f t="shared" si="7"/>
        <v>0</v>
      </c>
      <c r="Y49" s="27">
        <f>IF(AND(D49/Summary!$C$4&gt;20, D49/Summary!$C$4&lt;=30),1,0)*E49</f>
        <v>0</v>
      </c>
      <c r="Z49" s="27">
        <f t="shared" si="8"/>
        <v>0</v>
      </c>
      <c r="AA49" s="27">
        <f>IF(AND(D49/Summary!$C$4&gt;30, D49/Summary!$C$4&lt;=50),1,0)*E49</f>
        <v>0</v>
      </c>
      <c r="AB49" s="27">
        <f t="shared" si="9"/>
        <v>0</v>
      </c>
      <c r="AC49" s="27">
        <f>IF(AND(D49/Summary!$C$4&gt;50, D49/Summary!$C$4&lt;=100),1,0)*E49</f>
        <v>0</v>
      </c>
      <c r="AD49" s="27">
        <f t="shared" si="10"/>
        <v>0</v>
      </c>
      <c r="AE49" s="27">
        <f>IF(D49/Summary!$C$4&gt;100,1,0)*E49</f>
        <v>0</v>
      </c>
      <c r="AF49" s="27">
        <f t="shared" si="11"/>
        <v>0</v>
      </c>
      <c r="AG49" s="19">
        <f t="shared" si="12"/>
        <v>0</v>
      </c>
      <c r="AH49" s="19">
        <f t="shared" si="13"/>
        <v>0</v>
      </c>
      <c r="AI49" s="19">
        <f t="shared" si="14"/>
        <v>0</v>
      </c>
      <c r="AJ49" s="27">
        <f t="shared" si="15"/>
        <v>1</v>
      </c>
      <c r="AK49" s="27">
        <f t="shared" si="16"/>
        <v>8000</v>
      </c>
      <c r="AL49" s="27">
        <f t="shared" si="17"/>
        <v>4800</v>
      </c>
      <c r="AM49">
        <f t="shared" si="18"/>
        <v>0</v>
      </c>
      <c r="AN49">
        <f t="shared" si="19"/>
        <v>0</v>
      </c>
      <c r="AO49">
        <f t="shared" si="20"/>
        <v>0</v>
      </c>
      <c r="AP49">
        <f t="shared" si="21"/>
        <v>0</v>
      </c>
      <c r="AQ49">
        <f t="shared" si="22"/>
        <v>0</v>
      </c>
      <c r="AR49">
        <f t="shared" si="23"/>
        <v>0</v>
      </c>
      <c r="AS49">
        <f t="shared" si="24"/>
        <v>0</v>
      </c>
      <c r="AT49">
        <f t="shared" si="25"/>
        <v>0</v>
      </c>
      <c r="AU49">
        <f t="shared" si="26"/>
        <v>0</v>
      </c>
      <c r="AV49">
        <f t="shared" si="27"/>
        <v>0</v>
      </c>
      <c r="AW49">
        <f t="shared" si="28"/>
        <v>0</v>
      </c>
      <c r="AX49">
        <f t="shared" si="29"/>
        <v>0</v>
      </c>
      <c r="AY49">
        <f t="shared" si="30"/>
        <v>0</v>
      </c>
      <c r="AZ49">
        <f t="shared" si="31"/>
        <v>0</v>
      </c>
      <c r="BA49">
        <f t="shared" si="32"/>
        <v>0</v>
      </c>
      <c r="BB49">
        <f t="shared" si="33"/>
        <v>0</v>
      </c>
      <c r="BC49">
        <f t="shared" si="34"/>
        <v>0</v>
      </c>
      <c r="BD49">
        <f t="shared" si="35"/>
        <v>0</v>
      </c>
      <c r="BE49">
        <f t="shared" si="36"/>
        <v>0</v>
      </c>
      <c r="BF49">
        <f t="shared" si="37"/>
        <v>0</v>
      </c>
      <c r="BG49">
        <f t="shared" si="38"/>
        <v>0</v>
      </c>
      <c r="BH49">
        <f t="shared" si="39"/>
        <v>0</v>
      </c>
      <c r="BI49">
        <f t="shared" si="40"/>
        <v>0</v>
      </c>
      <c r="BJ49">
        <f t="shared" si="41"/>
        <v>0</v>
      </c>
      <c r="BK49">
        <f t="shared" si="42"/>
        <v>0</v>
      </c>
      <c r="BL49">
        <v>0</v>
      </c>
      <c r="BM49" t="str">
        <f t="shared" si="49"/>
        <v>Less than Stake</v>
      </c>
      <c r="BN49" s="32" t="str">
        <f t="shared" si="50"/>
        <v>Combo Win</v>
      </c>
      <c r="BO49">
        <f>(D49/Summary!$C$4-Summary!$C$8)^2*E49</f>
        <v>423.19999999999993</v>
      </c>
      <c r="BP49">
        <f t="shared" si="43"/>
        <v>0</v>
      </c>
      <c r="BQ49">
        <f t="shared" si="44"/>
        <v>0</v>
      </c>
      <c r="BR49">
        <f t="shared" si="45"/>
        <v>0</v>
      </c>
      <c r="BS49">
        <f t="shared" si="46"/>
        <v>0</v>
      </c>
    </row>
    <row r="50" spans="2:71">
      <c r="B50" s="16">
        <f>Tiers!B51</f>
        <v>48</v>
      </c>
      <c r="C50" s="17" t="str">
        <f>Tiers!Y51</f>
        <v>main-11|main-2|||||||| x 1</v>
      </c>
      <c r="D50" s="18">
        <f>Tiers!C51</f>
        <v>2</v>
      </c>
      <c r="E50" s="19">
        <f>Frequency!E52</f>
        <v>2416</v>
      </c>
      <c r="F50" s="19">
        <f t="shared" si="0"/>
        <v>4832</v>
      </c>
      <c r="G50" s="19">
        <f>IF(Tiers!D51&gt;1,'Data Analysis'!E50,0)</f>
        <v>0</v>
      </c>
      <c r="H50" s="19">
        <f t="shared" si="1"/>
        <v>0</v>
      </c>
      <c r="I50" s="19">
        <f>IF(AND(D50/Summary!$C$4&gt;0, D50/Summary!$C$4&lt;5),E50,0) * D50</f>
        <v>4832</v>
      </c>
      <c r="J50" s="19">
        <f>IF(AND(D50/Summary!$C$4&gt;= 5, D50/Summary!$C$4&lt;10),E50,0) * D50</f>
        <v>0</v>
      </c>
      <c r="K50" s="19">
        <f>IF(AND(D50/Summary!$C$4&gt;=10, D50/Summary!$C$4&lt;25),E50,0)*D50</f>
        <v>0</v>
      </c>
      <c r="L50" s="19">
        <f>IF(D50/Summary!$C$4&gt;=25,E50,0)*D50</f>
        <v>0</v>
      </c>
      <c r="M50" s="27">
        <f>IF(AND(D50/Summary!$C$4&gt;0, D50/Summary!$C$4&lt;1),E50,0)</f>
        <v>0</v>
      </c>
      <c r="N50" s="27">
        <f t="shared" si="2"/>
        <v>0</v>
      </c>
      <c r="O50" s="27">
        <f>IF(D50/Summary!$C$4=1,1,0)*E50</f>
        <v>0</v>
      </c>
      <c r="P50" s="27">
        <f t="shared" si="3"/>
        <v>0</v>
      </c>
      <c r="Q50" s="27">
        <f>IF(AND(D50/Summary!$C$4&gt;1, D50/Summary!$C$4&lt;=2),1,0)*E50</f>
        <v>2416</v>
      </c>
      <c r="R50" s="27">
        <f t="shared" si="4"/>
        <v>4832</v>
      </c>
      <c r="S50" s="27">
        <f>IF(AND(D50/Summary!$C$4&gt;2,D50/Summary!$C$4&lt;=5),1,0)*E50</f>
        <v>0</v>
      </c>
      <c r="T50" s="27">
        <f t="shared" si="5"/>
        <v>0</v>
      </c>
      <c r="U50" s="27">
        <f>IF(AND(D50/Summary!$C$4&gt;5, D50/Summary!$C$4&lt;=10),1,0)*E50</f>
        <v>0</v>
      </c>
      <c r="V50" s="27">
        <f t="shared" si="6"/>
        <v>0</v>
      </c>
      <c r="W50" s="27">
        <f>IF(AND(D50/Summary!$C$4&gt;10, D50/Summary!$C$4&lt;=20),1,0)*E50</f>
        <v>0</v>
      </c>
      <c r="X50" s="27">
        <f t="shared" si="7"/>
        <v>0</v>
      </c>
      <c r="Y50" s="27">
        <f>IF(AND(D50/Summary!$C$4&gt;20, D50/Summary!$C$4&lt;=30),1,0)*E50</f>
        <v>0</v>
      </c>
      <c r="Z50" s="27">
        <f t="shared" si="8"/>
        <v>0</v>
      </c>
      <c r="AA50" s="27">
        <f>IF(AND(D50/Summary!$C$4&gt;30, D50/Summary!$C$4&lt;=50),1,0)*E50</f>
        <v>0</v>
      </c>
      <c r="AB50" s="27">
        <f t="shared" si="9"/>
        <v>0</v>
      </c>
      <c r="AC50" s="27">
        <f>IF(AND(D50/Summary!$C$4&gt;50, D50/Summary!$C$4&lt;=100),1,0)*E50</f>
        <v>0</v>
      </c>
      <c r="AD50" s="27">
        <f t="shared" si="10"/>
        <v>0</v>
      </c>
      <c r="AE50" s="27">
        <f>IF(D50/Summary!$C$4&gt;100,1,0)*E50</f>
        <v>0</v>
      </c>
      <c r="AF50" s="27">
        <f t="shared" si="11"/>
        <v>0</v>
      </c>
      <c r="AG50" s="19">
        <f t="shared" si="12"/>
        <v>0</v>
      </c>
      <c r="AH50" s="19">
        <f t="shared" si="13"/>
        <v>0</v>
      </c>
      <c r="AI50" s="19">
        <f t="shared" si="14"/>
        <v>0</v>
      </c>
      <c r="AJ50" s="27">
        <f t="shared" si="15"/>
        <v>1</v>
      </c>
      <c r="AK50" s="27">
        <f t="shared" si="16"/>
        <v>2416</v>
      </c>
      <c r="AL50" s="27">
        <f t="shared" si="17"/>
        <v>4832</v>
      </c>
      <c r="AM50">
        <f t="shared" si="18"/>
        <v>0</v>
      </c>
      <c r="AN50">
        <f t="shared" si="19"/>
        <v>0</v>
      </c>
      <c r="AO50">
        <f t="shared" si="20"/>
        <v>0</v>
      </c>
      <c r="AP50">
        <f t="shared" si="21"/>
        <v>0</v>
      </c>
      <c r="AQ50">
        <f t="shared" si="22"/>
        <v>0</v>
      </c>
      <c r="AR50">
        <f t="shared" si="23"/>
        <v>0</v>
      </c>
      <c r="AS50">
        <f t="shared" si="24"/>
        <v>0</v>
      </c>
      <c r="AT50">
        <f t="shared" si="25"/>
        <v>0</v>
      </c>
      <c r="AU50">
        <f t="shared" si="26"/>
        <v>0</v>
      </c>
      <c r="AV50">
        <f t="shared" si="27"/>
        <v>0</v>
      </c>
      <c r="AW50">
        <f t="shared" si="28"/>
        <v>0</v>
      </c>
      <c r="AX50">
        <f t="shared" si="29"/>
        <v>0</v>
      </c>
      <c r="AY50">
        <f t="shared" si="30"/>
        <v>0</v>
      </c>
      <c r="AZ50">
        <f t="shared" si="31"/>
        <v>0</v>
      </c>
      <c r="BA50">
        <f t="shared" si="32"/>
        <v>0</v>
      </c>
      <c r="BB50">
        <f t="shared" si="33"/>
        <v>0</v>
      </c>
      <c r="BC50">
        <f t="shared" si="34"/>
        <v>0</v>
      </c>
      <c r="BD50">
        <f t="shared" si="35"/>
        <v>0</v>
      </c>
      <c r="BE50">
        <f t="shared" si="36"/>
        <v>0</v>
      </c>
      <c r="BF50">
        <f t="shared" si="37"/>
        <v>0</v>
      </c>
      <c r="BG50">
        <f t="shared" si="38"/>
        <v>0</v>
      </c>
      <c r="BH50">
        <f t="shared" si="39"/>
        <v>0</v>
      </c>
      <c r="BI50">
        <f t="shared" si="40"/>
        <v>0</v>
      </c>
      <c r="BJ50">
        <f t="shared" si="41"/>
        <v>0</v>
      </c>
      <c r="BK50">
        <f t="shared" si="42"/>
        <v>0</v>
      </c>
      <c r="BL50">
        <v>0</v>
      </c>
      <c r="BM50" t="str">
        <f t="shared" si="49"/>
        <v>Standard Win</v>
      </c>
      <c r="BN50" s="32" t="str">
        <f t="shared" si="50"/>
        <v>Combo Win</v>
      </c>
      <c r="BO50">
        <f>(D50/Summary!$C$4-Summary!$C$8)^2*E50</f>
        <v>3307.2623999999996</v>
      </c>
      <c r="BP50">
        <f t="shared" si="43"/>
        <v>0</v>
      </c>
      <c r="BQ50">
        <f t="shared" si="44"/>
        <v>0</v>
      </c>
      <c r="BR50">
        <f t="shared" si="45"/>
        <v>0</v>
      </c>
      <c r="BS50">
        <f t="shared" si="46"/>
        <v>0</v>
      </c>
    </row>
    <row r="51" spans="2:71">
      <c r="B51" s="16">
        <f>Tiers!B52</f>
        <v>49</v>
      </c>
      <c r="C51" s="17" t="str">
        <f>Tiers!Y52</f>
        <v>main-3|main-2|||||||| x 1</v>
      </c>
      <c r="D51" s="18">
        <f>Tiers!C52</f>
        <v>1.5</v>
      </c>
      <c r="E51" s="19">
        <f>Frequency!E53</f>
        <v>500</v>
      </c>
      <c r="F51" s="19">
        <f t="shared" si="0"/>
        <v>750</v>
      </c>
      <c r="G51" s="19">
        <f>IF(Tiers!D52&gt;1,'Data Analysis'!E51,0)</f>
        <v>0</v>
      </c>
      <c r="H51" s="19">
        <f t="shared" si="1"/>
        <v>0</v>
      </c>
      <c r="I51" s="19">
        <f>IF(AND(D51/Summary!$C$4&gt;0, D51/Summary!$C$4&lt;5),E51,0) * D51</f>
        <v>750</v>
      </c>
      <c r="J51" s="19">
        <f>IF(AND(D51/Summary!$C$4&gt;= 5, D51/Summary!$C$4&lt;10),E51,0) * D51</f>
        <v>0</v>
      </c>
      <c r="K51" s="19">
        <f>IF(AND(D51/Summary!$C$4&gt;=10, D51/Summary!$C$4&lt;25),E51,0)*D51</f>
        <v>0</v>
      </c>
      <c r="L51" s="19">
        <f>IF(D51/Summary!$C$4&gt;=25,E51,0)*D51</f>
        <v>0</v>
      </c>
      <c r="M51" s="27">
        <f>IF(AND(D51/Summary!$C$4&gt;0, D51/Summary!$C$4&lt;1),E51,0)</f>
        <v>0</v>
      </c>
      <c r="N51" s="27">
        <f t="shared" si="2"/>
        <v>0</v>
      </c>
      <c r="O51" s="27">
        <f>IF(D51/Summary!$C$4=1,1,0)*E51</f>
        <v>0</v>
      </c>
      <c r="P51" s="27">
        <f t="shared" si="3"/>
        <v>0</v>
      </c>
      <c r="Q51" s="27">
        <f>IF(AND(D51/Summary!$C$4&gt;1, D51/Summary!$C$4&lt;=2),1,0)*E51</f>
        <v>500</v>
      </c>
      <c r="R51" s="27">
        <f t="shared" si="4"/>
        <v>750</v>
      </c>
      <c r="S51" s="27">
        <f>IF(AND(D51/Summary!$C$4&gt;2,D51/Summary!$C$4&lt;=5),1,0)*E51</f>
        <v>0</v>
      </c>
      <c r="T51" s="27">
        <f t="shared" si="5"/>
        <v>0</v>
      </c>
      <c r="U51" s="27">
        <f>IF(AND(D51/Summary!$C$4&gt;5, D51/Summary!$C$4&lt;=10),1,0)*E51</f>
        <v>0</v>
      </c>
      <c r="V51" s="27">
        <f t="shared" si="6"/>
        <v>0</v>
      </c>
      <c r="W51" s="27">
        <f>IF(AND(D51/Summary!$C$4&gt;10, D51/Summary!$C$4&lt;=20),1,0)*E51</f>
        <v>0</v>
      </c>
      <c r="X51" s="27">
        <f t="shared" si="7"/>
        <v>0</v>
      </c>
      <c r="Y51" s="27">
        <f>IF(AND(D51/Summary!$C$4&gt;20, D51/Summary!$C$4&lt;=30),1,0)*E51</f>
        <v>0</v>
      </c>
      <c r="Z51" s="27">
        <f t="shared" si="8"/>
        <v>0</v>
      </c>
      <c r="AA51" s="27">
        <f>IF(AND(D51/Summary!$C$4&gt;30, D51/Summary!$C$4&lt;=50),1,0)*E51</f>
        <v>0</v>
      </c>
      <c r="AB51" s="27">
        <f t="shared" si="9"/>
        <v>0</v>
      </c>
      <c r="AC51" s="27">
        <f>IF(AND(D51/Summary!$C$4&gt;50, D51/Summary!$C$4&lt;=100),1,0)*E51</f>
        <v>0</v>
      </c>
      <c r="AD51" s="27">
        <f t="shared" si="10"/>
        <v>0</v>
      </c>
      <c r="AE51" s="27">
        <f>IF(D51/Summary!$C$4&gt;100,1,0)*E51</f>
        <v>0</v>
      </c>
      <c r="AF51" s="27">
        <f t="shared" si="11"/>
        <v>0</v>
      </c>
      <c r="AG51" s="19">
        <f t="shared" si="12"/>
        <v>0</v>
      </c>
      <c r="AH51" s="19">
        <f t="shared" si="13"/>
        <v>0</v>
      </c>
      <c r="AI51" s="19">
        <f t="shared" si="14"/>
        <v>0</v>
      </c>
      <c r="AJ51" s="27">
        <f t="shared" si="15"/>
        <v>1</v>
      </c>
      <c r="AK51" s="27">
        <f t="shared" si="16"/>
        <v>500</v>
      </c>
      <c r="AL51" s="27">
        <f t="shared" si="17"/>
        <v>750</v>
      </c>
      <c r="AM51">
        <f t="shared" si="18"/>
        <v>0</v>
      </c>
      <c r="AN51">
        <f t="shared" si="19"/>
        <v>0</v>
      </c>
      <c r="AO51">
        <f t="shared" si="20"/>
        <v>0</v>
      </c>
      <c r="AP51">
        <f t="shared" si="21"/>
        <v>0</v>
      </c>
      <c r="AQ51">
        <f t="shared" si="22"/>
        <v>0</v>
      </c>
      <c r="AR51">
        <f t="shared" si="23"/>
        <v>0</v>
      </c>
      <c r="AS51">
        <f t="shared" si="24"/>
        <v>0</v>
      </c>
      <c r="AT51">
        <f t="shared" si="25"/>
        <v>0</v>
      </c>
      <c r="AU51">
        <f t="shared" si="26"/>
        <v>0</v>
      </c>
      <c r="AV51">
        <f t="shared" si="27"/>
        <v>0</v>
      </c>
      <c r="AW51">
        <f t="shared" si="28"/>
        <v>0</v>
      </c>
      <c r="AX51">
        <f t="shared" si="29"/>
        <v>0</v>
      </c>
      <c r="AY51">
        <f t="shared" si="30"/>
        <v>0</v>
      </c>
      <c r="AZ51">
        <f t="shared" si="31"/>
        <v>0</v>
      </c>
      <c r="BA51">
        <f t="shared" si="32"/>
        <v>0</v>
      </c>
      <c r="BB51">
        <f t="shared" si="33"/>
        <v>0</v>
      </c>
      <c r="BC51">
        <f t="shared" si="34"/>
        <v>0</v>
      </c>
      <c r="BD51">
        <f t="shared" si="35"/>
        <v>0</v>
      </c>
      <c r="BE51">
        <f t="shared" si="36"/>
        <v>0</v>
      </c>
      <c r="BF51">
        <f t="shared" si="37"/>
        <v>0</v>
      </c>
      <c r="BG51">
        <f t="shared" si="38"/>
        <v>0</v>
      </c>
      <c r="BH51">
        <f t="shared" si="39"/>
        <v>0</v>
      </c>
      <c r="BI51">
        <f t="shared" si="40"/>
        <v>0</v>
      </c>
      <c r="BJ51">
        <f t="shared" si="41"/>
        <v>0</v>
      </c>
      <c r="BK51">
        <f t="shared" si="42"/>
        <v>0</v>
      </c>
      <c r="BL51">
        <v>0</v>
      </c>
      <c r="BM51" t="str">
        <f t="shared" si="49"/>
        <v>Standard Win</v>
      </c>
      <c r="BN51" s="32" t="str">
        <f t="shared" si="50"/>
        <v>Combo Win</v>
      </c>
      <c r="BO51">
        <f>(D51/Summary!$C$4-Summary!$C$8)^2*E51</f>
        <v>224.45000000000005</v>
      </c>
      <c r="BP51">
        <f t="shared" si="43"/>
        <v>0</v>
      </c>
      <c r="BQ51">
        <f t="shared" si="44"/>
        <v>0</v>
      </c>
      <c r="BR51">
        <f t="shared" si="45"/>
        <v>0</v>
      </c>
      <c r="BS51">
        <f t="shared" si="46"/>
        <v>0</v>
      </c>
    </row>
    <row r="52" spans="2:71">
      <c r="B52" s="16">
        <f>Tiers!B53</f>
        <v>50</v>
      </c>
      <c r="C52" s="17" t="str">
        <f>Tiers!Y53</f>
        <v>main-3|main-21|||||||| x 1</v>
      </c>
      <c r="D52" s="18">
        <f>Tiers!C53</f>
        <v>3</v>
      </c>
      <c r="E52" s="19">
        <f>Frequency!E54</f>
        <v>161</v>
      </c>
      <c r="F52" s="19">
        <f t="shared" si="0"/>
        <v>483</v>
      </c>
      <c r="G52" s="19">
        <f>IF(Tiers!D53&gt;1,'Data Analysis'!E52,0)</f>
        <v>0</v>
      </c>
      <c r="H52" s="19">
        <f t="shared" si="1"/>
        <v>0</v>
      </c>
      <c r="I52" s="19">
        <f>IF(AND(D52/Summary!$C$4&gt;0, D52/Summary!$C$4&lt;5),E52,0) * D52</f>
        <v>483</v>
      </c>
      <c r="J52" s="19">
        <f>IF(AND(D52/Summary!$C$4&gt;= 5, D52/Summary!$C$4&lt;10),E52,0) * D52</f>
        <v>0</v>
      </c>
      <c r="K52" s="19">
        <f>IF(AND(D52/Summary!$C$4&gt;=10, D52/Summary!$C$4&lt;25),E52,0)*D52</f>
        <v>0</v>
      </c>
      <c r="L52" s="19">
        <f>IF(D52/Summary!$C$4&gt;=25,E52,0)*D52</f>
        <v>0</v>
      </c>
      <c r="M52" s="27">
        <f>IF(AND(D52/Summary!$C$4&gt;0, D52/Summary!$C$4&lt;1),E52,0)</f>
        <v>0</v>
      </c>
      <c r="N52" s="27">
        <f t="shared" si="2"/>
        <v>0</v>
      </c>
      <c r="O52" s="27">
        <f>IF(D52/Summary!$C$4=1,1,0)*E52</f>
        <v>0</v>
      </c>
      <c r="P52" s="27">
        <f t="shared" si="3"/>
        <v>0</v>
      </c>
      <c r="Q52" s="27">
        <f>IF(AND(D52/Summary!$C$4&gt;1, D52/Summary!$C$4&lt;=2),1,0)*E52</f>
        <v>0</v>
      </c>
      <c r="R52" s="27">
        <f t="shared" si="4"/>
        <v>0</v>
      </c>
      <c r="S52" s="27">
        <f>IF(AND(D52/Summary!$C$4&gt;2,D52/Summary!$C$4&lt;=5),1,0)*E52</f>
        <v>161</v>
      </c>
      <c r="T52" s="27">
        <f t="shared" si="5"/>
        <v>483</v>
      </c>
      <c r="U52" s="27">
        <f>IF(AND(D52/Summary!$C$4&gt;5, D52/Summary!$C$4&lt;=10),1,0)*E52</f>
        <v>0</v>
      </c>
      <c r="V52" s="27">
        <f t="shared" si="6"/>
        <v>0</v>
      </c>
      <c r="W52" s="27">
        <f>IF(AND(D52/Summary!$C$4&gt;10, D52/Summary!$C$4&lt;=20),1,0)*E52</f>
        <v>0</v>
      </c>
      <c r="X52" s="27">
        <f t="shared" si="7"/>
        <v>0</v>
      </c>
      <c r="Y52" s="27">
        <f>IF(AND(D52/Summary!$C$4&gt;20, D52/Summary!$C$4&lt;=30),1,0)*E52</f>
        <v>0</v>
      </c>
      <c r="Z52" s="27">
        <f t="shared" si="8"/>
        <v>0</v>
      </c>
      <c r="AA52" s="27">
        <f>IF(AND(D52/Summary!$C$4&gt;30, D52/Summary!$C$4&lt;=50),1,0)*E52</f>
        <v>0</v>
      </c>
      <c r="AB52" s="27">
        <f t="shared" si="9"/>
        <v>0</v>
      </c>
      <c r="AC52" s="27">
        <f>IF(AND(D52/Summary!$C$4&gt;50, D52/Summary!$C$4&lt;=100),1,0)*E52</f>
        <v>0</v>
      </c>
      <c r="AD52" s="27">
        <f t="shared" si="10"/>
        <v>0</v>
      </c>
      <c r="AE52" s="27">
        <f>IF(D52/Summary!$C$4&gt;100,1,0)*E52</f>
        <v>0</v>
      </c>
      <c r="AF52" s="27">
        <f t="shared" si="11"/>
        <v>0</v>
      </c>
      <c r="AG52" s="19">
        <f t="shared" si="12"/>
        <v>0</v>
      </c>
      <c r="AH52" s="19">
        <f t="shared" si="13"/>
        <v>0</v>
      </c>
      <c r="AI52" s="19">
        <f t="shared" si="14"/>
        <v>0</v>
      </c>
      <c r="AJ52" s="27">
        <f t="shared" si="15"/>
        <v>1</v>
      </c>
      <c r="AK52" s="27">
        <f t="shared" si="16"/>
        <v>161</v>
      </c>
      <c r="AL52" s="27">
        <f t="shared" si="17"/>
        <v>483</v>
      </c>
      <c r="AM52">
        <f t="shared" si="18"/>
        <v>0</v>
      </c>
      <c r="AN52">
        <f t="shared" si="19"/>
        <v>0</v>
      </c>
      <c r="AO52">
        <f t="shared" si="20"/>
        <v>0</v>
      </c>
      <c r="AP52">
        <f t="shared" si="21"/>
        <v>0</v>
      </c>
      <c r="AQ52">
        <f t="shared" si="22"/>
        <v>0</v>
      </c>
      <c r="AR52">
        <f t="shared" si="23"/>
        <v>0</v>
      </c>
      <c r="AS52">
        <f t="shared" si="24"/>
        <v>0</v>
      </c>
      <c r="AT52">
        <f t="shared" si="25"/>
        <v>0</v>
      </c>
      <c r="AU52">
        <f t="shared" si="26"/>
        <v>0</v>
      </c>
      <c r="AV52">
        <f t="shared" si="27"/>
        <v>0</v>
      </c>
      <c r="AW52">
        <f t="shared" si="28"/>
        <v>0</v>
      </c>
      <c r="AX52">
        <f t="shared" si="29"/>
        <v>0</v>
      </c>
      <c r="AY52">
        <f t="shared" si="30"/>
        <v>0</v>
      </c>
      <c r="AZ52">
        <f t="shared" si="31"/>
        <v>0</v>
      </c>
      <c r="BA52">
        <f t="shared" si="32"/>
        <v>0</v>
      </c>
      <c r="BB52">
        <f t="shared" si="33"/>
        <v>0</v>
      </c>
      <c r="BC52">
        <f t="shared" si="34"/>
        <v>0</v>
      </c>
      <c r="BD52">
        <f t="shared" si="35"/>
        <v>0</v>
      </c>
      <c r="BE52">
        <f t="shared" si="36"/>
        <v>0</v>
      </c>
      <c r="BF52">
        <f t="shared" si="37"/>
        <v>0</v>
      </c>
      <c r="BG52">
        <f t="shared" si="38"/>
        <v>0</v>
      </c>
      <c r="BH52">
        <f t="shared" si="39"/>
        <v>0</v>
      </c>
      <c r="BI52">
        <f t="shared" si="40"/>
        <v>0</v>
      </c>
      <c r="BJ52">
        <f t="shared" si="41"/>
        <v>0</v>
      </c>
      <c r="BK52">
        <f t="shared" si="42"/>
        <v>0</v>
      </c>
      <c r="BL52">
        <v>0</v>
      </c>
      <c r="BM52" t="str">
        <f t="shared" si="49"/>
        <v>Standard Win</v>
      </c>
      <c r="BN52" s="32" t="str">
        <f t="shared" si="50"/>
        <v>Combo Win</v>
      </c>
      <c r="BO52">
        <f>(D52/Summary!$C$4-Summary!$C$8)^2*E52</f>
        <v>758.13289999999995</v>
      </c>
      <c r="BP52">
        <f t="shared" si="43"/>
        <v>0</v>
      </c>
      <c r="BQ52">
        <f t="shared" si="44"/>
        <v>0</v>
      </c>
      <c r="BR52">
        <f t="shared" si="45"/>
        <v>0</v>
      </c>
      <c r="BS52">
        <f t="shared" si="46"/>
        <v>0</v>
      </c>
    </row>
    <row r="53" spans="2:71">
      <c r="B53" s="16">
        <f>Tiers!B54</f>
        <v>51</v>
      </c>
      <c r="C53" s="17" t="str">
        <f>Tiers!Y54</f>
        <v>main-2|main-5|||||||| x 1</v>
      </c>
      <c r="D53" s="18">
        <f>Tiers!C54</f>
        <v>2.5</v>
      </c>
      <c r="E53" s="19">
        <f>Frequency!E55</f>
        <v>19</v>
      </c>
      <c r="F53" s="19">
        <f t="shared" si="0"/>
        <v>47.5</v>
      </c>
      <c r="G53" s="19">
        <f>IF(Tiers!D54&gt;1,'Data Analysis'!E53,0)</f>
        <v>0</v>
      </c>
      <c r="H53" s="19">
        <f t="shared" si="1"/>
        <v>0</v>
      </c>
      <c r="I53" s="19">
        <f>IF(AND(D53/Summary!$C$4&gt;0, D53/Summary!$C$4&lt;5),E53,0) * D53</f>
        <v>47.5</v>
      </c>
      <c r="J53" s="19">
        <f>IF(AND(D53/Summary!$C$4&gt;= 5, D53/Summary!$C$4&lt;10),E53,0) * D53</f>
        <v>0</v>
      </c>
      <c r="K53" s="19">
        <f>IF(AND(D53/Summary!$C$4&gt;=10, D53/Summary!$C$4&lt;25),E53,0)*D53</f>
        <v>0</v>
      </c>
      <c r="L53" s="19">
        <f>IF(D53/Summary!$C$4&gt;=25,E53,0)*D53</f>
        <v>0</v>
      </c>
      <c r="M53" s="27">
        <f>IF(AND(D53/Summary!$C$4&gt;0, D53/Summary!$C$4&lt;1),E53,0)</f>
        <v>0</v>
      </c>
      <c r="N53" s="27">
        <f t="shared" si="2"/>
        <v>0</v>
      </c>
      <c r="O53" s="27">
        <f>IF(D53/Summary!$C$4=1,1,0)*E53</f>
        <v>0</v>
      </c>
      <c r="P53" s="27">
        <f t="shared" si="3"/>
        <v>0</v>
      </c>
      <c r="Q53" s="27">
        <f>IF(AND(D53/Summary!$C$4&gt;1, D53/Summary!$C$4&lt;=2),1,0)*E53</f>
        <v>0</v>
      </c>
      <c r="R53" s="27">
        <f t="shared" si="4"/>
        <v>0</v>
      </c>
      <c r="S53" s="27">
        <f>IF(AND(D53/Summary!$C$4&gt;2,D53/Summary!$C$4&lt;=5),1,0)*E53</f>
        <v>19</v>
      </c>
      <c r="T53" s="27">
        <f t="shared" si="5"/>
        <v>47.5</v>
      </c>
      <c r="U53" s="27">
        <f>IF(AND(D53/Summary!$C$4&gt;5, D53/Summary!$C$4&lt;=10),1,0)*E53</f>
        <v>0</v>
      </c>
      <c r="V53" s="27">
        <f t="shared" si="6"/>
        <v>0</v>
      </c>
      <c r="W53" s="27">
        <f>IF(AND(D53/Summary!$C$4&gt;10, D53/Summary!$C$4&lt;=20),1,0)*E53</f>
        <v>0</v>
      </c>
      <c r="X53" s="27">
        <f t="shared" si="7"/>
        <v>0</v>
      </c>
      <c r="Y53" s="27">
        <f>IF(AND(D53/Summary!$C$4&gt;20, D53/Summary!$C$4&lt;=30),1,0)*E53</f>
        <v>0</v>
      </c>
      <c r="Z53" s="27">
        <f t="shared" si="8"/>
        <v>0</v>
      </c>
      <c r="AA53" s="27">
        <f>IF(AND(D53/Summary!$C$4&gt;30, D53/Summary!$C$4&lt;=50),1,0)*E53</f>
        <v>0</v>
      </c>
      <c r="AB53" s="27">
        <f t="shared" si="9"/>
        <v>0</v>
      </c>
      <c r="AC53" s="27">
        <f>IF(AND(D53/Summary!$C$4&gt;50, D53/Summary!$C$4&lt;=100),1,0)*E53</f>
        <v>0</v>
      </c>
      <c r="AD53" s="27">
        <f t="shared" si="10"/>
        <v>0</v>
      </c>
      <c r="AE53" s="27">
        <f>IF(D53/Summary!$C$4&gt;100,1,0)*E53</f>
        <v>0</v>
      </c>
      <c r="AF53" s="27">
        <f t="shared" si="11"/>
        <v>0</v>
      </c>
      <c r="AG53" s="19">
        <f t="shared" si="12"/>
        <v>0</v>
      </c>
      <c r="AH53" s="19">
        <f t="shared" si="13"/>
        <v>0</v>
      </c>
      <c r="AI53" s="19">
        <f t="shared" si="14"/>
        <v>0</v>
      </c>
      <c r="AJ53" s="27">
        <f t="shared" si="15"/>
        <v>1</v>
      </c>
      <c r="AK53" s="27">
        <f t="shared" si="16"/>
        <v>19</v>
      </c>
      <c r="AL53" s="27">
        <f t="shared" si="17"/>
        <v>47.5</v>
      </c>
      <c r="AM53">
        <f t="shared" si="18"/>
        <v>0</v>
      </c>
      <c r="AN53">
        <f t="shared" si="19"/>
        <v>0</v>
      </c>
      <c r="AO53">
        <f t="shared" si="20"/>
        <v>0</v>
      </c>
      <c r="AP53">
        <f t="shared" si="21"/>
        <v>0</v>
      </c>
      <c r="AQ53">
        <f t="shared" si="22"/>
        <v>0</v>
      </c>
      <c r="AR53">
        <f t="shared" si="23"/>
        <v>0</v>
      </c>
      <c r="AS53">
        <f t="shared" si="24"/>
        <v>0</v>
      </c>
      <c r="AT53">
        <f t="shared" si="25"/>
        <v>0</v>
      </c>
      <c r="AU53">
        <f t="shared" si="26"/>
        <v>0</v>
      </c>
      <c r="AV53">
        <f t="shared" si="27"/>
        <v>0</v>
      </c>
      <c r="AW53">
        <f t="shared" si="28"/>
        <v>0</v>
      </c>
      <c r="AX53">
        <f t="shared" si="29"/>
        <v>0</v>
      </c>
      <c r="AY53">
        <f t="shared" si="30"/>
        <v>0</v>
      </c>
      <c r="AZ53">
        <f t="shared" si="31"/>
        <v>0</v>
      </c>
      <c r="BA53">
        <f t="shared" si="32"/>
        <v>0</v>
      </c>
      <c r="BB53">
        <f t="shared" si="33"/>
        <v>0</v>
      </c>
      <c r="BC53">
        <f t="shared" si="34"/>
        <v>0</v>
      </c>
      <c r="BD53">
        <f t="shared" si="35"/>
        <v>0</v>
      </c>
      <c r="BE53">
        <f t="shared" si="36"/>
        <v>0</v>
      </c>
      <c r="BF53">
        <f t="shared" si="37"/>
        <v>0</v>
      </c>
      <c r="BG53">
        <f t="shared" si="38"/>
        <v>0</v>
      </c>
      <c r="BH53">
        <f t="shared" si="39"/>
        <v>0</v>
      </c>
      <c r="BI53">
        <f t="shared" si="40"/>
        <v>0</v>
      </c>
      <c r="BJ53">
        <f t="shared" si="41"/>
        <v>0</v>
      </c>
      <c r="BK53">
        <f t="shared" si="42"/>
        <v>0</v>
      </c>
      <c r="BL53">
        <v>0</v>
      </c>
      <c r="BM53" t="str">
        <f t="shared" si="49"/>
        <v>Standard Win</v>
      </c>
      <c r="BN53" s="32" t="str">
        <f t="shared" si="50"/>
        <v>Combo Win</v>
      </c>
      <c r="BO53">
        <f>(D53/Summary!$C$4-Summary!$C$8)^2*E53</f>
        <v>52.989100000000001</v>
      </c>
      <c r="BP53">
        <f t="shared" si="43"/>
        <v>0</v>
      </c>
      <c r="BQ53">
        <f t="shared" si="44"/>
        <v>0</v>
      </c>
      <c r="BR53">
        <f t="shared" si="45"/>
        <v>0</v>
      </c>
      <c r="BS53">
        <f t="shared" si="46"/>
        <v>0</v>
      </c>
    </row>
    <row r="54" spans="2:71">
      <c r="B54" s="16">
        <f>Tiers!B55</f>
        <v>52</v>
      </c>
      <c r="C54" s="17" t="str">
        <f>Tiers!Y55</f>
        <v>main-4|main-22|||||||| x 1</v>
      </c>
      <c r="D54" s="18">
        <f>Tiers!C55</f>
        <v>6.5</v>
      </c>
      <c r="E54" s="19">
        <f>Frequency!E56</f>
        <v>8</v>
      </c>
      <c r="F54" s="19">
        <f t="shared" si="0"/>
        <v>52</v>
      </c>
      <c r="G54" s="19">
        <f>IF(Tiers!D55&gt;1,'Data Analysis'!E54,0)</f>
        <v>0</v>
      </c>
      <c r="H54" s="19">
        <f t="shared" si="1"/>
        <v>0</v>
      </c>
      <c r="I54" s="19">
        <f>IF(AND(D54/Summary!$C$4&gt;0, D54/Summary!$C$4&lt;5),E54,0) * D54</f>
        <v>0</v>
      </c>
      <c r="J54" s="19">
        <f>IF(AND(D54/Summary!$C$4&gt;= 5, D54/Summary!$C$4&lt;10),E54,0) * D54</f>
        <v>52</v>
      </c>
      <c r="K54" s="19">
        <f>IF(AND(D54/Summary!$C$4&gt;=10, D54/Summary!$C$4&lt;25),E54,0)*D54</f>
        <v>0</v>
      </c>
      <c r="L54" s="19">
        <f>IF(D54/Summary!$C$4&gt;=25,E54,0)*D54</f>
        <v>0</v>
      </c>
      <c r="M54" s="27">
        <f>IF(AND(D54/Summary!$C$4&gt;0, D54/Summary!$C$4&lt;1),E54,0)</f>
        <v>0</v>
      </c>
      <c r="N54" s="27">
        <f t="shared" si="2"/>
        <v>0</v>
      </c>
      <c r="O54" s="27">
        <f>IF(D54/Summary!$C$4=1,1,0)*E54</f>
        <v>0</v>
      </c>
      <c r="P54" s="27">
        <f t="shared" si="3"/>
        <v>0</v>
      </c>
      <c r="Q54" s="27">
        <f>IF(AND(D54/Summary!$C$4&gt;1, D54/Summary!$C$4&lt;=2),1,0)*E54</f>
        <v>0</v>
      </c>
      <c r="R54" s="27">
        <f t="shared" si="4"/>
        <v>0</v>
      </c>
      <c r="S54" s="27">
        <f>IF(AND(D54/Summary!$C$4&gt;2,D54/Summary!$C$4&lt;=5),1,0)*E54</f>
        <v>0</v>
      </c>
      <c r="T54" s="27">
        <f t="shared" si="5"/>
        <v>0</v>
      </c>
      <c r="U54" s="27">
        <f>IF(AND(D54/Summary!$C$4&gt;5, D54/Summary!$C$4&lt;=10),1,0)*E54</f>
        <v>8</v>
      </c>
      <c r="V54" s="27">
        <f t="shared" si="6"/>
        <v>52</v>
      </c>
      <c r="W54" s="27">
        <f>IF(AND(D54/Summary!$C$4&gt;10, D54/Summary!$C$4&lt;=20),1,0)*E54</f>
        <v>0</v>
      </c>
      <c r="X54" s="27">
        <f t="shared" si="7"/>
        <v>0</v>
      </c>
      <c r="Y54" s="27">
        <f>IF(AND(D54/Summary!$C$4&gt;20, D54/Summary!$C$4&lt;=30),1,0)*E54</f>
        <v>0</v>
      </c>
      <c r="Z54" s="27">
        <f t="shared" si="8"/>
        <v>0</v>
      </c>
      <c r="AA54" s="27">
        <f>IF(AND(D54/Summary!$C$4&gt;30, D54/Summary!$C$4&lt;=50),1,0)*E54</f>
        <v>0</v>
      </c>
      <c r="AB54" s="27">
        <f t="shared" si="9"/>
        <v>0</v>
      </c>
      <c r="AC54" s="27">
        <f>IF(AND(D54/Summary!$C$4&gt;50, D54/Summary!$C$4&lt;=100),1,0)*E54</f>
        <v>0</v>
      </c>
      <c r="AD54" s="27">
        <f t="shared" si="10"/>
        <v>0</v>
      </c>
      <c r="AE54" s="27">
        <f>IF(D54/Summary!$C$4&gt;100,1,0)*E54</f>
        <v>0</v>
      </c>
      <c r="AF54" s="27">
        <f t="shared" si="11"/>
        <v>0</v>
      </c>
      <c r="AG54" s="19">
        <f t="shared" si="12"/>
        <v>0</v>
      </c>
      <c r="AH54" s="19">
        <f t="shared" si="13"/>
        <v>0</v>
      </c>
      <c r="AI54" s="19">
        <f t="shared" si="14"/>
        <v>0</v>
      </c>
      <c r="AJ54" s="27">
        <f t="shared" si="15"/>
        <v>1</v>
      </c>
      <c r="AK54" s="27">
        <f t="shared" si="16"/>
        <v>8</v>
      </c>
      <c r="AL54" s="27">
        <f t="shared" si="17"/>
        <v>52</v>
      </c>
      <c r="AM54">
        <f t="shared" si="18"/>
        <v>0</v>
      </c>
      <c r="AN54">
        <f t="shared" si="19"/>
        <v>0</v>
      </c>
      <c r="AO54">
        <f t="shared" si="20"/>
        <v>0</v>
      </c>
      <c r="AP54">
        <f t="shared" si="21"/>
        <v>0</v>
      </c>
      <c r="AQ54">
        <f t="shared" si="22"/>
        <v>0</v>
      </c>
      <c r="AR54">
        <f t="shared" si="23"/>
        <v>0</v>
      </c>
      <c r="AS54">
        <f t="shared" si="24"/>
        <v>0</v>
      </c>
      <c r="AT54">
        <f t="shared" si="25"/>
        <v>0</v>
      </c>
      <c r="AU54">
        <f t="shared" si="26"/>
        <v>0</v>
      </c>
      <c r="AV54">
        <f t="shared" si="27"/>
        <v>0</v>
      </c>
      <c r="AW54">
        <f t="shared" si="28"/>
        <v>0</v>
      </c>
      <c r="AX54">
        <f t="shared" si="29"/>
        <v>0</v>
      </c>
      <c r="AY54">
        <f t="shared" si="30"/>
        <v>0</v>
      </c>
      <c r="AZ54">
        <f t="shared" si="31"/>
        <v>0</v>
      </c>
      <c r="BA54">
        <f t="shared" si="32"/>
        <v>0</v>
      </c>
      <c r="BB54">
        <f t="shared" si="33"/>
        <v>0</v>
      </c>
      <c r="BC54">
        <f t="shared" si="34"/>
        <v>0</v>
      </c>
      <c r="BD54">
        <f t="shared" si="35"/>
        <v>0</v>
      </c>
      <c r="BE54">
        <f t="shared" si="36"/>
        <v>0</v>
      </c>
      <c r="BF54">
        <f t="shared" si="37"/>
        <v>0</v>
      </c>
      <c r="BG54">
        <f t="shared" si="38"/>
        <v>0</v>
      </c>
      <c r="BH54">
        <f t="shared" si="39"/>
        <v>0</v>
      </c>
      <c r="BI54">
        <f t="shared" si="40"/>
        <v>0</v>
      </c>
      <c r="BJ54">
        <f t="shared" si="41"/>
        <v>0</v>
      </c>
      <c r="BK54">
        <f t="shared" si="42"/>
        <v>0</v>
      </c>
      <c r="BL54">
        <v>0</v>
      </c>
      <c r="BM54" t="str">
        <f t="shared" si="49"/>
        <v>Standard Win</v>
      </c>
      <c r="BN54" s="32" t="str">
        <f t="shared" si="50"/>
        <v>Combo Win</v>
      </c>
      <c r="BO54">
        <f>(D54/Summary!$C$4-Summary!$C$8)^2*E54</f>
        <v>257.19119999999998</v>
      </c>
      <c r="BP54">
        <f t="shared" si="43"/>
        <v>0</v>
      </c>
      <c r="BQ54">
        <f t="shared" si="44"/>
        <v>0</v>
      </c>
      <c r="BR54">
        <f t="shared" si="45"/>
        <v>0</v>
      </c>
      <c r="BS54">
        <f t="shared" si="46"/>
        <v>0</v>
      </c>
    </row>
    <row r="55" spans="2:71">
      <c r="B55" s="16">
        <f>Tiers!B56</f>
        <v>53</v>
      </c>
      <c r="C55" s="17" t="str">
        <f>Tiers!Y56</f>
        <v>main-4|main-4|||||||| x 1</v>
      </c>
      <c r="D55" s="18">
        <f>Tiers!C56</f>
        <v>3</v>
      </c>
      <c r="E55" s="19">
        <f>Frequency!E57</f>
        <v>17</v>
      </c>
      <c r="F55" s="19">
        <f t="shared" si="0"/>
        <v>51</v>
      </c>
      <c r="G55" s="19">
        <f>IF(Tiers!D56&gt;1,'Data Analysis'!E55,0)</f>
        <v>0</v>
      </c>
      <c r="H55" s="19">
        <f t="shared" si="1"/>
        <v>0</v>
      </c>
      <c r="I55" s="19">
        <f>IF(AND(D55/Summary!$C$4&gt;0, D55/Summary!$C$4&lt;5),E55,0) * D55</f>
        <v>51</v>
      </c>
      <c r="J55" s="19">
        <f>IF(AND(D55/Summary!$C$4&gt;= 5, D55/Summary!$C$4&lt;10),E55,0) * D55</f>
        <v>0</v>
      </c>
      <c r="K55" s="19">
        <f>IF(AND(D55/Summary!$C$4&gt;=10, D55/Summary!$C$4&lt;25),E55,0)*D55</f>
        <v>0</v>
      </c>
      <c r="L55" s="19">
        <f>IF(D55/Summary!$C$4&gt;=25,E55,0)*D55</f>
        <v>0</v>
      </c>
      <c r="M55" s="27">
        <f>IF(AND(D55/Summary!$C$4&gt;0, D55/Summary!$C$4&lt;1),E55,0)</f>
        <v>0</v>
      </c>
      <c r="N55" s="27">
        <f t="shared" si="2"/>
        <v>0</v>
      </c>
      <c r="O55" s="27">
        <f>IF(D55/Summary!$C$4=1,1,0)*E55</f>
        <v>0</v>
      </c>
      <c r="P55" s="27">
        <f t="shared" si="3"/>
        <v>0</v>
      </c>
      <c r="Q55" s="27">
        <f>IF(AND(D55/Summary!$C$4&gt;1, D55/Summary!$C$4&lt;=2),1,0)*E55</f>
        <v>0</v>
      </c>
      <c r="R55" s="27">
        <f t="shared" si="4"/>
        <v>0</v>
      </c>
      <c r="S55" s="27">
        <f>IF(AND(D55/Summary!$C$4&gt;2,D55/Summary!$C$4&lt;=5),1,0)*E55</f>
        <v>17</v>
      </c>
      <c r="T55" s="27">
        <f t="shared" si="5"/>
        <v>51</v>
      </c>
      <c r="U55" s="27">
        <f>IF(AND(D55/Summary!$C$4&gt;5, D55/Summary!$C$4&lt;=10),1,0)*E55</f>
        <v>0</v>
      </c>
      <c r="V55" s="27">
        <f t="shared" si="6"/>
        <v>0</v>
      </c>
      <c r="W55" s="27">
        <f>IF(AND(D55/Summary!$C$4&gt;10, D55/Summary!$C$4&lt;=20),1,0)*E55</f>
        <v>0</v>
      </c>
      <c r="X55" s="27">
        <f t="shared" si="7"/>
        <v>0</v>
      </c>
      <c r="Y55" s="27">
        <f>IF(AND(D55/Summary!$C$4&gt;20, D55/Summary!$C$4&lt;=30),1,0)*E55</f>
        <v>0</v>
      </c>
      <c r="Z55" s="27">
        <f t="shared" si="8"/>
        <v>0</v>
      </c>
      <c r="AA55" s="27">
        <f>IF(AND(D55/Summary!$C$4&gt;30, D55/Summary!$C$4&lt;=50),1,0)*E55</f>
        <v>0</v>
      </c>
      <c r="AB55" s="27">
        <f t="shared" si="9"/>
        <v>0</v>
      </c>
      <c r="AC55" s="27">
        <f>IF(AND(D55/Summary!$C$4&gt;50, D55/Summary!$C$4&lt;=100),1,0)*E55</f>
        <v>0</v>
      </c>
      <c r="AD55" s="27">
        <f t="shared" si="10"/>
        <v>0</v>
      </c>
      <c r="AE55" s="27">
        <f>IF(D55/Summary!$C$4&gt;100,1,0)*E55</f>
        <v>0</v>
      </c>
      <c r="AF55" s="27">
        <f t="shared" si="11"/>
        <v>0</v>
      </c>
      <c r="AG55" s="19">
        <f t="shared" si="12"/>
        <v>0</v>
      </c>
      <c r="AH55" s="19">
        <f t="shared" si="13"/>
        <v>0</v>
      </c>
      <c r="AI55" s="19">
        <f t="shared" si="14"/>
        <v>0</v>
      </c>
      <c r="AJ55" s="27">
        <f t="shared" si="15"/>
        <v>1</v>
      </c>
      <c r="AK55" s="27">
        <f t="shared" si="16"/>
        <v>17</v>
      </c>
      <c r="AL55" s="27">
        <f t="shared" si="17"/>
        <v>51</v>
      </c>
      <c r="AM55">
        <f t="shared" si="18"/>
        <v>0</v>
      </c>
      <c r="AN55">
        <f t="shared" si="19"/>
        <v>0</v>
      </c>
      <c r="AO55">
        <f t="shared" si="20"/>
        <v>0</v>
      </c>
      <c r="AP55">
        <f t="shared" si="21"/>
        <v>0</v>
      </c>
      <c r="AQ55">
        <f t="shared" si="22"/>
        <v>0</v>
      </c>
      <c r="AR55">
        <f t="shared" si="23"/>
        <v>0</v>
      </c>
      <c r="AS55">
        <f t="shared" si="24"/>
        <v>0</v>
      </c>
      <c r="AT55">
        <f t="shared" si="25"/>
        <v>0</v>
      </c>
      <c r="AU55">
        <f t="shared" si="26"/>
        <v>0</v>
      </c>
      <c r="AV55">
        <f t="shared" si="27"/>
        <v>0</v>
      </c>
      <c r="AW55">
        <f t="shared" si="28"/>
        <v>0</v>
      </c>
      <c r="AX55">
        <f t="shared" si="29"/>
        <v>0</v>
      </c>
      <c r="AY55">
        <f t="shared" si="30"/>
        <v>0</v>
      </c>
      <c r="AZ55">
        <f t="shared" si="31"/>
        <v>0</v>
      </c>
      <c r="BA55">
        <f t="shared" si="32"/>
        <v>0</v>
      </c>
      <c r="BB55">
        <f t="shared" si="33"/>
        <v>0</v>
      </c>
      <c r="BC55">
        <f t="shared" si="34"/>
        <v>0</v>
      </c>
      <c r="BD55">
        <f t="shared" si="35"/>
        <v>0</v>
      </c>
      <c r="BE55">
        <f t="shared" si="36"/>
        <v>0</v>
      </c>
      <c r="BF55">
        <f t="shared" si="37"/>
        <v>0</v>
      </c>
      <c r="BG55">
        <f t="shared" si="38"/>
        <v>0</v>
      </c>
      <c r="BH55">
        <f t="shared" si="39"/>
        <v>0</v>
      </c>
      <c r="BI55">
        <f t="shared" si="40"/>
        <v>0</v>
      </c>
      <c r="BJ55">
        <f t="shared" si="41"/>
        <v>0</v>
      </c>
      <c r="BK55">
        <f t="shared" si="42"/>
        <v>0</v>
      </c>
      <c r="BL55">
        <v>0</v>
      </c>
      <c r="BM55" t="str">
        <f t="shared" si="49"/>
        <v>Standard Win</v>
      </c>
      <c r="BN55" s="32" t="str">
        <f t="shared" si="50"/>
        <v>Combo Win</v>
      </c>
      <c r="BO55">
        <f>(D55/Summary!$C$4-Summary!$C$8)^2*E55</f>
        <v>80.051299999999998</v>
      </c>
      <c r="BP55">
        <f t="shared" si="43"/>
        <v>0</v>
      </c>
      <c r="BQ55">
        <f t="shared" si="44"/>
        <v>0</v>
      </c>
      <c r="BR55">
        <f t="shared" si="45"/>
        <v>0</v>
      </c>
      <c r="BS55">
        <f t="shared" si="46"/>
        <v>0</v>
      </c>
    </row>
    <row r="56" spans="2:71">
      <c r="B56" s="16">
        <f>Tiers!B57</f>
        <v>54</v>
      </c>
      <c r="C56" s="17" t="str">
        <f>Tiers!Y57</f>
        <v>main-3|main-15|||||||| x 1</v>
      </c>
      <c r="D56" s="18">
        <f>Tiers!C57</f>
        <v>16</v>
      </c>
      <c r="E56" s="19">
        <f>Frequency!E58</f>
        <v>4</v>
      </c>
      <c r="F56" s="19">
        <f t="shared" si="0"/>
        <v>64</v>
      </c>
      <c r="G56" s="19">
        <f>IF(Tiers!D57&gt;1,'Data Analysis'!E56,0)</f>
        <v>0</v>
      </c>
      <c r="H56" s="19">
        <f t="shared" si="1"/>
        <v>0</v>
      </c>
      <c r="I56" s="19">
        <f>IF(AND(D56/Summary!$C$4&gt;0, D56/Summary!$C$4&lt;5),E56,0) * D56</f>
        <v>0</v>
      </c>
      <c r="J56" s="19">
        <f>IF(AND(D56/Summary!$C$4&gt;= 5, D56/Summary!$C$4&lt;10),E56,0) * D56</f>
        <v>0</v>
      </c>
      <c r="K56" s="19">
        <f>IF(AND(D56/Summary!$C$4&gt;=10, D56/Summary!$C$4&lt;25),E56,0)*D56</f>
        <v>64</v>
      </c>
      <c r="L56" s="19">
        <f>IF(D56/Summary!$C$4&gt;=25,E56,0)*D56</f>
        <v>0</v>
      </c>
      <c r="M56" s="27">
        <f>IF(AND(D56/Summary!$C$4&gt;0, D56/Summary!$C$4&lt;1),E56,0)</f>
        <v>0</v>
      </c>
      <c r="N56" s="27">
        <f t="shared" si="2"/>
        <v>0</v>
      </c>
      <c r="O56" s="27">
        <f>IF(D56/Summary!$C$4=1,1,0)*E56</f>
        <v>0</v>
      </c>
      <c r="P56" s="27">
        <f t="shared" si="3"/>
        <v>0</v>
      </c>
      <c r="Q56" s="27">
        <f>IF(AND(D56/Summary!$C$4&gt;1, D56/Summary!$C$4&lt;=2),1,0)*E56</f>
        <v>0</v>
      </c>
      <c r="R56" s="27">
        <f t="shared" si="4"/>
        <v>0</v>
      </c>
      <c r="S56" s="27">
        <f>IF(AND(D56/Summary!$C$4&gt;2,D56/Summary!$C$4&lt;=5),1,0)*E56</f>
        <v>0</v>
      </c>
      <c r="T56" s="27">
        <f t="shared" si="5"/>
        <v>0</v>
      </c>
      <c r="U56" s="27">
        <f>IF(AND(D56/Summary!$C$4&gt;5, D56/Summary!$C$4&lt;=10),1,0)*E56</f>
        <v>0</v>
      </c>
      <c r="V56" s="27">
        <f t="shared" si="6"/>
        <v>0</v>
      </c>
      <c r="W56" s="27">
        <f>IF(AND(D56/Summary!$C$4&gt;10, D56/Summary!$C$4&lt;=20),1,0)*E56</f>
        <v>4</v>
      </c>
      <c r="X56" s="27">
        <f t="shared" si="7"/>
        <v>64</v>
      </c>
      <c r="Y56" s="27">
        <f>IF(AND(D56/Summary!$C$4&gt;20, D56/Summary!$C$4&lt;=30),1,0)*E56</f>
        <v>0</v>
      </c>
      <c r="Z56" s="27">
        <f t="shared" si="8"/>
        <v>0</v>
      </c>
      <c r="AA56" s="27">
        <f>IF(AND(D56/Summary!$C$4&gt;30, D56/Summary!$C$4&lt;=50),1,0)*E56</f>
        <v>0</v>
      </c>
      <c r="AB56" s="27">
        <f t="shared" si="9"/>
        <v>0</v>
      </c>
      <c r="AC56" s="27">
        <f>IF(AND(D56/Summary!$C$4&gt;50, D56/Summary!$C$4&lt;=100),1,0)*E56</f>
        <v>0</v>
      </c>
      <c r="AD56" s="27">
        <f t="shared" si="10"/>
        <v>0</v>
      </c>
      <c r="AE56" s="27">
        <f>IF(D56/Summary!$C$4&gt;100,1,0)*E56</f>
        <v>0</v>
      </c>
      <c r="AF56" s="27">
        <f t="shared" si="11"/>
        <v>0</v>
      </c>
      <c r="AG56" s="19">
        <f t="shared" si="12"/>
        <v>0</v>
      </c>
      <c r="AH56" s="19">
        <f t="shared" si="13"/>
        <v>0</v>
      </c>
      <c r="AI56" s="19">
        <f t="shared" si="14"/>
        <v>0</v>
      </c>
      <c r="AJ56" s="27">
        <f t="shared" si="15"/>
        <v>1</v>
      </c>
      <c r="AK56" s="27">
        <f t="shared" si="16"/>
        <v>4</v>
      </c>
      <c r="AL56" s="27">
        <f t="shared" si="17"/>
        <v>64</v>
      </c>
      <c r="AM56">
        <f t="shared" si="18"/>
        <v>0</v>
      </c>
      <c r="AN56">
        <f t="shared" si="19"/>
        <v>0</v>
      </c>
      <c r="AO56">
        <f t="shared" si="20"/>
        <v>0</v>
      </c>
      <c r="AP56">
        <f t="shared" si="21"/>
        <v>0</v>
      </c>
      <c r="AQ56">
        <f t="shared" si="22"/>
        <v>0</v>
      </c>
      <c r="AR56">
        <f t="shared" si="23"/>
        <v>0</v>
      </c>
      <c r="AS56">
        <f t="shared" si="24"/>
        <v>0</v>
      </c>
      <c r="AT56">
        <f t="shared" si="25"/>
        <v>0</v>
      </c>
      <c r="AU56">
        <f t="shared" si="26"/>
        <v>0</v>
      </c>
      <c r="AV56">
        <f t="shared" si="27"/>
        <v>0</v>
      </c>
      <c r="AW56">
        <f t="shared" si="28"/>
        <v>0</v>
      </c>
      <c r="AX56">
        <f t="shared" si="29"/>
        <v>0</v>
      </c>
      <c r="AY56">
        <f t="shared" si="30"/>
        <v>0</v>
      </c>
      <c r="AZ56">
        <f t="shared" si="31"/>
        <v>0</v>
      </c>
      <c r="BA56">
        <f t="shared" si="32"/>
        <v>0</v>
      </c>
      <c r="BB56">
        <f t="shared" si="33"/>
        <v>0</v>
      </c>
      <c r="BC56">
        <f t="shared" si="34"/>
        <v>0</v>
      </c>
      <c r="BD56">
        <f t="shared" si="35"/>
        <v>0</v>
      </c>
      <c r="BE56">
        <f t="shared" si="36"/>
        <v>0</v>
      </c>
      <c r="BF56">
        <f t="shared" si="37"/>
        <v>0</v>
      </c>
      <c r="BG56">
        <f t="shared" si="38"/>
        <v>0</v>
      </c>
      <c r="BH56">
        <f t="shared" si="39"/>
        <v>0</v>
      </c>
      <c r="BI56">
        <f t="shared" si="40"/>
        <v>0</v>
      </c>
      <c r="BJ56">
        <f t="shared" si="41"/>
        <v>0</v>
      </c>
      <c r="BK56">
        <f t="shared" si="42"/>
        <v>0</v>
      </c>
      <c r="BL56">
        <v>0</v>
      </c>
      <c r="BM56" t="str">
        <f t="shared" si="49"/>
        <v>Big Win</v>
      </c>
      <c r="BN56" s="32" t="str">
        <f t="shared" si="50"/>
        <v>Combo Win</v>
      </c>
      <c r="BO56">
        <f>(D56/Summary!$C$4-Summary!$C$8)^2*E56</f>
        <v>920.51559999999995</v>
      </c>
      <c r="BP56">
        <f t="shared" si="43"/>
        <v>0</v>
      </c>
      <c r="BQ56">
        <f t="shared" si="44"/>
        <v>0</v>
      </c>
      <c r="BR56">
        <f t="shared" si="45"/>
        <v>0</v>
      </c>
      <c r="BS56">
        <f t="shared" si="46"/>
        <v>0</v>
      </c>
    </row>
    <row r="57" spans="2:71">
      <c r="B57" s="16">
        <f>Tiers!B58</f>
        <v>55</v>
      </c>
      <c r="C57" s="17" t="str">
        <f>Tiers!Y58</f>
        <v>main-5|main-15|||||||| x 1</v>
      </c>
      <c r="D57" s="18">
        <f>Tiers!C58</f>
        <v>17</v>
      </c>
      <c r="E57" s="19">
        <f>Frequency!E59</f>
        <v>1</v>
      </c>
      <c r="F57" s="19">
        <f t="shared" si="0"/>
        <v>17</v>
      </c>
      <c r="G57" s="19">
        <f>IF(Tiers!D58&gt;1,'Data Analysis'!E57,0)</f>
        <v>0</v>
      </c>
      <c r="H57" s="19">
        <f t="shared" si="1"/>
        <v>0</v>
      </c>
      <c r="I57" s="19">
        <f>IF(AND(D57/Summary!$C$4&gt;0, D57/Summary!$C$4&lt;5),E57,0) * D57</f>
        <v>0</v>
      </c>
      <c r="J57" s="19">
        <f>IF(AND(D57/Summary!$C$4&gt;= 5, D57/Summary!$C$4&lt;10),E57,0) * D57</f>
        <v>0</v>
      </c>
      <c r="K57" s="19">
        <f>IF(AND(D57/Summary!$C$4&gt;=10, D57/Summary!$C$4&lt;25),E57,0)*D57</f>
        <v>17</v>
      </c>
      <c r="L57" s="19">
        <f>IF(D57/Summary!$C$4&gt;=25,E57,0)*D57</f>
        <v>0</v>
      </c>
      <c r="M57" s="27">
        <f>IF(AND(D57/Summary!$C$4&gt;0, D57/Summary!$C$4&lt;1),E57,0)</f>
        <v>0</v>
      </c>
      <c r="N57" s="27">
        <f t="shared" si="2"/>
        <v>0</v>
      </c>
      <c r="O57" s="27">
        <f>IF(D57/Summary!$C$4=1,1,0)*E57</f>
        <v>0</v>
      </c>
      <c r="P57" s="27">
        <f t="shared" si="3"/>
        <v>0</v>
      </c>
      <c r="Q57" s="27">
        <f>IF(AND(D57/Summary!$C$4&gt;1, D57/Summary!$C$4&lt;=2),1,0)*E57</f>
        <v>0</v>
      </c>
      <c r="R57" s="27">
        <f t="shared" si="4"/>
        <v>0</v>
      </c>
      <c r="S57" s="27">
        <f>IF(AND(D57/Summary!$C$4&gt;2,D57/Summary!$C$4&lt;=5),1,0)*E57</f>
        <v>0</v>
      </c>
      <c r="T57" s="27">
        <f t="shared" si="5"/>
        <v>0</v>
      </c>
      <c r="U57" s="27">
        <f>IF(AND(D57/Summary!$C$4&gt;5, D57/Summary!$C$4&lt;=10),1,0)*E57</f>
        <v>0</v>
      </c>
      <c r="V57" s="27">
        <f t="shared" si="6"/>
        <v>0</v>
      </c>
      <c r="W57" s="27">
        <f>IF(AND(D57/Summary!$C$4&gt;10, D57/Summary!$C$4&lt;=20),1,0)*E57</f>
        <v>1</v>
      </c>
      <c r="X57" s="27">
        <f t="shared" si="7"/>
        <v>17</v>
      </c>
      <c r="Y57" s="27">
        <f>IF(AND(D57/Summary!$C$4&gt;20, D57/Summary!$C$4&lt;=30),1,0)*E57</f>
        <v>0</v>
      </c>
      <c r="Z57" s="27">
        <f t="shared" si="8"/>
        <v>0</v>
      </c>
      <c r="AA57" s="27">
        <f>IF(AND(D57/Summary!$C$4&gt;30, D57/Summary!$C$4&lt;=50),1,0)*E57</f>
        <v>0</v>
      </c>
      <c r="AB57" s="27">
        <f t="shared" si="9"/>
        <v>0</v>
      </c>
      <c r="AC57" s="27">
        <f>IF(AND(D57/Summary!$C$4&gt;50, D57/Summary!$C$4&lt;=100),1,0)*E57</f>
        <v>0</v>
      </c>
      <c r="AD57" s="27">
        <f t="shared" si="10"/>
        <v>0</v>
      </c>
      <c r="AE57" s="27">
        <f>IF(D57/Summary!$C$4&gt;100,1,0)*E57</f>
        <v>0</v>
      </c>
      <c r="AF57" s="27">
        <f t="shared" si="11"/>
        <v>0</v>
      </c>
      <c r="AG57" s="19">
        <f t="shared" si="12"/>
        <v>0</v>
      </c>
      <c r="AH57" s="19">
        <f t="shared" si="13"/>
        <v>0</v>
      </c>
      <c r="AI57" s="19">
        <f t="shared" si="14"/>
        <v>0</v>
      </c>
      <c r="AJ57" s="27">
        <f t="shared" si="15"/>
        <v>1</v>
      </c>
      <c r="AK57" s="27">
        <f t="shared" si="16"/>
        <v>1</v>
      </c>
      <c r="AL57" s="27">
        <f t="shared" si="17"/>
        <v>17</v>
      </c>
      <c r="AM57">
        <f t="shared" si="18"/>
        <v>0</v>
      </c>
      <c r="AN57">
        <f t="shared" si="19"/>
        <v>0</v>
      </c>
      <c r="AO57">
        <f t="shared" si="20"/>
        <v>0</v>
      </c>
      <c r="AP57">
        <f t="shared" si="21"/>
        <v>0</v>
      </c>
      <c r="AQ57">
        <f t="shared" si="22"/>
        <v>0</v>
      </c>
      <c r="AR57">
        <f t="shared" si="23"/>
        <v>0</v>
      </c>
      <c r="AS57">
        <f t="shared" si="24"/>
        <v>0</v>
      </c>
      <c r="AT57">
        <f t="shared" si="25"/>
        <v>0</v>
      </c>
      <c r="AU57">
        <f t="shared" si="26"/>
        <v>0</v>
      </c>
      <c r="AV57">
        <f t="shared" si="27"/>
        <v>0</v>
      </c>
      <c r="AW57">
        <f t="shared" si="28"/>
        <v>0</v>
      </c>
      <c r="AX57">
        <f t="shared" si="29"/>
        <v>0</v>
      </c>
      <c r="AY57">
        <f t="shared" si="30"/>
        <v>0</v>
      </c>
      <c r="AZ57">
        <f t="shared" si="31"/>
        <v>0</v>
      </c>
      <c r="BA57">
        <f t="shared" si="32"/>
        <v>0</v>
      </c>
      <c r="BB57">
        <f t="shared" si="33"/>
        <v>0</v>
      </c>
      <c r="BC57">
        <f t="shared" si="34"/>
        <v>0</v>
      </c>
      <c r="BD57">
        <f t="shared" si="35"/>
        <v>0</v>
      </c>
      <c r="BE57">
        <f t="shared" si="36"/>
        <v>0</v>
      </c>
      <c r="BF57">
        <f t="shared" si="37"/>
        <v>0</v>
      </c>
      <c r="BG57">
        <f t="shared" si="38"/>
        <v>0</v>
      </c>
      <c r="BH57">
        <f t="shared" si="39"/>
        <v>0</v>
      </c>
      <c r="BI57">
        <f t="shared" si="40"/>
        <v>0</v>
      </c>
      <c r="BJ57">
        <f t="shared" si="41"/>
        <v>0</v>
      </c>
      <c r="BK57">
        <f t="shared" si="42"/>
        <v>0</v>
      </c>
      <c r="BL57">
        <v>0</v>
      </c>
      <c r="BM57" t="str">
        <f t="shared" si="49"/>
        <v>Big Win</v>
      </c>
      <c r="BN57" s="32" t="str">
        <f t="shared" si="50"/>
        <v>Combo Win</v>
      </c>
      <c r="BO57">
        <f>(D57/Summary!$C$4-Summary!$C$8)^2*E57</f>
        <v>261.46890000000008</v>
      </c>
      <c r="BP57">
        <f t="shared" si="43"/>
        <v>0</v>
      </c>
      <c r="BQ57">
        <f t="shared" si="44"/>
        <v>0</v>
      </c>
      <c r="BR57">
        <f t="shared" si="45"/>
        <v>0</v>
      </c>
      <c r="BS57">
        <f t="shared" si="46"/>
        <v>0</v>
      </c>
    </row>
    <row r="58" spans="2:71">
      <c r="B58" s="16">
        <f>Tiers!B59</f>
        <v>56</v>
      </c>
      <c r="C58" s="17" t="str">
        <f>Tiers!Y59</f>
        <v>main-5|main-25|||||||| x 1</v>
      </c>
      <c r="D58" s="18">
        <f>Tiers!C59</f>
        <v>22</v>
      </c>
      <c r="E58" s="19">
        <f>Frequency!E60</f>
        <v>22</v>
      </c>
      <c r="F58" s="19">
        <f t="shared" si="0"/>
        <v>484</v>
      </c>
      <c r="G58" s="19">
        <f>IF(Tiers!D59&gt;1,'Data Analysis'!E58,0)</f>
        <v>0</v>
      </c>
      <c r="H58" s="19">
        <f t="shared" si="1"/>
        <v>0</v>
      </c>
      <c r="I58" s="19">
        <f>IF(AND(D58/Summary!$C$4&gt;0, D58/Summary!$C$4&lt;5),E58,0) * D58</f>
        <v>0</v>
      </c>
      <c r="J58" s="19">
        <f>IF(AND(D58/Summary!$C$4&gt;= 5, D58/Summary!$C$4&lt;10),E58,0) * D58</f>
        <v>0</v>
      </c>
      <c r="K58" s="19">
        <f>IF(AND(D58/Summary!$C$4&gt;=10, D58/Summary!$C$4&lt;25),E58,0)*D58</f>
        <v>484</v>
      </c>
      <c r="L58" s="19">
        <f>IF(D58/Summary!$C$4&gt;=25,E58,0)*D58</f>
        <v>0</v>
      </c>
      <c r="M58" s="27">
        <f>IF(AND(D58/Summary!$C$4&gt;0, D58/Summary!$C$4&lt;1),E58,0)</f>
        <v>0</v>
      </c>
      <c r="N58" s="27">
        <f t="shared" si="2"/>
        <v>0</v>
      </c>
      <c r="O58" s="27">
        <f>IF(D58/Summary!$C$4=1,1,0)*E58</f>
        <v>0</v>
      </c>
      <c r="P58" s="27">
        <f t="shared" si="3"/>
        <v>0</v>
      </c>
      <c r="Q58" s="27">
        <f>IF(AND(D58/Summary!$C$4&gt;1, D58/Summary!$C$4&lt;=2),1,0)*E58</f>
        <v>0</v>
      </c>
      <c r="R58" s="27">
        <f t="shared" si="4"/>
        <v>0</v>
      </c>
      <c r="S58" s="27">
        <f>IF(AND(D58/Summary!$C$4&gt;2,D58/Summary!$C$4&lt;=5),1,0)*E58</f>
        <v>0</v>
      </c>
      <c r="T58" s="27">
        <f t="shared" si="5"/>
        <v>0</v>
      </c>
      <c r="U58" s="27">
        <f>IF(AND(D58/Summary!$C$4&gt;5, D58/Summary!$C$4&lt;=10),1,0)*E58</f>
        <v>0</v>
      </c>
      <c r="V58" s="27">
        <f t="shared" si="6"/>
        <v>0</v>
      </c>
      <c r="W58" s="27">
        <f>IF(AND(D58/Summary!$C$4&gt;10, D58/Summary!$C$4&lt;=20),1,0)*E58</f>
        <v>0</v>
      </c>
      <c r="X58" s="27">
        <f t="shared" si="7"/>
        <v>0</v>
      </c>
      <c r="Y58" s="27">
        <f>IF(AND(D58/Summary!$C$4&gt;20, D58/Summary!$C$4&lt;=30),1,0)*E58</f>
        <v>22</v>
      </c>
      <c r="Z58" s="27">
        <f t="shared" si="8"/>
        <v>484</v>
      </c>
      <c r="AA58" s="27">
        <f>IF(AND(D58/Summary!$C$4&gt;30, D58/Summary!$C$4&lt;=50),1,0)*E58</f>
        <v>0</v>
      </c>
      <c r="AB58" s="27">
        <f t="shared" si="9"/>
        <v>0</v>
      </c>
      <c r="AC58" s="27">
        <f>IF(AND(D58/Summary!$C$4&gt;50, D58/Summary!$C$4&lt;=100),1,0)*E58</f>
        <v>0</v>
      </c>
      <c r="AD58" s="27">
        <f t="shared" si="10"/>
        <v>0</v>
      </c>
      <c r="AE58" s="27">
        <f>IF(D58/Summary!$C$4&gt;100,1,0)*E58</f>
        <v>0</v>
      </c>
      <c r="AF58" s="27">
        <f t="shared" si="11"/>
        <v>0</v>
      </c>
      <c r="AG58" s="19">
        <f t="shared" si="12"/>
        <v>0</v>
      </c>
      <c r="AH58" s="19">
        <f t="shared" si="13"/>
        <v>0</v>
      </c>
      <c r="AI58" s="19">
        <f t="shared" si="14"/>
        <v>0</v>
      </c>
      <c r="AJ58" s="27">
        <f t="shared" si="15"/>
        <v>1</v>
      </c>
      <c r="AK58" s="27">
        <f t="shared" si="16"/>
        <v>22</v>
      </c>
      <c r="AL58" s="27">
        <f t="shared" si="17"/>
        <v>484</v>
      </c>
      <c r="AM58">
        <f t="shared" si="18"/>
        <v>0</v>
      </c>
      <c r="AN58">
        <f t="shared" si="19"/>
        <v>0</v>
      </c>
      <c r="AO58">
        <f t="shared" si="20"/>
        <v>0</v>
      </c>
      <c r="AP58">
        <f t="shared" si="21"/>
        <v>0</v>
      </c>
      <c r="AQ58">
        <f t="shared" si="22"/>
        <v>0</v>
      </c>
      <c r="AR58">
        <f t="shared" si="23"/>
        <v>0</v>
      </c>
      <c r="AS58">
        <f t="shared" si="24"/>
        <v>0</v>
      </c>
      <c r="AT58">
        <f t="shared" si="25"/>
        <v>0</v>
      </c>
      <c r="AU58">
        <f t="shared" si="26"/>
        <v>0</v>
      </c>
      <c r="AV58">
        <f t="shared" si="27"/>
        <v>0</v>
      </c>
      <c r="AW58">
        <f t="shared" si="28"/>
        <v>0</v>
      </c>
      <c r="AX58">
        <f t="shared" si="29"/>
        <v>0</v>
      </c>
      <c r="AY58">
        <f t="shared" si="30"/>
        <v>0</v>
      </c>
      <c r="AZ58">
        <f t="shared" si="31"/>
        <v>0</v>
      </c>
      <c r="BA58">
        <f t="shared" si="32"/>
        <v>0</v>
      </c>
      <c r="BB58">
        <f t="shared" si="33"/>
        <v>0</v>
      </c>
      <c r="BC58">
        <f t="shared" si="34"/>
        <v>0</v>
      </c>
      <c r="BD58">
        <f t="shared" si="35"/>
        <v>0</v>
      </c>
      <c r="BE58">
        <f t="shared" si="36"/>
        <v>0</v>
      </c>
      <c r="BF58">
        <f t="shared" si="37"/>
        <v>0</v>
      </c>
      <c r="BG58">
        <f t="shared" si="38"/>
        <v>0</v>
      </c>
      <c r="BH58">
        <f t="shared" si="39"/>
        <v>0</v>
      </c>
      <c r="BI58">
        <f t="shared" si="40"/>
        <v>0</v>
      </c>
      <c r="BJ58">
        <f t="shared" si="41"/>
        <v>0</v>
      </c>
      <c r="BK58">
        <f t="shared" si="42"/>
        <v>0</v>
      </c>
      <c r="BL58">
        <v>0</v>
      </c>
      <c r="BM58" t="str">
        <f t="shared" si="49"/>
        <v>Big Win</v>
      </c>
      <c r="BN58" s="32" t="str">
        <f t="shared" si="50"/>
        <v>Combo Win</v>
      </c>
      <c r="BO58">
        <f>(D58/Summary!$C$4-Summary!$C$8)^2*E58</f>
        <v>9859.7158000000018</v>
      </c>
      <c r="BP58">
        <f t="shared" si="43"/>
        <v>0</v>
      </c>
      <c r="BQ58">
        <f t="shared" si="44"/>
        <v>0</v>
      </c>
      <c r="BR58">
        <f t="shared" si="45"/>
        <v>0</v>
      </c>
      <c r="BS58">
        <f t="shared" si="46"/>
        <v>0</v>
      </c>
    </row>
    <row r="59" spans="2:71">
      <c r="B59" s="16">
        <f>Tiers!B60</f>
        <v>57</v>
      </c>
      <c r="C59" s="17" t="str">
        <f>Tiers!Y60</f>
        <v>main-5|main-26|||||||| x 1</v>
      </c>
      <c r="D59" s="18">
        <f>Tiers!C60</f>
        <v>52</v>
      </c>
      <c r="E59" s="19">
        <f>Frequency!E61</f>
        <v>2</v>
      </c>
      <c r="F59" s="19">
        <f t="shared" si="0"/>
        <v>104</v>
      </c>
      <c r="G59" s="19">
        <f>IF(Tiers!D60&gt;1,'Data Analysis'!E59,0)</f>
        <v>0</v>
      </c>
      <c r="H59" s="19">
        <f t="shared" si="1"/>
        <v>0</v>
      </c>
      <c r="I59" s="19">
        <f>IF(AND(D59/Summary!$C$4&gt;0, D59/Summary!$C$4&lt;5),E59,0) * D59</f>
        <v>0</v>
      </c>
      <c r="J59" s="19">
        <f>IF(AND(D59/Summary!$C$4&gt;= 5, D59/Summary!$C$4&lt;10),E59,0) * D59</f>
        <v>0</v>
      </c>
      <c r="K59" s="19">
        <f>IF(AND(D59/Summary!$C$4&gt;=10, D59/Summary!$C$4&lt;25),E59,0)*D59</f>
        <v>0</v>
      </c>
      <c r="L59" s="19">
        <f>IF(D59/Summary!$C$4&gt;=25,E59,0)*D59</f>
        <v>104</v>
      </c>
      <c r="M59" s="27">
        <f>IF(AND(D59/Summary!$C$4&gt;0, D59/Summary!$C$4&lt;1),E59,0)</f>
        <v>0</v>
      </c>
      <c r="N59" s="27">
        <f t="shared" si="2"/>
        <v>0</v>
      </c>
      <c r="O59" s="27">
        <f>IF(D59/Summary!$C$4=1,1,0)*E59</f>
        <v>0</v>
      </c>
      <c r="P59" s="27">
        <f t="shared" si="3"/>
        <v>0</v>
      </c>
      <c r="Q59" s="27">
        <f>IF(AND(D59/Summary!$C$4&gt;1, D59/Summary!$C$4&lt;=2),1,0)*E59</f>
        <v>0</v>
      </c>
      <c r="R59" s="27">
        <f t="shared" si="4"/>
        <v>0</v>
      </c>
      <c r="S59" s="27">
        <f>IF(AND(D59/Summary!$C$4&gt;2,D59/Summary!$C$4&lt;=5),1,0)*E59</f>
        <v>0</v>
      </c>
      <c r="T59" s="27">
        <f t="shared" si="5"/>
        <v>0</v>
      </c>
      <c r="U59" s="27">
        <f>IF(AND(D59/Summary!$C$4&gt;5, D59/Summary!$C$4&lt;=10),1,0)*E59</f>
        <v>0</v>
      </c>
      <c r="V59" s="27">
        <f t="shared" si="6"/>
        <v>0</v>
      </c>
      <c r="W59" s="27">
        <f>IF(AND(D59/Summary!$C$4&gt;10, D59/Summary!$C$4&lt;=20),1,0)*E59</f>
        <v>0</v>
      </c>
      <c r="X59" s="27">
        <f t="shared" si="7"/>
        <v>0</v>
      </c>
      <c r="Y59" s="27">
        <f>IF(AND(D59/Summary!$C$4&gt;20, D59/Summary!$C$4&lt;=30),1,0)*E59</f>
        <v>0</v>
      </c>
      <c r="Z59" s="27">
        <f t="shared" si="8"/>
        <v>0</v>
      </c>
      <c r="AA59" s="27">
        <f>IF(AND(D59/Summary!$C$4&gt;30, D59/Summary!$C$4&lt;=50),1,0)*E59</f>
        <v>0</v>
      </c>
      <c r="AB59" s="27">
        <f t="shared" si="9"/>
        <v>0</v>
      </c>
      <c r="AC59" s="27">
        <f>IF(AND(D59/Summary!$C$4&gt;50, D59/Summary!$C$4&lt;=100),1,0)*E59</f>
        <v>2</v>
      </c>
      <c r="AD59" s="27">
        <f t="shared" si="10"/>
        <v>104</v>
      </c>
      <c r="AE59" s="27">
        <f>IF(D59/Summary!$C$4&gt;100,1,0)*E59</f>
        <v>0</v>
      </c>
      <c r="AF59" s="27">
        <f t="shared" si="11"/>
        <v>0</v>
      </c>
      <c r="AG59" s="19">
        <f t="shared" si="12"/>
        <v>0</v>
      </c>
      <c r="AH59" s="19">
        <f t="shared" si="13"/>
        <v>0</v>
      </c>
      <c r="AI59" s="19">
        <f t="shared" si="14"/>
        <v>0</v>
      </c>
      <c r="AJ59" s="27">
        <f t="shared" si="15"/>
        <v>1</v>
      </c>
      <c r="AK59" s="27">
        <f t="shared" si="16"/>
        <v>2</v>
      </c>
      <c r="AL59" s="27">
        <f t="shared" si="17"/>
        <v>104</v>
      </c>
      <c r="AM59">
        <f t="shared" si="18"/>
        <v>0</v>
      </c>
      <c r="AN59">
        <f t="shared" si="19"/>
        <v>0</v>
      </c>
      <c r="AO59">
        <f t="shared" si="20"/>
        <v>0</v>
      </c>
      <c r="AP59">
        <f t="shared" si="21"/>
        <v>0</v>
      </c>
      <c r="AQ59">
        <f t="shared" si="22"/>
        <v>0</v>
      </c>
      <c r="AR59">
        <f t="shared" si="23"/>
        <v>0</v>
      </c>
      <c r="AS59">
        <f t="shared" si="24"/>
        <v>0</v>
      </c>
      <c r="AT59">
        <f t="shared" si="25"/>
        <v>0</v>
      </c>
      <c r="AU59">
        <f t="shared" si="26"/>
        <v>0</v>
      </c>
      <c r="AV59">
        <f t="shared" si="27"/>
        <v>0</v>
      </c>
      <c r="AW59">
        <f t="shared" si="28"/>
        <v>0</v>
      </c>
      <c r="AX59">
        <f t="shared" si="29"/>
        <v>0</v>
      </c>
      <c r="AY59">
        <f t="shared" si="30"/>
        <v>0</v>
      </c>
      <c r="AZ59">
        <f t="shared" si="31"/>
        <v>0</v>
      </c>
      <c r="BA59">
        <f t="shared" si="32"/>
        <v>0</v>
      </c>
      <c r="BB59">
        <f t="shared" si="33"/>
        <v>0</v>
      </c>
      <c r="BC59">
        <f t="shared" si="34"/>
        <v>0</v>
      </c>
      <c r="BD59">
        <f t="shared" si="35"/>
        <v>0</v>
      </c>
      <c r="BE59">
        <f t="shared" si="36"/>
        <v>0</v>
      </c>
      <c r="BF59">
        <f t="shared" si="37"/>
        <v>0</v>
      </c>
      <c r="BG59">
        <f t="shared" si="38"/>
        <v>0</v>
      </c>
      <c r="BH59">
        <f t="shared" si="39"/>
        <v>0</v>
      </c>
      <c r="BI59">
        <f t="shared" si="40"/>
        <v>0</v>
      </c>
      <c r="BJ59">
        <f t="shared" si="41"/>
        <v>0</v>
      </c>
      <c r="BK59">
        <f t="shared" si="42"/>
        <v>0</v>
      </c>
      <c r="BL59">
        <v>0</v>
      </c>
      <c r="BM59" t="str">
        <f t="shared" si="49"/>
        <v>Huge Win</v>
      </c>
      <c r="BN59" s="32" t="str">
        <f t="shared" si="50"/>
        <v>Combo Win</v>
      </c>
      <c r="BO59">
        <f>(D59/Summary!$C$4-Summary!$C$8)^2*E59</f>
        <v>5236.7378000000008</v>
      </c>
      <c r="BP59">
        <f t="shared" si="43"/>
        <v>0</v>
      </c>
      <c r="BQ59">
        <f t="shared" si="44"/>
        <v>0</v>
      </c>
      <c r="BR59">
        <f t="shared" si="45"/>
        <v>0</v>
      </c>
      <c r="BS59">
        <f t="shared" si="46"/>
        <v>0</v>
      </c>
    </row>
    <row r="60" spans="2:71">
      <c r="B60" s="16">
        <f>Tiers!B61</f>
        <v>58</v>
      </c>
      <c r="C60" s="17" t="str">
        <f>Tiers!Y61</f>
        <v>main-14|main-2|||||||| x 1</v>
      </c>
      <c r="D60" s="18">
        <f>Tiers!C61</f>
        <v>10.5</v>
      </c>
      <c r="E60" s="19">
        <f>Frequency!E62</f>
        <v>46</v>
      </c>
      <c r="F60" s="19">
        <f t="shared" si="0"/>
        <v>483</v>
      </c>
      <c r="G60" s="19">
        <f>IF(Tiers!D61&gt;1,'Data Analysis'!E60,0)</f>
        <v>0</v>
      </c>
      <c r="H60" s="19">
        <f t="shared" si="1"/>
        <v>0</v>
      </c>
      <c r="I60" s="19">
        <f>IF(AND(D60/Summary!$C$4&gt;0, D60/Summary!$C$4&lt;5),E60,0) * D60</f>
        <v>0</v>
      </c>
      <c r="J60" s="19">
        <f>IF(AND(D60/Summary!$C$4&gt;= 5, D60/Summary!$C$4&lt;10),E60,0) * D60</f>
        <v>0</v>
      </c>
      <c r="K60" s="19">
        <f>IF(AND(D60/Summary!$C$4&gt;=10, D60/Summary!$C$4&lt;25),E60,0)*D60</f>
        <v>483</v>
      </c>
      <c r="L60" s="19">
        <f>IF(D60/Summary!$C$4&gt;=25,E60,0)*D60</f>
        <v>0</v>
      </c>
      <c r="M60" s="27">
        <f>IF(AND(D60/Summary!$C$4&gt;0, D60/Summary!$C$4&lt;1),E60,0)</f>
        <v>0</v>
      </c>
      <c r="N60" s="27">
        <f t="shared" si="2"/>
        <v>0</v>
      </c>
      <c r="O60" s="27">
        <f>IF(D60/Summary!$C$4=1,1,0)*E60</f>
        <v>0</v>
      </c>
      <c r="P60" s="27">
        <f t="shared" si="3"/>
        <v>0</v>
      </c>
      <c r="Q60" s="27">
        <f>IF(AND(D60/Summary!$C$4&gt;1, D60/Summary!$C$4&lt;=2),1,0)*E60</f>
        <v>0</v>
      </c>
      <c r="R60" s="27">
        <f t="shared" si="4"/>
        <v>0</v>
      </c>
      <c r="S60" s="27">
        <f>IF(AND(D60/Summary!$C$4&gt;2,D60/Summary!$C$4&lt;=5),1,0)*E60</f>
        <v>0</v>
      </c>
      <c r="T60" s="27">
        <f t="shared" si="5"/>
        <v>0</v>
      </c>
      <c r="U60" s="27">
        <f>IF(AND(D60/Summary!$C$4&gt;5, D60/Summary!$C$4&lt;=10),1,0)*E60</f>
        <v>0</v>
      </c>
      <c r="V60" s="27">
        <f t="shared" si="6"/>
        <v>0</v>
      </c>
      <c r="W60" s="27">
        <f>IF(AND(D60/Summary!$C$4&gt;10, D60/Summary!$C$4&lt;=20),1,0)*E60</f>
        <v>46</v>
      </c>
      <c r="X60" s="27">
        <f t="shared" si="7"/>
        <v>483</v>
      </c>
      <c r="Y60" s="27">
        <f>IF(AND(D60/Summary!$C$4&gt;20, D60/Summary!$C$4&lt;=30),1,0)*E60</f>
        <v>0</v>
      </c>
      <c r="Z60" s="27">
        <f t="shared" si="8"/>
        <v>0</v>
      </c>
      <c r="AA60" s="27">
        <f>IF(AND(D60/Summary!$C$4&gt;30, D60/Summary!$C$4&lt;=50),1,0)*E60</f>
        <v>0</v>
      </c>
      <c r="AB60" s="27">
        <f t="shared" si="9"/>
        <v>0</v>
      </c>
      <c r="AC60" s="27">
        <f>IF(AND(D60/Summary!$C$4&gt;50, D60/Summary!$C$4&lt;=100),1,0)*E60</f>
        <v>0</v>
      </c>
      <c r="AD60" s="27">
        <f t="shared" si="10"/>
        <v>0</v>
      </c>
      <c r="AE60" s="27">
        <f>IF(D60/Summary!$C$4&gt;100,1,0)*E60</f>
        <v>0</v>
      </c>
      <c r="AF60" s="27">
        <f t="shared" si="11"/>
        <v>0</v>
      </c>
      <c r="AG60" s="19">
        <f t="shared" si="12"/>
        <v>0</v>
      </c>
      <c r="AH60" s="19">
        <f t="shared" si="13"/>
        <v>0</v>
      </c>
      <c r="AI60" s="19">
        <f t="shared" si="14"/>
        <v>0</v>
      </c>
      <c r="AJ60" s="27">
        <f t="shared" si="15"/>
        <v>1</v>
      </c>
      <c r="AK60" s="27">
        <f t="shared" si="16"/>
        <v>46</v>
      </c>
      <c r="AL60" s="27">
        <f t="shared" si="17"/>
        <v>483</v>
      </c>
      <c r="AM60">
        <f t="shared" si="18"/>
        <v>0</v>
      </c>
      <c r="AN60">
        <f t="shared" si="19"/>
        <v>0</v>
      </c>
      <c r="AO60">
        <f t="shared" si="20"/>
        <v>0</v>
      </c>
      <c r="AP60">
        <f t="shared" si="21"/>
        <v>0</v>
      </c>
      <c r="AQ60">
        <f t="shared" si="22"/>
        <v>0</v>
      </c>
      <c r="AR60">
        <f t="shared" si="23"/>
        <v>0</v>
      </c>
      <c r="AS60">
        <f t="shared" si="24"/>
        <v>0</v>
      </c>
      <c r="AT60">
        <f t="shared" si="25"/>
        <v>0</v>
      </c>
      <c r="AU60">
        <f t="shared" si="26"/>
        <v>0</v>
      </c>
      <c r="AV60">
        <f t="shared" si="27"/>
        <v>0</v>
      </c>
      <c r="AW60">
        <f t="shared" si="28"/>
        <v>0</v>
      </c>
      <c r="AX60">
        <f t="shared" si="29"/>
        <v>0</v>
      </c>
      <c r="AY60">
        <f t="shared" si="30"/>
        <v>0</v>
      </c>
      <c r="AZ60">
        <f t="shared" si="31"/>
        <v>0</v>
      </c>
      <c r="BA60">
        <f t="shared" si="32"/>
        <v>0</v>
      </c>
      <c r="BB60">
        <f t="shared" si="33"/>
        <v>0</v>
      </c>
      <c r="BC60">
        <f t="shared" si="34"/>
        <v>0</v>
      </c>
      <c r="BD60">
        <f t="shared" si="35"/>
        <v>0</v>
      </c>
      <c r="BE60">
        <f t="shared" si="36"/>
        <v>0</v>
      </c>
      <c r="BF60">
        <f t="shared" si="37"/>
        <v>0</v>
      </c>
      <c r="BG60">
        <f t="shared" si="38"/>
        <v>0</v>
      </c>
      <c r="BH60">
        <f t="shared" si="39"/>
        <v>0</v>
      </c>
      <c r="BI60">
        <f t="shared" si="40"/>
        <v>0</v>
      </c>
      <c r="BJ60">
        <f t="shared" si="41"/>
        <v>0</v>
      </c>
      <c r="BK60">
        <f t="shared" si="42"/>
        <v>0</v>
      </c>
      <c r="BL60">
        <v>0</v>
      </c>
      <c r="BM60" t="str">
        <f t="shared" si="49"/>
        <v>Big Win</v>
      </c>
      <c r="BN60" s="32" t="str">
        <f t="shared" si="50"/>
        <v>Combo Win</v>
      </c>
      <c r="BO60">
        <f>(D60/Summary!$C$4-Summary!$C$8)^2*E60</f>
        <v>4301.4093999999996</v>
      </c>
      <c r="BP60">
        <f t="shared" si="43"/>
        <v>0</v>
      </c>
      <c r="BQ60">
        <f t="shared" si="44"/>
        <v>0</v>
      </c>
      <c r="BR60">
        <f t="shared" si="45"/>
        <v>0</v>
      </c>
      <c r="BS60">
        <f t="shared" si="46"/>
        <v>0</v>
      </c>
    </row>
    <row r="61" spans="2:71">
      <c r="B61" s="16">
        <f>Tiers!B62</f>
        <v>59</v>
      </c>
      <c r="C61" s="17" t="str">
        <f>Tiers!Y62</f>
        <v>main-3|main-20|main-4||||||| x 1</v>
      </c>
      <c r="D61" s="18">
        <f>Tiers!C62</f>
        <v>4</v>
      </c>
      <c r="E61" s="19">
        <f>Frequency!E63</f>
        <v>12</v>
      </c>
      <c r="F61" s="19">
        <f t="shared" si="0"/>
        <v>48</v>
      </c>
      <c r="G61" s="19">
        <f>IF(Tiers!D62&gt;1,'Data Analysis'!E61,0)</f>
        <v>0</v>
      </c>
      <c r="H61" s="19">
        <f t="shared" si="1"/>
        <v>0</v>
      </c>
      <c r="I61" s="19">
        <f>IF(AND(D61/Summary!$C$4&gt;0, D61/Summary!$C$4&lt;5),E61,0) * D61</f>
        <v>48</v>
      </c>
      <c r="J61" s="19">
        <f>IF(AND(D61/Summary!$C$4&gt;= 5, D61/Summary!$C$4&lt;10),E61,0) * D61</f>
        <v>0</v>
      </c>
      <c r="K61" s="19">
        <f>IF(AND(D61/Summary!$C$4&gt;=10, D61/Summary!$C$4&lt;25),E61,0)*D61</f>
        <v>0</v>
      </c>
      <c r="L61" s="19">
        <f>IF(D61/Summary!$C$4&gt;=25,E61,0)*D61</f>
        <v>0</v>
      </c>
      <c r="M61" s="27">
        <f>IF(AND(D61/Summary!$C$4&gt;0, D61/Summary!$C$4&lt;1),E61,0)</f>
        <v>0</v>
      </c>
      <c r="N61" s="27">
        <f t="shared" si="2"/>
        <v>0</v>
      </c>
      <c r="O61" s="27">
        <f>IF(D61/Summary!$C$4=1,1,0)*E61</f>
        <v>0</v>
      </c>
      <c r="P61" s="27">
        <f t="shared" si="3"/>
        <v>0</v>
      </c>
      <c r="Q61" s="27">
        <f>IF(AND(D61/Summary!$C$4&gt;1, D61/Summary!$C$4&lt;=2),1,0)*E61</f>
        <v>0</v>
      </c>
      <c r="R61" s="27">
        <f t="shared" si="4"/>
        <v>0</v>
      </c>
      <c r="S61" s="27">
        <f>IF(AND(D61/Summary!$C$4&gt;2,D61/Summary!$C$4&lt;=5),1,0)*E61</f>
        <v>12</v>
      </c>
      <c r="T61" s="27">
        <f t="shared" si="5"/>
        <v>48</v>
      </c>
      <c r="U61" s="27">
        <f>IF(AND(D61/Summary!$C$4&gt;5, D61/Summary!$C$4&lt;=10),1,0)*E61</f>
        <v>0</v>
      </c>
      <c r="V61" s="27">
        <f t="shared" si="6"/>
        <v>0</v>
      </c>
      <c r="W61" s="27">
        <f>IF(AND(D61/Summary!$C$4&gt;10, D61/Summary!$C$4&lt;=20),1,0)*E61</f>
        <v>0</v>
      </c>
      <c r="X61" s="27">
        <f t="shared" si="7"/>
        <v>0</v>
      </c>
      <c r="Y61" s="27">
        <f>IF(AND(D61/Summary!$C$4&gt;20, D61/Summary!$C$4&lt;=30),1,0)*E61</f>
        <v>0</v>
      </c>
      <c r="Z61" s="27">
        <f t="shared" si="8"/>
        <v>0</v>
      </c>
      <c r="AA61" s="27">
        <f>IF(AND(D61/Summary!$C$4&gt;30, D61/Summary!$C$4&lt;=50),1,0)*E61</f>
        <v>0</v>
      </c>
      <c r="AB61" s="27">
        <f t="shared" si="9"/>
        <v>0</v>
      </c>
      <c r="AC61" s="27">
        <f>IF(AND(D61/Summary!$C$4&gt;50, D61/Summary!$C$4&lt;=100),1,0)*E61</f>
        <v>0</v>
      </c>
      <c r="AD61" s="27">
        <f t="shared" si="10"/>
        <v>0</v>
      </c>
      <c r="AE61" s="27">
        <f>IF(D61/Summary!$C$4&gt;100,1,0)*E61</f>
        <v>0</v>
      </c>
      <c r="AF61" s="27">
        <f t="shared" si="11"/>
        <v>0</v>
      </c>
      <c r="AG61" s="19">
        <f t="shared" si="12"/>
        <v>0</v>
      </c>
      <c r="AH61" s="19">
        <f t="shared" si="13"/>
        <v>0</v>
      </c>
      <c r="AI61" s="19">
        <f t="shared" si="14"/>
        <v>0</v>
      </c>
      <c r="AJ61" s="27">
        <f t="shared" si="15"/>
        <v>1</v>
      </c>
      <c r="AK61" s="27">
        <f t="shared" si="16"/>
        <v>12</v>
      </c>
      <c r="AL61" s="27">
        <f t="shared" si="17"/>
        <v>48</v>
      </c>
      <c r="AM61">
        <f t="shared" si="18"/>
        <v>0</v>
      </c>
      <c r="AN61">
        <f t="shared" si="19"/>
        <v>0</v>
      </c>
      <c r="AO61">
        <f t="shared" si="20"/>
        <v>0</v>
      </c>
      <c r="AP61">
        <f t="shared" si="21"/>
        <v>0</v>
      </c>
      <c r="AQ61">
        <f t="shared" si="22"/>
        <v>0</v>
      </c>
      <c r="AR61">
        <f t="shared" si="23"/>
        <v>0</v>
      </c>
      <c r="AS61">
        <f t="shared" si="24"/>
        <v>0</v>
      </c>
      <c r="AT61">
        <f t="shared" si="25"/>
        <v>0</v>
      </c>
      <c r="AU61">
        <f t="shared" si="26"/>
        <v>0</v>
      </c>
      <c r="AV61">
        <f t="shared" si="27"/>
        <v>0</v>
      </c>
      <c r="AW61">
        <f t="shared" si="28"/>
        <v>0</v>
      </c>
      <c r="AX61">
        <f t="shared" si="29"/>
        <v>0</v>
      </c>
      <c r="AY61">
        <f t="shared" si="30"/>
        <v>0</v>
      </c>
      <c r="AZ61">
        <f t="shared" si="31"/>
        <v>0</v>
      </c>
      <c r="BA61">
        <f t="shared" si="32"/>
        <v>0</v>
      </c>
      <c r="BB61">
        <f t="shared" si="33"/>
        <v>0</v>
      </c>
      <c r="BC61">
        <f t="shared" si="34"/>
        <v>0</v>
      </c>
      <c r="BD61">
        <f t="shared" si="35"/>
        <v>0</v>
      </c>
      <c r="BE61">
        <f t="shared" si="36"/>
        <v>0</v>
      </c>
      <c r="BF61">
        <f t="shared" si="37"/>
        <v>0</v>
      </c>
      <c r="BG61">
        <f t="shared" si="38"/>
        <v>0</v>
      </c>
      <c r="BH61">
        <f t="shared" si="39"/>
        <v>0</v>
      </c>
      <c r="BI61">
        <f t="shared" si="40"/>
        <v>0</v>
      </c>
      <c r="BJ61">
        <f t="shared" si="41"/>
        <v>0</v>
      </c>
      <c r="BK61">
        <f t="shared" si="42"/>
        <v>0</v>
      </c>
      <c r="BL61">
        <v>0</v>
      </c>
      <c r="BM61" t="str">
        <f t="shared" si="49"/>
        <v>Standard Win</v>
      </c>
      <c r="BN61" s="32" t="str">
        <f t="shared" si="50"/>
        <v>Combo Win</v>
      </c>
      <c r="BO61">
        <f>(D61/Summary!$C$4-Summary!$C$8)^2*E61</f>
        <v>120.5868</v>
      </c>
      <c r="BP61">
        <f t="shared" si="43"/>
        <v>0</v>
      </c>
      <c r="BQ61">
        <f t="shared" si="44"/>
        <v>0</v>
      </c>
      <c r="BR61">
        <f t="shared" si="45"/>
        <v>0</v>
      </c>
      <c r="BS61">
        <f t="shared" si="46"/>
        <v>0</v>
      </c>
    </row>
    <row r="62" spans="2:71">
      <c r="B62" s="16">
        <f>Tiers!B63</f>
        <v>60</v>
      </c>
      <c r="C62" s="17" t="str">
        <f>Tiers!Y63</f>
        <v>main-4|main-5|main-13||||||| x 1</v>
      </c>
      <c r="D62" s="18">
        <f>Tiers!C63</f>
        <v>8.5</v>
      </c>
      <c r="E62" s="19">
        <f>Frequency!E64</f>
        <v>6</v>
      </c>
      <c r="F62" s="19">
        <f t="shared" si="0"/>
        <v>51</v>
      </c>
      <c r="G62" s="19">
        <f>IF(Tiers!D63&gt;1,'Data Analysis'!E62,0)</f>
        <v>0</v>
      </c>
      <c r="H62" s="19">
        <f t="shared" si="1"/>
        <v>0</v>
      </c>
      <c r="I62" s="19">
        <f>IF(AND(D62/Summary!$C$4&gt;0, D62/Summary!$C$4&lt;5),E62,0) * D62</f>
        <v>0</v>
      </c>
      <c r="J62" s="19">
        <f>IF(AND(D62/Summary!$C$4&gt;= 5, D62/Summary!$C$4&lt;10),E62,0) * D62</f>
        <v>51</v>
      </c>
      <c r="K62" s="19">
        <f>IF(AND(D62/Summary!$C$4&gt;=10, D62/Summary!$C$4&lt;25),E62,0)*D62</f>
        <v>0</v>
      </c>
      <c r="L62" s="19">
        <f>IF(D62/Summary!$C$4&gt;=25,E62,0)*D62</f>
        <v>0</v>
      </c>
      <c r="M62" s="27">
        <f>IF(AND(D62/Summary!$C$4&gt;0, D62/Summary!$C$4&lt;1),E62,0)</f>
        <v>0</v>
      </c>
      <c r="N62" s="27">
        <f t="shared" si="2"/>
        <v>0</v>
      </c>
      <c r="O62" s="27">
        <f>IF(D62/Summary!$C$4=1,1,0)*E62</f>
        <v>0</v>
      </c>
      <c r="P62" s="27">
        <f t="shared" si="3"/>
        <v>0</v>
      </c>
      <c r="Q62" s="27">
        <f>IF(AND(D62/Summary!$C$4&gt;1, D62/Summary!$C$4&lt;=2),1,0)*E62</f>
        <v>0</v>
      </c>
      <c r="R62" s="27">
        <f t="shared" si="4"/>
        <v>0</v>
      </c>
      <c r="S62" s="27">
        <f>IF(AND(D62/Summary!$C$4&gt;2,D62/Summary!$C$4&lt;=5),1,0)*E62</f>
        <v>0</v>
      </c>
      <c r="T62" s="27">
        <f t="shared" si="5"/>
        <v>0</v>
      </c>
      <c r="U62" s="27">
        <f>IF(AND(D62/Summary!$C$4&gt;5, D62/Summary!$C$4&lt;=10),1,0)*E62</f>
        <v>6</v>
      </c>
      <c r="V62" s="27">
        <f t="shared" si="6"/>
        <v>51</v>
      </c>
      <c r="W62" s="27">
        <f>IF(AND(D62/Summary!$C$4&gt;10, D62/Summary!$C$4&lt;=20),1,0)*E62</f>
        <v>0</v>
      </c>
      <c r="X62" s="27">
        <f t="shared" si="7"/>
        <v>0</v>
      </c>
      <c r="Y62" s="27">
        <f>IF(AND(D62/Summary!$C$4&gt;20, D62/Summary!$C$4&lt;=30),1,0)*E62</f>
        <v>0</v>
      </c>
      <c r="Z62" s="27">
        <f t="shared" si="8"/>
        <v>0</v>
      </c>
      <c r="AA62" s="27">
        <f>IF(AND(D62/Summary!$C$4&gt;30, D62/Summary!$C$4&lt;=50),1,0)*E62</f>
        <v>0</v>
      </c>
      <c r="AB62" s="27">
        <f t="shared" si="9"/>
        <v>0</v>
      </c>
      <c r="AC62" s="27">
        <f>IF(AND(D62/Summary!$C$4&gt;50, D62/Summary!$C$4&lt;=100),1,0)*E62</f>
        <v>0</v>
      </c>
      <c r="AD62" s="27">
        <f t="shared" si="10"/>
        <v>0</v>
      </c>
      <c r="AE62" s="27">
        <f>IF(D62/Summary!$C$4&gt;100,1,0)*E62</f>
        <v>0</v>
      </c>
      <c r="AF62" s="27">
        <f t="shared" si="11"/>
        <v>0</v>
      </c>
      <c r="AG62" s="19">
        <f t="shared" si="12"/>
        <v>0</v>
      </c>
      <c r="AH62" s="19">
        <f t="shared" si="13"/>
        <v>0</v>
      </c>
      <c r="AI62" s="19">
        <f t="shared" si="14"/>
        <v>0</v>
      </c>
      <c r="AJ62" s="27">
        <f t="shared" si="15"/>
        <v>1</v>
      </c>
      <c r="AK62" s="27">
        <f t="shared" si="16"/>
        <v>6</v>
      </c>
      <c r="AL62" s="27">
        <f t="shared" si="17"/>
        <v>51</v>
      </c>
      <c r="AM62">
        <f t="shared" si="18"/>
        <v>0</v>
      </c>
      <c r="AN62">
        <f t="shared" si="19"/>
        <v>0</v>
      </c>
      <c r="AO62">
        <f t="shared" si="20"/>
        <v>0</v>
      </c>
      <c r="AP62">
        <f t="shared" si="21"/>
        <v>0</v>
      </c>
      <c r="AQ62">
        <f t="shared" si="22"/>
        <v>0</v>
      </c>
      <c r="AR62">
        <f t="shared" si="23"/>
        <v>0</v>
      </c>
      <c r="AS62">
        <f t="shared" si="24"/>
        <v>0</v>
      </c>
      <c r="AT62">
        <f t="shared" si="25"/>
        <v>0</v>
      </c>
      <c r="AU62">
        <f t="shared" si="26"/>
        <v>0</v>
      </c>
      <c r="AV62">
        <f t="shared" si="27"/>
        <v>0</v>
      </c>
      <c r="AW62">
        <f t="shared" si="28"/>
        <v>0</v>
      </c>
      <c r="AX62">
        <f t="shared" si="29"/>
        <v>0</v>
      </c>
      <c r="AY62">
        <f t="shared" si="30"/>
        <v>0</v>
      </c>
      <c r="AZ62">
        <f t="shared" si="31"/>
        <v>0</v>
      </c>
      <c r="BA62">
        <f t="shared" si="32"/>
        <v>0</v>
      </c>
      <c r="BB62">
        <f t="shared" si="33"/>
        <v>0</v>
      </c>
      <c r="BC62">
        <f t="shared" si="34"/>
        <v>0</v>
      </c>
      <c r="BD62">
        <f t="shared" si="35"/>
        <v>0</v>
      </c>
      <c r="BE62">
        <f t="shared" si="36"/>
        <v>0</v>
      </c>
      <c r="BF62">
        <f t="shared" si="37"/>
        <v>0</v>
      </c>
      <c r="BG62">
        <f t="shared" si="38"/>
        <v>0</v>
      </c>
      <c r="BH62">
        <f t="shared" si="39"/>
        <v>0</v>
      </c>
      <c r="BI62">
        <f t="shared" si="40"/>
        <v>0</v>
      </c>
      <c r="BJ62">
        <f t="shared" si="41"/>
        <v>0</v>
      </c>
      <c r="BK62">
        <f t="shared" si="42"/>
        <v>0</v>
      </c>
      <c r="BL62">
        <v>0</v>
      </c>
      <c r="BM62" t="str">
        <f t="shared" si="49"/>
        <v>Standard Win</v>
      </c>
      <c r="BN62" s="32" t="str">
        <f t="shared" si="50"/>
        <v>Combo Win</v>
      </c>
      <c r="BO62">
        <f>(D62/Summary!$C$4-Summary!$C$8)^2*E62</f>
        <v>352.97339999999997</v>
      </c>
      <c r="BP62">
        <f t="shared" si="43"/>
        <v>0</v>
      </c>
      <c r="BQ62">
        <f t="shared" si="44"/>
        <v>0</v>
      </c>
      <c r="BR62">
        <f t="shared" si="45"/>
        <v>0</v>
      </c>
      <c r="BS62">
        <f t="shared" si="46"/>
        <v>0</v>
      </c>
    </row>
    <row r="63" spans="2:71">
      <c r="B63" s="16">
        <f>Tiers!B64</f>
        <v>61</v>
      </c>
      <c r="C63" s="17" t="str">
        <f>Tiers!Y64</f>
        <v>main-4|main-2|main-24||||||| x 1</v>
      </c>
      <c r="D63" s="18">
        <f>Tiers!C64</f>
        <v>17</v>
      </c>
      <c r="E63" s="19">
        <f>Frequency!E65</f>
        <v>3</v>
      </c>
      <c r="F63" s="19">
        <f t="shared" si="0"/>
        <v>51</v>
      </c>
      <c r="G63" s="19">
        <f>IF(Tiers!D64&gt;1,'Data Analysis'!E63,0)</f>
        <v>0</v>
      </c>
      <c r="H63" s="19">
        <f t="shared" si="1"/>
        <v>0</v>
      </c>
      <c r="I63" s="19">
        <f>IF(AND(D63/Summary!$C$4&gt;0, D63/Summary!$C$4&lt;5),E63,0) * D63</f>
        <v>0</v>
      </c>
      <c r="J63" s="19">
        <f>IF(AND(D63/Summary!$C$4&gt;= 5, D63/Summary!$C$4&lt;10),E63,0) * D63</f>
        <v>0</v>
      </c>
      <c r="K63" s="19">
        <f>IF(AND(D63/Summary!$C$4&gt;=10, D63/Summary!$C$4&lt;25),E63,0)*D63</f>
        <v>51</v>
      </c>
      <c r="L63" s="19">
        <f>IF(D63/Summary!$C$4&gt;=25,E63,0)*D63</f>
        <v>0</v>
      </c>
      <c r="M63" s="27">
        <f>IF(AND(D63/Summary!$C$4&gt;0, D63/Summary!$C$4&lt;1),E63,0)</f>
        <v>0</v>
      </c>
      <c r="N63" s="27">
        <f t="shared" si="2"/>
        <v>0</v>
      </c>
      <c r="O63" s="27">
        <f>IF(D63/Summary!$C$4=1,1,0)*E63</f>
        <v>0</v>
      </c>
      <c r="P63" s="27">
        <f t="shared" si="3"/>
        <v>0</v>
      </c>
      <c r="Q63" s="27">
        <f>IF(AND(D63/Summary!$C$4&gt;1, D63/Summary!$C$4&lt;=2),1,0)*E63</f>
        <v>0</v>
      </c>
      <c r="R63" s="27">
        <f t="shared" si="4"/>
        <v>0</v>
      </c>
      <c r="S63" s="27">
        <f>IF(AND(D63/Summary!$C$4&gt;2,D63/Summary!$C$4&lt;=5),1,0)*E63</f>
        <v>0</v>
      </c>
      <c r="T63" s="27">
        <f t="shared" si="5"/>
        <v>0</v>
      </c>
      <c r="U63" s="27">
        <f>IF(AND(D63/Summary!$C$4&gt;5, D63/Summary!$C$4&lt;=10),1,0)*E63</f>
        <v>0</v>
      </c>
      <c r="V63" s="27">
        <f t="shared" si="6"/>
        <v>0</v>
      </c>
      <c r="W63" s="27">
        <f>IF(AND(D63/Summary!$C$4&gt;10, D63/Summary!$C$4&lt;=20),1,0)*E63</f>
        <v>3</v>
      </c>
      <c r="X63" s="27">
        <f t="shared" si="7"/>
        <v>51</v>
      </c>
      <c r="Y63" s="27">
        <f>IF(AND(D63/Summary!$C$4&gt;20, D63/Summary!$C$4&lt;=30),1,0)*E63</f>
        <v>0</v>
      </c>
      <c r="Z63" s="27">
        <f t="shared" si="8"/>
        <v>0</v>
      </c>
      <c r="AA63" s="27">
        <f>IF(AND(D63/Summary!$C$4&gt;30, D63/Summary!$C$4&lt;=50),1,0)*E63</f>
        <v>0</v>
      </c>
      <c r="AB63" s="27">
        <f t="shared" si="9"/>
        <v>0</v>
      </c>
      <c r="AC63" s="27">
        <f>IF(AND(D63/Summary!$C$4&gt;50, D63/Summary!$C$4&lt;=100),1,0)*E63</f>
        <v>0</v>
      </c>
      <c r="AD63" s="27">
        <f t="shared" si="10"/>
        <v>0</v>
      </c>
      <c r="AE63" s="27">
        <f>IF(D63/Summary!$C$4&gt;100,1,0)*E63</f>
        <v>0</v>
      </c>
      <c r="AF63" s="27">
        <f t="shared" si="11"/>
        <v>0</v>
      </c>
      <c r="AG63" s="19">
        <f t="shared" si="12"/>
        <v>0</v>
      </c>
      <c r="AH63" s="19">
        <f t="shared" si="13"/>
        <v>0</v>
      </c>
      <c r="AI63" s="19">
        <f t="shared" si="14"/>
        <v>0</v>
      </c>
      <c r="AJ63" s="27">
        <f t="shared" si="15"/>
        <v>1</v>
      </c>
      <c r="AK63" s="27">
        <f t="shared" si="16"/>
        <v>3</v>
      </c>
      <c r="AL63" s="27">
        <f t="shared" si="17"/>
        <v>51</v>
      </c>
      <c r="AM63">
        <f t="shared" si="18"/>
        <v>0</v>
      </c>
      <c r="AN63">
        <f t="shared" si="19"/>
        <v>0</v>
      </c>
      <c r="AO63">
        <f t="shared" si="20"/>
        <v>0</v>
      </c>
      <c r="AP63">
        <f t="shared" si="21"/>
        <v>0</v>
      </c>
      <c r="AQ63">
        <f t="shared" si="22"/>
        <v>0</v>
      </c>
      <c r="AR63">
        <f t="shared" si="23"/>
        <v>0</v>
      </c>
      <c r="AS63">
        <f t="shared" si="24"/>
        <v>0</v>
      </c>
      <c r="AT63">
        <f t="shared" si="25"/>
        <v>0</v>
      </c>
      <c r="AU63">
        <f t="shared" si="26"/>
        <v>0</v>
      </c>
      <c r="AV63">
        <f t="shared" si="27"/>
        <v>0</v>
      </c>
      <c r="AW63">
        <f t="shared" si="28"/>
        <v>0</v>
      </c>
      <c r="AX63">
        <f t="shared" si="29"/>
        <v>0</v>
      </c>
      <c r="AY63">
        <f t="shared" si="30"/>
        <v>0</v>
      </c>
      <c r="AZ63">
        <f t="shared" si="31"/>
        <v>0</v>
      </c>
      <c r="BA63">
        <f t="shared" si="32"/>
        <v>0</v>
      </c>
      <c r="BB63">
        <f t="shared" si="33"/>
        <v>0</v>
      </c>
      <c r="BC63">
        <f t="shared" si="34"/>
        <v>0</v>
      </c>
      <c r="BD63">
        <f t="shared" si="35"/>
        <v>0</v>
      </c>
      <c r="BE63">
        <f t="shared" si="36"/>
        <v>0</v>
      </c>
      <c r="BF63">
        <f t="shared" si="37"/>
        <v>0</v>
      </c>
      <c r="BG63">
        <f t="shared" si="38"/>
        <v>0</v>
      </c>
      <c r="BH63">
        <f t="shared" si="39"/>
        <v>0</v>
      </c>
      <c r="BI63">
        <f t="shared" si="40"/>
        <v>0</v>
      </c>
      <c r="BJ63">
        <f t="shared" si="41"/>
        <v>0</v>
      </c>
      <c r="BK63">
        <f t="shared" si="42"/>
        <v>0</v>
      </c>
      <c r="BL63">
        <v>0</v>
      </c>
      <c r="BM63" t="str">
        <f t="shared" si="49"/>
        <v>Big Win</v>
      </c>
      <c r="BN63" s="32" t="str">
        <f t="shared" si="50"/>
        <v>Combo Win</v>
      </c>
      <c r="BO63">
        <f>(D63/Summary!$C$4-Summary!$C$8)^2*E63</f>
        <v>784.40670000000023</v>
      </c>
      <c r="BP63">
        <f t="shared" si="43"/>
        <v>0</v>
      </c>
      <c r="BQ63">
        <f t="shared" si="44"/>
        <v>0</v>
      </c>
      <c r="BR63">
        <f t="shared" si="45"/>
        <v>0</v>
      </c>
      <c r="BS63">
        <f t="shared" si="46"/>
        <v>0</v>
      </c>
    </row>
    <row r="64" spans="2:71">
      <c r="B64" s="16">
        <f>Tiers!B65</f>
        <v>62</v>
      </c>
      <c r="C64" s="17" t="str">
        <f>Tiers!Y65</f>
        <v>main-15|main-13|main-13||||||| x 1</v>
      </c>
      <c r="D64" s="18">
        <f>Tiers!C65</f>
        <v>25</v>
      </c>
      <c r="E64" s="19">
        <f>Frequency!E66</f>
        <v>19</v>
      </c>
      <c r="F64" s="19">
        <f t="shared" si="0"/>
        <v>475</v>
      </c>
      <c r="G64" s="19">
        <f>IF(Tiers!D65&gt;1,'Data Analysis'!E64,0)</f>
        <v>0</v>
      </c>
      <c r="H64" s="19">
        <f t="shared" si="1"/>
        <v>0</v>
      </c>
      <c r="I64" s="19">
        <f>IF(AND(D64/Summary!$C$4&gt;0, D64/Summary!$C$4&lt;5),E64,0) * D64</f>
        <v>0</v>
      </c>
      <c r="J64" s="19">
        <f>IF(AND(D64/Summary!$C$4&gt;= 5, D64/Summary!$C$4&lt;10),E64,0) * D64</f>
        <v>0</v>
      </c>
      <c r="K64" s="19">
        <f>IF(AND(D64/Summary!$C$4&gt;=10, D64/Summary!$C$4&lt;25),E64,0)*D64</f>
        <v>0</v>
      </c>
      <c r="L64" s="19">
        <f>IF(D64/Summary!$C$4&gt;=25,E64,0)*D64</f>
        <v>475</v>
      </c>
      <c r="M64" s="27">
        <f>IF(AND(D64/Summary!$C$4&gt;0, D64/Summary!$C$4&lt;1),E64,0)</f>
        <v>0</v>
      </c>
      <c r="N64" s="27">
        <f t="shared" si="2"/>
        <v>0</v>
      </c>
      <c r="O64" s="27">
        <f>IF(D64/Summary!$C$4=1,1,0)*E64</f>
        <v>0</v>
      </c>
      <c r="P64" s="27">
        <f t="shared" si="3"/>
        <v>0</v>
      </c>
      <c r="Q64" s="27">
        <f>IF(AND(D64/Summary!$C$4&gt;1, D64/Summary!$C$4&lt;=2),1,0)*E64</f>
        <v>0</v>
      </c>
      <c r="R64" s="27">
        <f t="shared" si="4"/>
        <v>0</v>
      </c>
      <c r="S64" s="27">
        <f>IF(AND(D64/Summary!$C$4&gt;2,D64/Summary!$C$4&lt;=5),1,0)*E64</f>
        <v>0</v>
      </c>
      <c r="T64" s="27">
        <f t="shared" si="5"/>
        <v>0</v>
      </c>
      <c r="U64" s="27">
        <f>IF(AND(D64/Summary!$C$4&gt;5, D64/Summary!$C$4&lt;=10),1,0)*E64</f>
        <v>0</v>
      </c>
      <c r="V64" s="27">
        <f t="shared" si="6"/>
        <v>0</v>
      </c>
      <c r="W64" s="27">
        <f>IF(AND(D64/Summary!$C$4&gt;10, D64/Summary!$C$4&lt;=20),1,0)*E64</f>
        <v>0</v>
      </c>
      <c r="X64" s="27">
        <f t="shared" si="7"/>
        <v>0</v>
      </c>
      <c r="Y64" s="27">
        <f>IF(AND(D64/Summary!$C$4&gt;20, D64/Summary!$C$4&lt;=30),1,0)*E64</f>
        <v>19</v>
      </c>
      <c r="Z64" s="27">
        <f t="shared" si="8"/>
        <v>475</v>
      </c>
      <c r="AA64" s="27">
        <f>IF(AND(D64/Summary!$C$4&gt;30, D64/Summary!$C$4&lt;=50),1,0)*E64</f>
        <v>0</v>
      </c>
      <c r="AB64" s="27">
        <f t="shared" si="9"/>
        <v>0</v>
      </c>
      <c r="AC64" s="27">
        <f>IF(AND(D64/Summary!$C$4&gt;50, D64/Summary!$C$4&lt;=100),1,0)*E64</f>
        <v>0</v>
      </c>
      <c r="AD64" s="27">
        <f t="shared" si="10"/>
        <v>0</v>
      </c>
      <c r="AE64" s="27">
        <f>IF(D64/Summary!$C$4&gt;100,1,0)*E64</f>
        <v>0</v>
      </c>
      <c r="AF64" s="27">
        <f t="shared" si="11"/>
        <v>0</v>
      </c>
      <c r="AG64" s="19">
        <f t="shared" si="12"/>
        <v>0</v>
      </c>
      <c r="AH64" s="19">
        <f t="shared" si="13"/>
        <v>0</v>
      </c>
      <c r="AI64" s="19">
        <f t="shared" si="14"/>
        <v>0</v>
      </c>
      <c r="AJ64" s="27">
        <f t="shared" si="15"/>
        <v>1</v>
      </c>
      <c r="AK64" s="27">
        <f t="shared" si="16"/>
        <v>19</v>
      </c>
      <c r="AL64" s="27">
        <f t="shared" si="17"/>
        <v>475</v>
      </c>
      <c r="AM64">
        <f t="shared" si="18"/>
        <v>0</v>
      </c>
      <c r="AN64">
        <f t="shared" si="19"/>
        <v>0</v>
      </c>
      <c r="AO64">
        <f t="shared" si="20"/>
        <v>0</v>
      </c>
      <c r="AP64">
        <f t="shared" si="21"/>
        <v>0</v>
      </c>
      <c r="AQ64">
        <f t="shared" si="22"/>
        <v>0</v>
      </c>
      <c r="AR64">
        <f t="shared" si="23"/>
        <v>0</v>
      </c>
      <c r="AS64">
        <f t="shared" si="24"/>
        <v>0</v>
      </c>
      <c r="AT64">
        <f t="shared" si="25"/>
        <v>0</v>
      </c>
      <c r="AU64">
        <f t="shared" si="26"/>
        <v>0</v>
      </c>
      <c r="AV64">
        <f t="shared" si="27"/>
        <v>0</v>
      </c>
      <c r="AW64">
        <f t="shared" si="28"/>
        <v>0</v>
      </c>
      <c r="AX64">
        <f t="shared" si="29"/>
        <v>0</v>
      </c>
      <c r="AY64">
        <f t="shared" si="30"/>
        <v>0</v>
      </c>
      <c r="AZ64">
        <f t="shared" si="31"/>
        <v>0</v>
      </c>
      <c r="BA64">
        <f t="shared" si="32"/>
        <v>0</v>
      </c>
      <c r="BB64">
        <f t="shared" si="33"/>
        <v>0</v>
      </c>
      <c r="BC64">
        <f t="shared" si="34"/>
        <v>0</v>
      </c>
      <c r="BD64">
        <f t="shared" si="35"/>
        <v>0</v>
      </c>
      <c r="BE64">
        <f t="shared" si="36"/>
        <v>0</v>
      </c>
      <c r="BF64">
        <f t="shared" si="37"/>
        <v>0</v>
      </c>
      <c r="BG64">
        <f t="shared" si="38"/>
        <v>0</v>
      </c>
      <c r="BH64">
        <f t="shared" si="39"/>
        <v>0</v>
      </c>
      <c r="BI64">
        <f t="shared" si="40"/>
        <v>0</v>
      </c>
      <c r="BJ64">
        <f t="shared" si="41"/>
        <v>0</v>
      </c>
      <c r="BK64">
        <f t="shared" si="42"/>
        <v>0</v>
      </c>
      <c r="BL64">
        <v>0</v>
      </c>
      <c r="BM64" t="str">
        <f t="shared" si="49"/>
        <v>Big Win</v>
      </c>
      <c r="BN64" s="32" t="str">
        <f t="shared" si="50"/>
        <v>Combo Win</v>
      </c>
      <c r="BO64">
        <f>(D64/Summary!$C$4-Summary!$C$8)^2*E64</f>
        <v>11099.589100000001</v>
      </c>
      <c r="BP64">
        <f t="shared" si="43"/>
        <v>0</v>
      </c>
      <c r="BQ64">
        <f t="shared" si="44"/>
        <v>0</v>
      </c>
      <c r="BR64">
        <f t="shared" si="45"/>
        <v>0</v>
      </c>
      <c r="BS64">
        <f t="shared" si="46"/>
        <v>0</v>
      </c>
    </row>
    <row r="65" spans="2:71">
      <c r="B65" s="16">
        <f>Tiers!B66</f>
        <v>63</v>
      </c>
      <c r="C65" s="17" t="str">
        <f>Tiers!Y66</f>
        <v>main-30|main-14|main-15||||||| x 1</v>
      </c>
      <c r="D65" s="18">
        <f>Tiers!C66</f>
        <v>27</v>
      </c>
      <c r="E65" s="19">
        <f>Frequency!E67</f>
        <v>17</v>
      </c>
      <c r="F65" s="19">
        <f t="shared" si="0"/>
        <v>459</v>
      </c>
      <c r="G65" s="19">
        <f>IF(Tiers!D66&gt;1,'Data Analysis'!E65,0)</f>
        <v>0</v>
      </c>
      <c r="H65" s="19">
        <f t="shared" si="1"/>
        <v>0</v>
      </c>
      <c r="I65" s="19">
        <f>IF(AND(D65/Summary!$C$4&gt;0, D65/Summary!$C$4&lt;5),E65,0) * D65</f>
        <v>0</v>
      </c>
      <c r="J65" s="19">
        <f>IF(AND(D65/Summary!$C$4&gt;= 5, D65/Summary!$C$4&lt;10),E65,0) * D65</f>
        <v>0</v>
      </c>
      <c r="K65" s="19">
        <f>IF(AND(D65/Summary!$C$4&gt;=10, D65/Summary!$C$4&lt;25),E65,0)*D65</f>
        <v>0</v>
      </c>
      <c r="L65" s="19">
        <f>IF(D65/Summary!$C$4&gt;=25,E65,0)*D65</f>
        <v>459</v>
      </c>
      <c r="M65" s="27">
        <f>IF(AND(D65/Summary!$C$4&gt;0, D65/Summary!$C$4&lt;1),E65,0)</f>
        <v>0</v>
      </c>
      <c r="N65" s="27">
        <f t="shared" si="2"/>
        <v>0</v>
      </c>
      <c r="O65" s="27">
        <f>IF(D65/Summary!$C$4=1,1,0)*E65</f>
        <v>0</v>
      </c>
      <c r="P65" s="27">
        <f t="shared" si="3"/>
        <v>0</v>
      </c>
      <c r="Q65" s="27">
        <f>IF(AND(D65/Summary!$C$4&gt;1, D65/Summary!$C$4&lt;=2),1,0)*E65</f>
        <v>0</v>
      </c>
      <c r="R65" s="27">
        <f t="shared" si="4"/>
        <v>0</v>
      </c>
      <c r="S65" s="27">
        <f>IF(AND(D65/Summary!$C$4&gt;2,D65/Summary!$C$4&lt;=5),1,0)*E65</f>
        <v>0</v>
      </c>
      <c r="T65" s="27">
        <f t="shared" si="5"/>
        <v>0</v>
      </c>
      <c r="U65" s="27">
        <f>IF(AND(D65/Summary!$C$4&gt;5, D65/Summary!$C$4&lt;=10),1,0)*E65</f>
        <v>0</v>
      </c>
      <c r="V65" s="27">
        <f t="shared" si="6"/>
        <v>0</v>
      </c>
      <c r="W65" s="27">
        <f>IF(AND(D65/Summary!$C$4&gt;10, D65/Summary!$C$4&lt;=20),1,0)*E65</f>
        <v>0</v>
      </c>
      <c r="X65" s="27">
        <f t="shared" si="7"/>
        <v>0</v>
      </c>
      <c r="Y65" s="27">
        <f>IF(AND(D65/Summary!$C$4&gt;20, D65/Summary!$C$4&lt;=30),1,0)*E65</f>
        <v>17</v>
      </c>
      <c r="Z65" s="27">
        <f t="shared" si="8"/>
        <v>459</v>
      </c>
      <c r="AA65" s="27">
        <f>IF(AND(D65/Summary!$C$4&gt;30, D65/Summary!$C$4&lt;=50),1,0)*E65</f>
        <v>0</v>
      </c>
      <c r="AB65" s="27">
        <f t="shared" si="9"/>
        <v>0</v>
      </c>
      <c r="AC65" s="27">
        <f>IF(AND(D65/Summary!$C$4&gt;50, D65/Summary!$C$4&lt;=100),1,0)*E65</f>
        <v>0</v>
      </c>
      <c r="AD65" s="27">
        <f t="shared" si="10"/>
        <v>0</v>
      </c>
      <c r="AE65" s="27">
        <f>IF(D65/Summary!$C$4&gt;100,1,0)*E65</f>
        <v>0</v>
      </c>
      <c r="AF65" s="27">
        <f t="shared" si="11"/>
        <v>0</v>
      </c>
      <c r="AG65" s="19">
        <f t="shared" si="12"/>
        <v>0</v>
      </c>
      <c r="AH65" s="19">
        <f t="shared" si="13"/>
        <v>0</v>
      </c>
      <c r="AI65" s="19">
        <f t="shared" si="14"/>
        <v>0</v>
      </c>
      <c r="AJ65" s="27">
        <f t="shared" si="15"/>
        <v>1</v>
      </c>
      <c r="AK65" s="27">
        <f t="shared" si="16"/>
        <v>17</v>
      </c>
      <c r="AL65" s="27">
        <f t="shared" si="17"/>
        <v>459</v>
      </c>
      <c r="AM65">
        <f t="shared" si="18"/>
        <v>0</v>
      </c>
      <c r="AN65">
        <f t="shared" si="19"/>
        <v>0</v>
      </c>
      <c r="AO65">
        <f t="shared" si="20"/>
        <v>0</v>
      </c>
      <c r="AP65">
        <f t="shared" si="21"/>
        <v>0</v>
      </c>
      <c r="AQ65">
        <f t="shared" si="22"/>
        <v>0</v>
      </c>
      <c r="AR65">
        <f t="shared" si="23"/>
        <v>0</v>
      </c>
      <c r="AS65">
        <f t="shared" si="24"/>
        <v>0</v>
      </c>
      <c r="AT65">
        <f t="shared" si="25"/>
        <v>0</v>
      </c>
      <c r="AU65">
        <f t="shared" si="26"/>
        <v>0</v>
      </c>
      <c r="AV65">
        <f t="shared" si="27"/>
        <v>0</v>
      </c>
      <c r="AW65">
        <f t="shared" si="28"/>
        <v>0</v>
      </c>
      <c r="AX65">
        <f t="shared" si="29"/>
        <v>0</v>
      </c>
      <c r="AY65">
        <f t="shared" si="30"/>
        <v>0</v>
      </c>
      <c r="AZ65">
        <f t="shared" si="31"/>
        <v>0</v>
      </c>
      <c r="BA65">
        <f t="shared" si="32"/>
        <v>0</v>
      </c>
      <c r="BB65">
        <f t="shared" si="33"/>
        <v>0</v>
      </c>
      <c r="BC65">
        <f t="shared" si="34"/>
        <v>0</v>
      </c>
      <c r="BD65">
        <f t="shared" si="35"/>
        <v>0</v>
      </c>
      <c r="BE65">
        <f t="shared" si="36"/>
        <v>0</v>
      </c>
      <c r="BF65">
        <f t="shared" si="37"/>
        <v>0</v>
      </c>
      <c r="BG65">
        <f t="shared" si="38"/>
        <v>0</v>
      </c>
      <c r="BH65">
        <f t="shared" si="39"/>
        <v>0</v>
      </c>
      <c r="BI65">
        <f t="shared" si="40"/>
        <v>0</v>
      </c>
      <c r="BJ65">
        <f t="shared" si="41"/>
        <v>0</v>
      </c>
      <c r="BK65">
        <f t="shared" si="42"/>
        <v>0</v>
      </c>
      <c r="BL65">
        <v>0</v>
      </c>
      <c r="BM65" t="str">
        <f t="shared" si="49"/>
        <v>Big Win</v>
      </c>
      <c r="BN65" s="32" t="str">
        <f t="shared" si="50"/>
        <v>Combo Win</v>
      </c>
      <c r="BO65">
        <f>(D65/Summary!$C$4-Summary!$C$8)^2*E65</f>
        <v>11642.7713</v>
      </c>
      <c r="BP65">
        <f t="shared" si="43"/>
        <v>0</v>
      </c>
      <c r="BQ65">
        <f t="shared" si="44"/>
        <v>0</v>
      </c>
      <c r="BR65">
        <f t="shared" si="45"/>
        <v>0</v>
      </c>
      <c r="BS65">
        <f t="shared" si="46"/>
        <v>0</v>
      </c>
    </row>
    <row r="66" spans="2:71">
      <c r="B66" s="16">
        <f>Tiers!B67</f>
        <v>64</v>
      </c>
      <c r="C66" s="17" t="str">
        <f>Tiers!Y67</f>
        <v>main-2|main-7|main-4||||||| x 1</v>
      </c>
      <c r="D66" s="18">
        <f>Tiers!C67</f>
        <v>5</v>
      </c>
      <c r="E66" s="19">
        <f>Frequency!E68</f>
        <v>96</v>
      </c>
      <c r="F66" s="19">
        <f t="shared" ref="F66:F129" si="51">E66*D66</f>
        <v>480</v>
      </c>
      <c r="G66" s="19">
        <f>IF(Tiers!D67&gt;1,'Data Analysis'!E66,0)</f>
        <v>0</v>
      </c>
      <c r="H66" s="19">
        <f t="shared" ref="H66:H129" si="52">G66*D66</f>
        <v>0</v>
      </c>
      <c r="I66" s="19">
        <f>IF(AND(D66/Summary!$C$4&gt;0, D66/Summary!$C$4&lt;5),E66,0) * D66</f>
        <v>0</v>
      </c>
      <c r="J66" s="19">
        <f>IF(AND(D66/Summary!$C$4&gt;= 5, D66/Summary!$C$4&lt;10),E66,0) * D66</f>
        <v>480</v>
      </c>
      <c r="K66" s="19">
        <f>IF(AND(D66/Summary!$C$4&gt;=10, D66/Summary!$C$4&lt;25),E66,0)*D66</f>
        <v>0</v>
      </c>
      <c r="L66" s="19">
        <f>IF(D66/Summary!$C$4&gt;=25,E66,0)*D66</f>
        <v>0</v>
      </c>
      <c r="M66" s="27">
        <f>IF(AND(D66/Summary!$C$4&gt;0, D66/Summary!$C$4&lt;1),E66,0)</f>
        <v>0</v>
      </c>
      <c r="N66" s="27">
        <f t="shared" ref="N66:N129" si="53">IF(M66&gt;0,D66*E66,0)</f>
        <v>0</v>
      </c>
      <c r="O66" s="27">
        <f>IF(D66/Summary!$C$4=1,1,0)*E66</f>
        <v>0</v>
      </c>
      <c r="P66" s="27">
        <f t="shared" ref="P66:P129" si="54">IF(O66&gt;0,D66*E66,0)</f>
        <v>0</v>
      </c>
      <c r="Q66" s="27">
        <f>IF(AND(D66/Summary!$C$4&gt;1, D66/Summary!$C$4&lt;=2),1,0)*E66</f>
        <v>0</v>
      </c>
      <c r="R66" s="27">
        <f t="shared" ref="R66:R129" si="55">IF(Q66&gt;0,D66*E66,0)</f>
        <v>0</v>
      </c>
      <c r="S66" s="27">
        <f>IF(AND(D66/Summary!$C$4&gt;2,D66/Summary!$C$4&lt;=5),1,0)*E66</f>
        <v>96</v>
      </c>
      <c r="T66" s="27">
        <f t="shared" ref="T66:T129" si="56">IF(S66&gt;0,D66*E66,0)</f>
        <v>480</v>
      </c>
      <c r="U66" s="27">
        <f>IF(AND(D66/Summary!$C$4&gt;5, D66/Summary!$C$4&lt;=10),1,0)*E66</f>
        <v>0</v>
      </c>
      <c r="V66" s="27">
        <f t="shared" ref="V66:V129" si="57">IF(U66&gt;0,D66*E66,0)</f>
        <v>0</v>
      </c>
      <c r="W66" s="27">
        <f>IF(AND(D66/Summary!$C$4&gt;10, D66/Summary!$C$4&lt;=20),1,0)*E66</f>
        <v>0</v>
      </c>
      <c r="X66" s="27">
        <f t="shared" ref="X66:X129" si="58">IF(W66&gt;0,D66*E66,0)</f>
        <v>0</v>
      </c>
      <c r="Y66" s="27">
        <f>IF(AND(D66/Summary!$C$4&gt;20, D66/Summary!$C$4&lt;=30),1,0)*E66</f>
        <v>0</v>
      </c>
      <c r="Z66" s="27">
        <f t="shared" ref="Z66:Z129" si="59">IF(Y66&gt;0,D66*E66,0)</f>
        <v>0</v>
      </c>
      <c r="AA66" s="27">
        <f>IF(AND(D66/Summary!$C$4&gt;30, D66/Summary!$C$4&lt;=50),1,0)*E66</f>
        <v>0</v>
      </c>
      <c r="AB66" s="27">
        <f t="shared" ref="AB66:AB129" si="60">IF(AA66&gt;0,D66*E66,0)</f>
        <v>0</v>
      </c>
      <c r="AC66" s="27">
        <f>IF(AND(D66/Summary!$C$4&gt;50, D66/Summary!$C$4&lt;=100),1,0)*E66</f>
        <v>0</v>
      </c>
      <c r="AD66" s="27">
        <f t="shared" ref="AD66:AD129" si="61">IF(AC66&gt;0,D66*E66,0)</f>
        <v>0</v>
      </c>
      <c r="AE66" s="27">
        <f>IF(D66/Summary!$C$4&gt;100,1,0)*E66</f>
        <v>0</v>
      </c>
      <c r="AF66" s="27">
        <f t="shared" ref="AF66:AF129" si="62">IF(AE66&gt;0,D66*E66,0)</f>
        <v>0</v>
      </c>
      <c r="AG66" s="19">
        <f t="shared" ref="AG66:AG129" si="63">IF(AV66&gt;0,E66,0)</f>
        <v>0</v>
      </c>
      <c r="AH66" s="19">
        <f t="shared" ref="AH66:AH129" si="64">IF(BD66&gt;0,E66,0)</f>
        <v>0</v>
      </c>
      <c r="AI66" s="19">
        <f t="shared" ref="AI66:AI129" si="65">IF(BJ66&gt;0,E66,0)</f>
        <v>0</v>
      </c>
      <c r="AJ66" s="27">
        <f t="shared" ref="AJ66:AJ129" si="66">IF(ISNUMBER(SEARCH("|||||||||",C66)),0,1)</f>
        <v>1</v>
      </c>
      <c r="AK66" s="27">
        <f t="shared" ref="AK66:AK129" si="67">IF(AJ66=1, E66,0)</f>
        <v>96</v>
      </c>
      <c r="AL66" s="27">
        <f t="shared" ref="AL66:AL129" si="68">IF(AK66&gt;0,D66*E66,0)</f>
        <v>480</v>
      </c>
      <c r="AM66">
        <f t="shared" ref="AM66:AM129" si="69">IF(ISNUMBER(SEARCH("Wild",C66)),1,0)</f>
        <v>0</v>
      </c>
      <c r="AN66">
        <f t="shared" ref="AN66:AN129" si="70">IF(AM66=1, E66,0)</f>
        <v>0</v>
      </c>
      <c r="AO66">
        <f t="shared" ref="AO66:AO129" si="71">IF(AN66&gt;0,D66*E66,0)</f>
        <v>0</v>
      </c>
      <c r="AP66">
        <f t="shared" ref="AP66:AP129" si="72">IF(ISNUMBER(SEARCH("Wild-",C66)),1,0)</f>
        <v>0</v>
      </c>
      <c r="AQ66">
        <f t="shared" ref="AQ66:AQ129" si="73">IF(AP66=1, E66,0)</f>
        <v>0</v>
      </c>
      <c r="AR66">
        <f t="shared" ref="AR66:AR129" si="74">IF(AQ66&gt;0,D66*E66,0)</f>
        <v>0</v>
      </c>
      <c r="AS66">
        <f t="shared" ref="AS66:AS129" si="75">IF(ISNUMBER(SEARCH("WildX",C66)),1,0)</f>
        <v>0</v>
      </c>
      <c r="AT66">
        <f t="shared" ref="AT66:AT129" si="76">IF(AS66=1, E66,0)</f>
        <v>0</v>
      </c>
      <c r="AU66">
        <f t="shared" ref="AU66:AU129" si="77">IF(AT66&gt;0,D66*E66,0)</f>
        <v>0</v>
      </c>
      <c r="AV66">
        <f t="shared" ref="AV66:AV129" si="78">IF(ISNUMBER(SEARCH("freeplayA",C66)),E66,0)</f>
        <v>0</v>
      </c>
      <c r="AW66">
        <f t="shared" ref="AW66:AW129" si="79">AV66*D66</f>
        <v>0</v>
      </c>
      <c r="AX66">
        <f t="shared" ref="AX66:AX129" si="80">IF(ISNUMBER(SEARCH("FreePlayB",C66)),E66,0)</f>
        <v>0</v>
      </c>
      <c r="AY66">
        <f t="shared" ref="AY66:AY129" si="81">AX66*D66</f>
        <v>0</v>
      </c>
      <c r="AZ66">
        <f t="shared" ref="AZ66:AZ129" si="82">IF(ISNUMBER(SEARCH("FreePlayC",C66)),E66,0)</f>
        <v>0</v>
      </c>
      <c r="BA66">
        <f t="shared" ref="BA66:BA129" si="83">AZ66*D66</f>
        <v>0</v>
      </c>
      <c r="BB66">
        <f t="shared" ref="BB66:BB129" si="84">IF(ISNUMBER(SEARCH("FreePlayD",C66)),E66,0)</f>
        <v>0</v>
      </c>
      <c r="BC66">
        <f t="shared" ref="BC66:BC129" si="85">BB66*D66</f>
        <v>0</v>
      </c>
      <c r="BD66">
        <f t="shared" ref="BD66:BD129" si="86">IF(ISNUMBER(SEARCH("bonusA",C66)),E66,0)</f>
        <v>0</v>
      </c>
      <c r="BE66">
        <f t="shared" ref="BE66:BE129" si="87">BD66*D66</f>
        <v>0</v>
      </c>
      <c r="BF66">
        <f t="shared" ref="BF66:BF129" si="88">IF(ISNUMBER(SEARCH("BonusB",C66)),E66,0)</f>
        <v>0</v>
      </c>
      <c r="BG66">
        <f t="shared" ref="BG66:BG129" si="89">BF66*D66</f>
        <v>0</v>
      </c>
      <c r="BH66">
        <f t="shared" ref="BH66:BH129" si="90">IF(ISNUMBER(SEARCH("BonusC",C66)),E66,0)</f>
        <v>0</v>
      </c>
      <c r="BI66">
        <f t="shared" ref="BI66:BI129" si="91">BH66*D66</f>
        <v>0</v>
      </c>
      <c r="BJ66">
        <f t="shared" ref="BJ66:BJ129" si="92">IF(ISNUMBER(SEARCH("Instant",C66)),E66,0)</f>
        <v>0</v>
      </c>
      <c r="BK66">
        <f t="shared" ref="BK66:BK129" si="93">BJ66*D66</f>
        <v>0</v>
      </c>
      <c r="BL66">
        <v>0</v>
      </c>
      <c r="BM66" t="str">
        <f>IF(D66 &lt; $D$367, $C$367,
      IF(D66 = $D$368, $C$368,
          IF(D66 &lt; $D$369, $C$369,
              IF(D66 &lt; $D$370, $C$370,
                 IF(D66 &lt; $D$371, $C$371, $C$372)))))</f>
        <v>Standard Win</v>
      </c>
      <c r="BN66" s="32" t="str">
        <f>IF(AV66 &gt; 0,$C$376,
      IF(AX66 &gt; 0,$C$377,
          IF(AZ66 &gt; 0,$C$378,
             IF(BB66 &gt; 0,$C$379,
              IF(BD66 &gt; 0,$C$380,
                  IF(BF66 &gt; 0,$C$381,
                     IF(BH66 &gt; 0,$C$382,
                        IF(BJ66 &gt; 0,$C$383,
                           IF(ISNUMBER(SEARCH("|||||||||",C66)), $C$384,$C$385)))))))))</f>
        <v>Combo Win</v>
      </c>
      <c r="BO66">
        <f>(D66/Summary!$C$4-Summary!$C$8)^2*E66</f>
        <v>1669.3344</v>
      </c>
      <c r="BP66">
        <f t="shared" ref="BP66:BP129" si="94">IF(AV66=1, E66*D66,0)</f>
        <v>0</v>
      </c>
      <c r="BQ66">
        <f t="shared" ref="BQ66:BQ129" si="95">IF(BD66=1, E66*D66,0)</f>
        <v>0</v>
      </c>
      <c r="BR66">
        <f t="shared" ref="BR66:BR129" si="96">IF(BJ66=1, D66*E66,0)</f>
        <v>0</v>
      </c>
      <c r="BS66">
        <f t="shared" ref="BS66:BS129" si="97">IF(BL66&gt;0,BL66*E66,0)</f>
        <v>0</v>
      </c>
    </row>
    <row r="67" spans="2:71">
      <c r="B67" s="16">
        <f>Tiers!B68</f>
        <v>65</v>
      </c>
      <c r="C67" s="17" t="str">
        <f>Tiers!Y68</f>
        <v>main-11|main-25|main-31||||||| x 1</v>
      </c>
      <c r="D67" s="18">
        <f>Tiers!C68</f>
        <v>26.5</v>
      </c>
      <c r="E67" s="19">
        <f>Frequency!E69</f>
        <v>18</v>
      </c>
      <c r="F67" s="19">
        <f t="shared" si="51"/>
        <v>477</v>
      </c>
      <c r="G67" s="19">
        <f>IF(Tiers!D68&gt;1,'Data Analysis'!E67,0)</f>
        <v>0</v>
      </c>
      <c r="H67" s="19">
        <f t="shared" si="52"/>
        <v>0</v>
      </c>
      <c r="I67" s="19">
        <f>IF(AND(D67/Summary!$C$4&gt;0, D67/Summary!$C$4&lt;5),E67,0) * D67</f>
        <v>0</v>
      </c>
      <c r="J67" s="19">
        <f>IF(AND(D67/Summary!$C$4&gt;= 5, D67/Summary!$C$4&lt;10),E67,0) * D67</f>
        <v>0</v>
      </c>
      <c r="K67" s="19">
        <f>IF(AND(D67/Summary!$C$4&gt;=10, D67/Summary!$C$4&lt;25),E67,0)*D67</f>
        <v>0</v>
      </c>
      <c r="L67" s="19">
        <f>IF(D67/Summary!$C$4&gt;=25,E67,0)*D67</f>
        <v>477</v>
      </c>
      <c r="M67" s="27">
        <f>IF(AND(D67/Summary!$C$4&gt;0, D67/Summary!$C$4&lt;1),E67,0)</f>
        <v>0</v>
      </c>
      <c r="N67" s="27">
        <f t="shared" si="53"/>
        <v>0</v>
      </c>
      <c r="O67" s="27">
        <f>IF(D67/Summary!$C$4=1,1,0)*E67</f>
        <v>0</v>
      </c>
      <c r="P67" s="27">
        <f t="shared" si="54"/>
        <v>0</v>
      </c>
      <c r="Q67" s="27">
        <f>IF(AND(D67/Summary!$C$4&gt;1, D67/Summary!$C$4&lt;=2),1,0)*E67</f>
        <v>0</v>
      </c>
      <c r="R67" s="27">
        <f t="shared" si="55"/>
        <v>0</v>
      </c>
      <c r="S67" s="27">
        <f>IF(AND(D67/Summary!$C$4&gt;2,D67/Summary!$C$4&lt;=5),1,0)*E67</f>
        <v>0</v>
      </c>
      <c r="T67" s="27">
        <f t="shared" si="56"/>
        <v>0</v>
      </c>
      <c r="U67" s="27">
        <f>IF(AND(D67/Summary!$C$4&gt;5, D67/Summary!$C$4&lt;=10),1,0)*E67</f>
        <v>0</v>
      </c>
      <c r="V67" s="27">
        <f t="shared" si="57"/>
        <v>0</v>
      </c>
      <c r="W67" s="27">
        <f>IF(AND(D67/Summary!$C$4&gt;10, D67/Summary!$C$4&lt;=20),1,0)*E67</f>
        <v>0</v>
      </c>
      <c r="X67" s="27">
        <f t="shared" si="58"/>
        <v>0</v>
      </c>
      <c r="Y67" s="27">
        <f>IF(AND(D67/Summary!$C$4&gt;20, D67/Summary!$C$4&lt;=30),1,0)*E67</f>
        <v>18</v>
      </c>
      <c r="Z67" s="27">
        <f t="shared" si="59"/>
        <v>477</v>
      </c>
      <c r="AA67" s="27">
        <f>IF(AND(D67/Summary!$C$4&gt;30, D67/Summary!$C$4&lt;=50),1,0)*E67</f>
        <v>0</v>
      </c>
      <c r="AB67" s="27">
        <f t="shared" si="60"/>
        <v>0</v>
      </c>
      <c r="AC67" s="27">
        <f>IF(AND(D67/Summary!$C$4&gt;50, D67/Summary!$C$4&lt;=100),1,0)*E67</f>
        <v>0</v>
      </c>
      <c r="AD67" s="27">
        <f t="shared" si="61"/>
        <v>0</v>
      </c>
      <c r="AE67" s="27">
        <f>IF(D67/Summary!$C$4&gt;100,1,0)*E67</f>
        <v>0</v>
      </c>
      <c r="AF67" s="27">
        <f t="shared" si="62"/>
        <v>0</v>
      </c>
      <c r="AG67" s="19">
        <f t="shared" si="63"/>
        <v>0</v>
      </c>
      <c r="AH67" s="19">
        <f t="shared" si="64"/>
        <v>0</v>
      </c>
      <c r="AI67" s="19">
        <f t="shared" si="65"/>
        <v>0</v>
      </c>
      <c r="AJ67" s="27">
        <f t="shared" si="66"/>
        <v>1</v>
      </c>
      <c r="AK67" s="27">
        <f t="shared" si="67"/>
        <v>18</v>
      </c>
      <c r="AL67" s="27">
        <f t="shared" si="68"/>
        <v>477</v>
      </c>
      <c r="AM67">
        <f t="shared" si="69"/>
        <v>0</v>
      </c>
      <c r="AN67">
        <f t="shared" si="70"/>
        <v>0</v>
      </c>
      <c r="AO67">
        <f t="shared" si="71"/>
        <v>0</v>
      </c>
      <c r="AP67">
        <f t="shared" si="72"/>
        <v>0</v>
      </c>
      <c r="AQ67">
        <f t="shared" si="73"/>
        <v>0</v>
      </c>
      <c r="AR67">
        <f t="shared" si="74"/>
        <v>0</v>
      </c>
      <c r="AS67">
        <f t="shared" si="75"/>
        <v>0</v>
      </c>
      <c r="AT67">
        <f t="shared" si="76"/>
        <v>0</v>
      </c>
      <c r="AU67">
        <f t="shared" si="77"/>
        <v>0</v>
      </c>
      <c r="AV67">
        <f t="shared" si="78"/>
        <v>0</v>
      </c>
      <c r="AW67">
        <f t="shared" si="79"/>
        <v>0</v>
      </c>
      <c r="AX67">
        <f t="shared" si="80"/>
        <v>0</v>
      </c>
      <c r="AY67">
        <f t="shared" si="81"/>
        <v>0</v>
      </c>
      <c r="AZ67">
        <f t="shared" si="82"/>
        <v>0</v>
      </c>
      <c r="BA67">
        <f t="shared" si="83"/>
        <v>0</v>
      </c>
      <c r="BB67">
        <f t="shared" si="84"/>
        <v>0</v>
      </c>
      <c r="BC67">
        <f t="shared" si="85"/>
        <v>0</v>
      </c>
      <c r="BD67">
        <f t="shared" si="86"/>
        <v>0</v>
      </c>
      <c r="BE67">
        <f t="shared" si="87"/>
        <v>0</v>
      </c>
      <c r="BF67">
        <f t="shared" si="88"/>
        <v>0</v>
      </c>
      <c r="BG67">
        <f t="shared" si="89"/>
        <v>0</v>
      </c>
      <c r="BH67">
        <f t="shared" si="90"/>
        <v>0</v>
      </c>
      <c r="BI67">
        <f t="shared" si="91"/>
        <v>0</v>
      </c>
      <c r="BJ67">
        <f t="shared" si="92"/>
        <v>0</v>
      </c>
      <c r="BK67">
        <f t="shared" si="93"/>
        <v>0</v>
      </c>
      <c r="BL67">
        <v>0</v>
      </c>
      <c r="BM67" t="str">
        <f t="shared" ref="BM67:BM98" si="98">IF(D67 &lt; $D$367, $C$367,
IF(D67 = $D$368, $C$368,
IF(D67 &lt; $D$369, $C$369,
IF(D67 &lt; $D$370, $C$370,
IF(D67 &lt; $D$371, $C$371, $C$372)))))</f>
        <v>Big Win</v>
      </c>
      <c r="BN67" s="32" t="str">
        <f t="shared" ref="BN67:BN98" si="99">IF(AV67 &gt; 0,$C$376,
IF(AX67 &gt; 0,$C$377,
IF(AZ67 &gt; 0,$C$378,
IF(BB67 &gt; 0,$C$379,
IF(BD67 &gt; 0,$C$380,
IF(BF67 &gt; 0,$C$381,
IF(BH67 &gt; 0,$C$382,
IF(BJ67 &gt; 0,$C$383,
IF(ISNUMBER(SEARCH("|||||||||",C67)), $C$384,$C$385)))))))))</f>
        <v>Combo Win</v>
      </c>
      <c r="BO67">
        <f>(D67/Summary!$C$4-Summary!$C$8)^2*E67</f>
        <v>11861.080200000002</v>
      </c>
      <c r="BP67">
        <f t="shared" si="94"/>
        <v>0</v>
      </c>
      <c r="BQ67">
        <f t="shared" si="95"/>
        <v>0</v>
      </c>
      <c r="BR67">
        <f t="shared" si="96"/>
        <v>0</v>
      </c>
      <c r="BS67">
        <f t="shared" si="97"/>
        <v>0</v>
      </c>
    </row>
    <row r="68" spans="2:71">
      <c r="B68" s="16">
        <f>Tiers!B69</f>
        <v>66</v>
      </c>
      <c r="C68" s="17" t="str">
        <f>Tiers!Y69</f>
        <v>main-5|main-25|main-12||||||| x 1</v>
      </c>
      <c r="D68" s="18">
        <f>Tiers!C69</f>
        <v>24</v>
      </c>
      <c r="E68" s="19">
        <f>Frequency!E70</f>
        <v>22</v>
      </c>
      <c r="F68" s="19">
        <f t="shared" si="51"/>
        <v>528</v>
      </c>
      <c r="G68" s="19">
        <f>IF(Tiers!D69&gt;1,'Data Analysis'!E68,0)</f>
        <v>0</v>
      </c>
      <c r="H68" s="19">
        <f t="shared" si="52"/>
        <v>0</v>
      </c>
      <c r="I68" s="19">
        <f>IF(AND(D68/Summary!$C$4&gt;0, D68/Summary!$C$4&lt;5),E68,0) * D68</f>
        <v>0</v>
      </c>
      <c r="J68" s="19">
        <f>IF(AND(D68/Summary!$C$4&gt;= 5, D68/Summary!$C$4&lt;10),E68,0) * D68</f>
        <v>0</v>
      </c>
      <c r="K68" s="19">
        <f>IF(AND(D68/Summary!$C$4&gt;=10, D68/Summary!$C$4&lt;25),E68,0)*D68</f>
        <v>528</v>
      </c>
      <c r="L68" s="19">
        <f>IF(D68/Summary!$C$4&gt;=25,E68,0)*D68</f>
        <v>0</v>
      </c>
      <c r="M68" s="27">
        <f>IF(AND(D68/Summary!$C$4&gt;0, D68/Summary!$C$4&lt;1),E68,0)</f>
        <v>0</v>
      </c>
      <c r="N68" s="27">
        <f t="shared" si="53"/>
        <v>0</v>
      </c>
      <c r="O68" s="27">
        <f>IF(D68/Summary!$C$4=1,1,0)*E68</f>
        <v>0</v>
      </c>
      <c r="P68" s="27">
        <f t="shared" si="54"/>
        <v>0</v>
      </c>
      <c r="Q68" s="27">
        <f>IF(AND(D68/Summary!$C$4&gt;1, D68/Summary!$C$4&lt;=2),1,0)*E68</f>
        <v>0</v>
      </c>
      <c r="R68" s="27">
        <f t="shared" si="55"/>
        <v>0</v>
      </c>
      <c r="S68" s="27">
        <f>IF(AND(D68/Summary!$C$4&gt;2,D68/Summary!$C$4&lt;=5),1,0)*E68</f>
        <v>0</v>
      </c>
      <c r="T68" s="27">
        <f t="shared" si="56"/>
        <v>0</v>
      </c>
      <c r="U68" s="27">
        <f>IF(AND(D68/Summary!$C$4&gt;5, D68/Summary!$C$4&lt;=10),1,0)*E68</f>
        <v>0</v>
      </c>
      <c r="V68" s="27">
        <f t="shared" si="57"/>
        <v>0</v>
      </c>
      <c r="W68" s="27">
        <f>IF(AND(D68/Summary!$C$4&gt;10, D68/Summary!$C$4&lt;=20),1,0)*E68</f>
        <v>0</v>
      </c>
      <c r="X68" s="27">
        <f t="shared" si="58"/>
        <v>0</v>
      </c>
      <c r="Y68" s="27">
        <f>IF(AND(D68/Summary!$C$4&gt;20, D68/Summary!$C$4&lt;=30),1,0)*E68</f>
        <v>22</v>
      </c>
      <c r="Z68" s="27">
        <f t="shared" si="59"/>
        <v>528</v>
      </c>
      <c r="AA68" s="27">
        <f>IF(AND(D68/Summary!$C$4&gt;30, D68/Summary!$C$4&lt;=50),1,0)*E68</f>
        <v>0</v>
      </c>
      <c r="AB68" s="27">
        <f t="shared" si="60"/>
        <v>0</v>
      </c>
      <c r="AC68" s="27">
        <f>IF(AND(D68/Summary!$C$4&gt;50, D68/Summary!$C$4&lt;=100),1,0)*E68</f>
        <v>0</v>
      </c>
      <c r="AD68" s="27">
        <f t="shared" si="61"/>
        <v>0</v>
      </c>
      <c r="AE68" s="27">
        <f>IF(D68/Summary!$C$4&gt;100,1,0)*E68</f>
        <v>0</v>
      </c>
      <c r="AF68" s="27">
        <f t="shared" si="62"/>
        <v>0</v>
      </c>
      <c r="AG68" s="19">
        <f t="shared" si="63"/>
        <v>0</v>
      </c>
      <c r="AH68" s="19">
        <f t="shared" si="64"/>
        <v>0</v>
      </c>
      <c r="AI68" s="19">
        <f t="shared" si="65"/>
        <v>0</v>
      </c>
      <c r="AJ68" s="27">
        <f t="shared" si="66"/>
        <v>1</v>
      </c>
      <c r="AK68" s="27">
        <f t="shared" si="67"/>
        <v>22</v>
      </c>
      <c r="AL68" s="27">
        <f t="shared" si="68"/>
        <v>528</v>
      </c>
      <c r="AM68">
        <f t="shared" si="69"/>
        <v>0</v>
      </c>
      <c r="AN68">
        <f t="shared" si="70"/>
        <v>0</v>
      </c>
      <c r="AO68">
        <f t="shared" si="71"/>
        <v>0</v>
      </c>
      <c r="AP68">
        <f t="shared" si="72"/>
        <v>0</v>
      </c>
      <c r="AQ68">
        <f t="shared" si="73"/>
        <v>0</v>
      </c>
      <c r="AR68">
        <f t="shared" si="74"/>
        <v>0</v>
      </c>
      <c r="AS68">
        <f t="shared" si="75"/>
        <v>0</v>
      </c>
      <c r="AT68">
        <f t="shared" si="76"/>
        <v>0</v>
      </c>
      <c r="AU68">
        <f t="shared" si="77"/>
        <v>0</v>
      </c>
      <c r="AV68">
        <f t="shared" si="78"/>
        <v>0</v>
      </c>
      <c r="AW68">
        <f t="shared" si="79"/>
        <v>0</v>
      </c>
      <c r="AX68">
        <f t="shared" si="80"/>
        <v>0</v>
      </c>
      <c r="AY68">
        <f t="shared" si="81"/>
        <v>0</v>
      </c>
      <c r="AZ68">
        <f t="shared" si="82"/>
        <v>0</v>
      </c>
      <c r="BA68">
        <f t="shared" si="83"/>
        <v>0</v>
      </c>
      <c r="BB68">
        <f t="shared" si="84"/>
        <v>0</v>
      </c>
      <c r="BC68">
        <f t="shared" si="85"/>
        <v>0</v>
      </c>
      <c r="BD68">
        <f t="shared" si="86"/>
        <v>0</v>
      </c>
      <c r="BE68">
        <f t="shared" si="87"/>
        <v>0</v>
      </c>
      <c r="BF68">
        <f t="shared" si="88"/>
        <v>0</v>
      </c>
      <c r="BG68">
        <f t="shared" si="89"/>
        <v>0</v>
      </c>
      <c r="BH68">
        <f t="shared" si="90"/>
        <v>0</v>
      </c>
      <c r="BI68">
        <f t="shared" si="91"/>
        <v>0</v>
      </c>
      <c r="BJ68">
        <f t="shared" si="92"/>
        <v>0</v>
      </c>
      <c r="BK68">
        <f t="shared" si="93"/>
        <v>0</v>
      </c>
      <c r="BL68">
        <v>0</v>
      </c>
      <c r="BM68" t="str">
        <f t="shared" si="98"/>
        <v>Big Win</v>
      </c>
      <c r="BN68" s="32" t="str">
        <f t="shared" si="99"/>
        <v>Combo Win</v>
      </c>
      <c r="BO68">
        <f>(D68/Summary!$C$4-Summary!$C$8)^2*E68</f>
        <v>11810.675800000001</v>
      </c>
      <c r="BP68">
        <f t="shared" si="94"/>
        <v>0</v>
      </c>
      <c r="BQ68">
        <f t="shared" si="95"/>
        <v>0</v>
      </c>
      <c r="BR68">
        <f t="shared" si="96"/>
        <v>0</v>
      </c>
      <c r="BS68">
        <f t="shared" si="97"/>
        <v>0</v>
      </c>
    </row>
    <row r="69" spans="2:71">
      <c r="B69" s="16">
        <f>Tiers!B70</f>
        <v>67</v>
      </c>
      <c r="C69" s="17" t="str">
        <f>Tiers!Y70</f>
        <v>main-3|main-33|main-16||||||| x 1</v>
      </c>
      <c r="D69" s="18">
        <f>Tiers!C70</f>
        <v>36</v>
      </c>
      <c r="E69" s="19">
        <f>Frequency!E71</f>
        <v>13</v>
      </c>
      <c r="F69" s="19">
        <f t="shared" si="51"/>
        <v>468</v>
      </c>
      <c r="G69" s="19">
        <f>IF(Tiers!D70&gt;1,'Data Analysis'!E69,0)</f>
        <v>0</v>
      </c>
      <c r="H69" s="19">
        <f t="shared" si="52"/>
        <v>0</v>
      </c>
      <c r="I69" s="19">
        <f>IF(AND(D69/Summary!$C$4&gt;0, D69/Summary!$C$4&lt;5),E69,0) * D69</f>
        <v>0</v>
      </c>
      <c r="J69" s="19">
        <f>IF(AND(D69/Summary!$C$4&gt;= 5, D69/Summary!$C$4&lt;10),E69,0) * D69</f>
        <v>0</v>
      </c>
      <c r="K69" s="19">
        <f>IF(AND(D69/Summary!$C$4&gt;=10, D69/Summary!$C$4&lt;25),E69,0)*D69</f>
        <v>0</v>
      </c>
      <c r="L69" s="19">
        <f>IF(D69/Summary!$C$4&gt;=25,E69,0)*D69</f>
        <v>468</v>
      </c>
      <c r="M69" s="27">
        <f>IF(AND(D69/Summary!$C$4&gt;0, D69/Summary!$C$4&lt;1),E69,0)</f>
        <v>0</v>
      </c>
      <c r="N69" s="27">
        <f t="shared" si="53"/>
        <v>0</v>
      </c>
      <c r="O69" s="27">
        <f>IF(D69/Summary!$C$4=1,1,0)*E69</f>
        <v>0</v>
      </c>
      <c r="P69" s="27">
        <f t="shared" si="54"/>
        <v>0</v>
      </c>
      <c r="Q69" s="27">
        <f>IF(AND(D69/Summary!$C$4&gt;1, D69/Summary!$C$4&lt;=2),1,0)*E69</f>
        <v>0</v>
      </c>
      <c r="R69" s="27">
        <f t="shared" si="55"/>
        <v>0</v>
      </c>
      <c r="S69" s="27">
        <f>IF(AND(D69/Summary!$C$4&gt;2,D69/Summary!$C$4&lt;=5),1,0)*E69</f>
        <v>0</v>
      </c>
      <c r="T69" s="27">
        <f t="shared" si="56"/>
        <v>0</v>
      </c>
      <c r="U69" s="27">
        <f>IF(AND(D69/Summary!$C$4&gt;5, D69/Summary!$C$4&lt;=10),1,0)*E69</f>
        <v>0</v>
      </c>
      <c r="V69" s="27">
        <f t="shared" si="57"/>
        <v>0</v>
      </c>
      <c r="W69" s="27">
        <f>IF(AND(D69/Summary!$C$4&gt;10, D69/Summary!$C$4&lt;=20),1,0)*E69</f>
        <v>0</v>
      </c>
      <c r="X69" s="27">
        <f t="shared" si="58"/>
        <v>0</v>
      </c>
      <c r="Y69" s="27">
        <f>IF(AND(D69/Summary!$C$4&gt;20, D69/Summary!$C$4&lt;=30),1,0)*E69</f>
        <v>0</v>
      </c>
      <c r="Z69" s="27">
        <f t="shared" si="59"/>
        <v>0</v>
      </c>
      <c r="AA69" s="27">
        <f>IF(AND(D69/Summary!$C$4&gt;30, D69/Summary!$C$4&lt;=50),1,0)*E69</f>
        <v>13</v>
      </c>
      <c r="AB69" s="27">
        <f t="shared" si="60"/>
        <v>468</v>
      </c>
      <c r="AC69" s="27">
        <f>IF(AND(D69/Summary!$C$4&gt;50, D69/Summary!$C$4&lt;=100),1,0)*E69</f>
        <v>0</v>
      </c>
      <c r="AD69" s="27">
        <f t="shared" si="61"/>
        <v>0</v>
      </c>
      <c r="AE69" s="27">
        <f>IF(D69/Summary!$C$4&gt;100,1,0)*E69</f>
        <v>0</v>
      </c>
      <c r="AF69" s="27">
        <f t="shared" si="62"/>
        <v>0</v>
      </c>
      <c r="AG69" s="19">
        <f t="shared" si="63"/>
        <v>0</v>
      </c>
      <c r="AH69" s="19">
        <f t="shared" si="64"/>
        <v>0</v>
      </c>
      <c r="AI69" s="19">
        <f t="shared" si="65"/>
        <v>0</v>
      </c>
      <c r="AJ69" s="27">
        <f t="shared" si="66"/>
        <v>1</v>
      </c>
      <c r="AK69" s="27">
        <f t="shared" si="67"/>
        <v>13</v>
      </c>
      <c r="AL69" s="27">
        <f t="shared" si="68"/>
        <v>468</v>
      </c>
      <c r="AM69">
        <f t="shared" si="69"/>
        <v>0</v>
      </c>
      <c r="AN69">
        <f t="shared" si="70"/>
        <v>0</v>
      </c>
      <c r="AO69">
        <f t="shared" si="71"/>
        <v>0</v>
      </c>
      <c r="AP69">
        <f t="shared" si="72"/>
        <v>0</v>
      </c>
      <c r="AQ69">
        <f t="shared" si="73"/>
        <v>0</v>
      </c>
      <c r="AR69">
        <f t="shared" si="74"/>
        <v>0</v>
      </c>
      <c r="AS69">
        <f t="shared" si="75"/>
        <v>0</v>
      </c>
      <c r="AT69">
        <f t="shared" si="76"/>
        <v>0</v>
      </c>
      <c r="AU69">
        <f t="shared" si="77"/>
        <v>0</v>
      </c>
      <c r="AV69">
        <f t="shared" si="78"/>
        <v>0</v>
      </c>
      <c r="AW69">
        <f t="shared" si="79"/>
        <v>0</v>
      </c>
      <c r="AX69">
        <f t="shared" si="80"/>
        <v>0</v>
      </c>
      <c r="AY69">
        <f t="shared" si="81"/>
        <v>0</v>
      </c>
      <c r="AZ69">
        <f t="shared" si="82"/>
        <v>0</v>
      </c>
      <c r="BA69">
        <f t="shared" si="83"/>
        <v>0</v>
      </c>
      <c r="BB69">
        <f t="shared" si="84"/>
        <v>0</v>
      </c>
      <c r="BC69">
        <f t="shared" si="85"/>
        <v>0</v>
      </c>
      <c r="BD69">
        <f t="shared" si="86"/>
        <v>0</v>
      </c>
      <c r="BE69">
        <f t="shared" si="87"/>
        <v>0</v>
      </c>
      <c r="BF69">
        <f t="shared" si="88"/>
        <v>0</v>
      </c>
      <c r="BG69">
        <f t="shared" si="89"/>
        <v>0</v>
      </c>
      <c r="BH69">
        <f t="shared" si="90"/>
        <v>0</v>
      </c>
      <c r="BI69">
        <f t="shared" si="91"/>
        <v>0</v>
      </c>
      <c r="BJ69">
        <f t="shared" si="92"/>
        <v>0</v>
      </c>
      <c r="BK69">
        <f t="shared" si="93"/>
        <v>0</v>
      </c>
      <c r="BL69">
        <v>0</v>
      </c>
      <c r="BM69" t="str">
        <f t="shared" si="98"/>
        <v>Big Win</v>
      </c>
      <c r="BN69" s="32" t="str">
        <f t="shared" si="99"/>
        <v>Combo Win</v>
      </c>
      <c r="BO69">
        <f>(D69/Summary!$C$4-Summary!$C$8)^2*E69</f>
        <v>16080.075700000001</v>
      </c>
      <c r="BP69">
        <f t="shared" si="94"/>
        <v>0</v>
      </c>
      <c r="BQ69">
        <f t="shared" si="95"/>
        <v>0</v>
      </c>
      <c r="BR69">
        <f t="shared" si="96"/>
        <v>0</v>
      </c>
      <c r="BS69">
        <f t="shared" si="97"/>
        <v>0</v>
      </c>
    </row>
    <row r="70" spans="2:71">
      <c r="B70" s="16">
        <f>Tiers!B71</f>
        <v>68</v>
      </c>
      <c r="C70" s="17" t="str">
        <f>Tiers!Y71</f>
        <v>main-30|main-6|main-7||||||| x 1</v>
      </c>
      <c r="D70" s="18">
        <f>Tiers!C71</f>
        <v>7.5</v>
      </c>
      <c r="E70" s="19">
        <f>Frequency!E72</f>
        <v>64</v>
      </c>
      <c r="F70" s="19">
        <f t="shared" si="51"/>
        <v>480</v>
      </c>
      <c r="G70" s="19">
        <f>IF(Tiers!D71&gt;1,'Data Analysis'!E70,0)</f>
        <v>0</v>
      </c>
      <c r="H70" s="19">
        <f t="shared" si="52"/>
        <v>0</v>
      </c>
      <c r="I70" s="19">
        <f>IF(AND(D70/Summary!$C$4&gt;0, D70/Summary!$C$4&lt;5),E70,0) * D70</f>
        <v>0</v>
      </c>
      <c r="J70" s="19">
        <f>IF(AND(D70/Summary!$C$4&gt;= 5, D70/Summary!$C$4&lt;10),E70,0) * D70</f>
        <v>480</v>
      </c>
      <c r="K70" s="19">
        <f>IF(AND(D70/Summary!$C$4&gt;=10, D70/Summary!$C$4&lt;25),E70,0)*D70</f>
        <v>0</v>
      </c>
      <c r="L70" s="19">
        <f>IF(D70/Summary!$C$4&gt;=25,E70,0)*D70</f>
        <v>0</v>
      </c>
      <c r="M70" s="27">
        <f>IF(AND(D70/Summary!$C$4&gt;0, D70/Summary!$C$4&lt;1),E70,0)</f>
        <v>0</v>
      </c>
      <c r="N70" s="27">
        <f t="shared" si="53"/>
        <v>0</v>
      </c>
      <c r="O70" s="27">
        <f>IF(D70/Summary!$C$4=1,1,0)*E70</f>
        <v>0</v>
      </c>
      <c r="P70" s="27">
        <f t="shared" si="54"/>
        <v>0</v>
      </c>
      <c r="Q70" s="27">
        <f>IF(AND(D70/Summary!$C$4&gt;1, D70/Summary!$C$4&lt;=2),1,0)*E70</f>
        <v>0</v>
      </c>
      <c r="R70" s="27">
        <f t="shared" si="55"/>
        <v>0</v>
      </c>
      <c r="S70" s="27">
        <f>IF(AND(D70/Summary!$C$4&gt;2,D70/Summary!$C$4&lt;=5),1,0)*E70</f>
        <v>0</v>
      </c>
      <c r="T70" s="27">
        <f t="shared" si="56"/>
        <v>0</v>
      </c>
      <c r="U70" s="27">
        <f>IF(AND(D70/Summary!$C$4&gt;5, D70/Summary!$C$4&lt;=10),1,0)*E70</f>
        <v>64</v>
      </c>
      <c r="V70" s="27">
        <f t="shared" si="57"/>
        <v>480</v>
      </c>
      <c r="W70" s="27">
        <f>IF(AND(D70/Summary!$C$4&gt;10, D70/Summary!$C$4&lt;=20),1,0)*E70</f>
        <v>0</v>
      </c>
      <c r="X70" s="27">
        <f t="shared" si="58"/>
        <v>0</v>
      </c>
      <c r="Y70" s="27">
        <f>IF(AND(D70/Summary!$C$4&gt;20, D70/Summary!$C$4&lt;=30),1,0)*E70</f>
        <v>0</v>
      </c>
      <c r="Z70" s="27">
        <f t="shared" si="59"/>
        <v>0</v>
      </c>
      <c r="AA70" s="27">
        <f>IF(AND(D70/Summary!$C$4&gt;30, D70/Summary!$C$4&lt;=50),1,0)*E70</f>
        <v>0</v>
      </c>
      <c r="AB70" s="27">
        <f t="shared" si="60"/>
        <v>0</v>
      </c>
      <c r="AC70" s="27">
        <f>IF(AND(D70/Summary!$C$4&gt;50, D70/Summary!$C$4&lt;=100),1,0)*E70</f>
        <v>0</v>
      </c>
      <c r="AD70" s="27">
        <f t="shared" si="61"/>
        <v>0</v>
      </c>
      <c r="AE70" s="27">
        <f>IF(D70/Summary!$C$4&gt;100,1,0)*E70</f>
        <v>0</v>
      </c>
      <c r="AF70" s="27">
        <f t="shared" si="62"/>
        <v>0</v>
      </c>
      <c r="AG70" s="19">
        <f t="shared" si="63"/>
        <v>0</v>
      </c>
      <c r="AH70" s="19">
        <f t="shared" si="64"/>
        <v>0</v>
      </c>
      <c r="AI70" s="19">
        <f t="shared" si="65"/>
        <v>0</v>
      </c>
      <c r="AJ70" s="27">
        <f t="shared" si="66"/>
        <v>1</v>
      </c>
      <c r="AK70" s="27">
        <f t="shared" si="67"/>
        <v>64</v>
      </c>
      <c r="AL70" s="27">
        <f t="shared" si="68"/>
        <v>480</v>
      </c>
      <c r="AM70">
        <f t="shared" si="69"/>
        <v>0</v>
      </c>
      <c r="AN70">
        <f t="shared" si="70"/>
        <v>0</v>
      </c>
      <c r="AO70">
        <f t="shared" si="71"/>
        <v>0</v>
      </c>
      <c r="AP70">
        <f t="shared" si="72"/>
        <v>0</v>
      </c>
      <c r="AQ70">
        <f t="shared" si="73"/>
        <v>0</v>
      </c>
      <c r="AR70">
        <f t="shared" si="74"/>
        <v>0</v>
      </c>
      <c r="AS70">
        <f t="shared" si="75"/>
        <v>0</v>
      </c>
      <c r="AT70">
        <f t="shared" si="76"/>
        <v>0</v>
      </c>
      <c r="AU70">
        <f t="shared" si="77"/>
        <v>0</v>
      </c>
      <c r="AV70">
        <f t="shared" si="78"/>
        <v>0</v>
      </c>
      <c r="AW70">
        <f t="shared" si="79"/>
        <v>0</v>
      </c>
      <c r="AX70">
        <f t="shared" si="80"/>
        <v>0</v>
      </c>
      <c r="AY70">
        <f t="shared" si="81"/>
        <v>0</v>
      </c>
      <c r="AZ70">
        <f t="shared" si="82"/>
        <v>0</v>
      </c>
      <c r="BA70">
        <f t="shared" si="83"/>
        <v>0</v>
      </c>
      <c r="BB70">
        <f t="shared" si="84"/>
        <v>0</v>
      </c>
      <c r="BC70">
        <f t="shared" si="85"/>
        <v>0</v>
      </c>
      <c r="BD70">
        <f t="shared" si="86"/>
        <v>0</v>
      </c>
      <c r="BE70">
        <f t="shared" si="87"/>
        <v>0</v>
      </c>
      <c r="BF70">
        <f t="shared" si="88"/>
        <v>0</v>
      </c>
      <c r="BG70">
        <f t="shared" si="89"/>
        <v>0</v>
      </c>
      <c r="BH70">
        <f t="shared" si="90"/>
        <v>0</v>
      </c>
      <c r="BI70">
        <f t="shared" si="91"/>
        <v>0</v>
      </c>
      <c r="BJ70">
        <f t="shared" si="92"/>
        <v>0</v>
      </c>
      <c r="BK70">
        <f t="shared" si="93"/>
        <v>0</v>
      </c>
      <c r="BL70">
        <v>0</v>
      </c>
      <c r="BM70" t="str">
        <f t="shared" si="98"/>
        <v>Standard Win</v>
      </c>
      <c r="BN70" s="32" t="str">
        <f t="shared" si="99"/>
        <v>Combo Win</v>
      </c>
      <c r="BO70">
        <f>(D70/Summary!$C$4-Summary!$C$8)^2*E70</f>
        <v>2847.2896000000001</v>
      </c>
      <c r="BP70">
        <f t="shared" si="94"/>
        <v>0</v>
      </c>
      <c r="BQ70">
        <f t="shared" si="95"/>
        <v>0</v>
      </c>
      <c r="BR70">
        <f t="shared" si="96"/>
        <v>0</v>
      </c>
      <c r="BS70">
        <f t="shared" si="97"/>
        <v>0</v>
      </c>
    </row>
    <row r="71" spans="2:71">
      <c r="B71" s="16">
        <f>Tiers!B72</f>
        <v>69</v>
      </c>
      <c r="C71" s="17" t="str">
        <f>Tiers!Y72</f>
        <v>main-21|main-25|main-7||||||| x 1</v>
      </c>
      <c r="D71" s="18">
        <f>Tiers!C72</f>
        <v>25</v>
      </c>
      <c r="E71" s="19">
        <f>Frequency!E73</f>
        <v>19</v>
      </c>
      <c r="F71" s="19">
        <f t="shared" si="51"/>
        <v>475</v>
      </c>
      <c r="G71" s="19">
        <f>IF(Tiers!D72&gt;1,'Data Analysis'!E71,0)</f>
        <v>0</v>
      </c>
      <c r="H71" s="19">
        <f t="shared" si="52"/>
        <v>0</v>
      </c>
      <c r="I71" s="19">
        <f>IF(AND(D71/Summary!$C$4&gt;0, D71/Summary!$C$4&lt;5),E71,0) * D71</f>
        <v>0</v>
      </c>
      <c r="J71" s="19">
        <f>IF(AND(D71/Summary!$C$4&gt;= 5, D71/Summary!$C$4&lt;10),E71,0) * D71</f>
        <v>0</v>
      </c>
      <c r="K71" s="19">
        <f>IF(AND(D71/Summary!$C$4&gt;=10, D71/Summary!$C$4&lt;25),E71,0)*D71</f>
        <v>0</v>
      </c>
      <c r="L71" s="19">
        <f>IF(D71/Summary!$C$4&gt;=25,E71,0)*D71</f>
        <v>475</v>
      </c>
      <c r="M71" s="27">
        <f>IF(AND(D71/Summary!$C$4&gt;0, D71/Summary!$C$4&lt;1),E71,0)</f>
        <v>0</v>
      </c>
      <c r="N71" s="27">
        <f t="shared" si="53"/>
        <v>0</v>
      </c>
      <c r="O71" s="27">
        <f>IF(D71/Summary!$C$4=1,1,0)*E71</f>
        <v>0</v>
      </c>
      <c r="P71" s="27">
        <f t="shared" si="54"/>
        <v>0</v>
      </c>
      <c r="Q71" s="27">
        <f>IF(AND(D71/Summary!$C$4&gt;1, D71/Summary!$C$4&lt;=2),1,0)*E71</f>
        <v>0</v>
      </c>
      <c r="R71" s="27">
        <f t="shared" si="55"/>
        <v>0</v>
      </c>
      <c r="S71" s="27">
        <f>IF(AND(D71/Summary!$C$4&gt;2,D71/Summary!$C$4&lt;=5),1,0)*E71</f>
        <v>0</v>
      </c>
      <c r="T71" s="27">
        <f t="shared" si="56"/>
        <v>0</v>
      </c>
      <c r="U71" s="27">
        <f>IF(AND(D71/Summary!$C$4&gt;5, D71/Summary!$C$4&lt;=10),1,0)*E71</f>
        <v>0</v>
      </c>
      <c r="V71" s="27">
        <f t="shared" si="57"/>
        <v>0</v>
      </c>
      <c r="W71" s="27">
        <f>IF(AND(D71/Summary!$C$4&gt;10, D71/Summary!$C$4&lt;=20),1,0)*E71</f>
        <v>0</v>
      </c>
      <c r="X71" s="27">
        <f t="shared" si="58"/>
        <v>0</v>
      </c>
      <c r="Y71" s="27">
        <f>IF(AND(D71/Summary!$C$4&gt;20, D71/Summary!$C$4&lt;=30),1,0)*E71</f>
        <v>19</v>
      </c>
      <c r="Z71" s="27">
        <f t="shared" si="59"/>
        <v>475</v>
      </c>
      <c r="AA71" s="27">
        <f>IF(AND(D71/Summary!$C$4&gt;30, D71/Summary!$C$4&lt;=50),1,0)*E71</f>
        <v>0</v>
      </c>
      <c r="AB71" s="27">
        <f t="shared" si="60"/>
        <v>0</v>
      </c>
      <c r="AC71" s="27">
        <f>IF(AND(D71/Summary!$C$4&gt;50, D71/Summary!$C$4&lt;=100),1,0)*E71</f>
        <v>0</v>
      </c>
      <c r="AD71" s="27">
        <f t="shared" si="61"/>
        <v>0</v>
      </c>
      <c r="AE71" s="27">
        <f>IF(D71/Summary!$C$4&gt;100,1,0)*E71</f>
        <v>0</v>
      </c>
      <c r="AF71" s="27">
        <f t="shared" si="62"/>
        <v>0</v>
      </c>
      <c r="AG71" s="19">
        <f t="shared" si="63"/>
        <v>0</v>
      </c>
      <c r="AH71" s="19">
        <f t="shared" si="64"/>
        <v>0</v>
      </c>
      <c r="AI71" s="19">
        <f t="shared" si="65"/>
        <v>0</v>
      </c>
      <c r="AJ71" s="27">
        <f t="shared" si="66"/>
        <v>1</v>
      </c>
      <c r="AK71" s="27">
        <f t="shared" si="67"/>
        <v>19</v>
      </c>
      <c r="AL71" s="27">
        <f t="shared" si="68"/>
        <v>475</v>
      </c>
      <c r="AM71">
        <f t="shared" si="69"/>
        <v>0</v>
      </c>
      <c r="AN71">
        <f t="shared" si="70"/>
        <v>0</v>
      </c>
      <c r="AO71">
        <f t="shared" si="71"/>
        <v>0</v>
      </c>
      <c r="AP71">
        <f t="shared" si="72"/>
        <v>0</v>
      </c>
      <c r="AQ71">
        <f t="shared" si="73"/>
        <v>0</v>
      </c>
      <c r="AR71">
        <f t="shared" si="74"/>
        <v>0</v>
      </c>
      <c r="AS71">
        <f t="shared" si="75"/>
        <v>0</v>
      </c>
      <c r="AT71">
        <f t="shared" si="76"/>
        <v>0</v>
      </c>
      <c r="AU71">
        <f t="shared" si="77"/>
        <v>0</v>
      </c>
      <c r="AV71">
        <f t="shared" si="78"/>
        <v>0</v>
      </c>
      <c r="AW71">
        <f t="shared" si="79"/>
        <v>0</v>
      </c>
      <c r="AX71">
        <f t="shared" si="80"/>
        <v>0</v>
      </c>
      <c r="AY71">
        <f t="shared" si="81"/>
        <v>0</v>
      </c>
      <c r="AZ71">
        <f t="shared" si="82"/>
        <v>0</v>
      </c>
      <c r="BA71">
        <f t="shared" si="83"/>
        <v>0</v>
      </c>
      <c r="BB71">
        <f t="shared" si="84"/>
        <v>0</v>
      </c>
      <c r="BC71">
        <f t="shared" si="85"/>
        <v>0</v>
      </c>
      <c r="BD71">
        <f t="shared" si="86"/>
        <v>0</v>
      </c>
      <c r="BE71">
        <f t="shared" si="87"/>
        <v>0</v>
      </c>
      <c r="BF71">
        <f t="shared" si="88"/>
        <v>0</v>
      </c>
      <c r="BG71">
        <f t="shared" si="89"/>
        <v>0</v>
      </c>
      <c r="BH71">
        <f t="shared" si="90"/>
        <v>0</v>
      </c>
      <c r="BI71">
        <f t="shared" si="91"/>
        <v>0</v>
      </c>
      <c r="BJ71">
        <f t="shared" si="92"/>
        <v>0</v>
      </c>
      <c r="BK71">
        <f t="shared" si="93"/>
        <v>0</v>
      </c>
      <c r="BL71">
        <v>0</v>
      </c>
      <c r="BM71" t="str">
        <f t="shared" si="98"/>
        <v>Big Win</v>
      </c>
      <c r="BN71" s="32" t="str">
        <f t="shared" si="99"/>
        <v>Combo Win</v>
      </c>
      <c r="BO71">
        <f>(D71/Summary!$C$4-Summary!$C$8)^2*E71</f>
        <v>11099.589100000001</v>
      </c>
      <c r="BP71">
        <f t="shared" si="94"/>
        <v>0</v>
      </c>
      <c r="BQ71">
        <f t="shared" si="95"/>
        <v>0</v>
      </c>
      <c r="BR71">
        <f t="shared" si="96"/>
        <v>0</v>
      </c>
      <c r="BS71">
        <f t="shared" si="97"/>
        <v>0</v>
      </c>
    </row>
    <row r="72" spans="2:71">
      <c r="B72" s="16">
        <f>Tiers!B73</f>
        <v>70</v>
      </c>
      <c r="C72" s="17" t="str">
        <f>Tiers!Y73</f>
        <v>main-5|main-25|main-25||||||| x 1</v>
      </c>
      <c r="D72" s="18">
        <f>Tiers!C73</f>
        <v>42</v>
      </c>
      <c r="E72" s="19">
        <f>Frequency!E74</f>
        <v>16</v>
      </c>
      <c r="F72" s="19">
        <f t="shared" si="51"/>
        <v>672</v>
      </c>
      <c r="G72" s="19">
        <f>IF(Tiers!D73&gt;1,'Data Analysis'!E72,0)</f>
        <v>0</v>
      </c>
      <c r="H72" s="19">
        <f t="shared" si="52"/>
        <v>0</v>
      </c>
      <c r="I72" s="19">
        <f>IF(AND(D72/Summary!$C$4&gt;0, D72/Summary!$C$4&lt;5),E72,0) * D72</f>
        <v>0</v>
      </c>
      <c r="J72" s="19">
        <f>IF(AND(D72/Summary!$C$4&gt;= 5, D72/Summary!$C$4&lt;10),E72,0) * D72</f>
        <v>0</v>
      </c>
      <c r="K72" s="19">
        <f>IF(AND(D72/Summary!$C$4&gt;=10, D72/Summary!$C$4&lt;25),E72,0)*D72</f>
        <v>0</v>
      </c>
      <c r="L72" s="19">
        <f>IF(D72/Summary!$C$4&gt;=25,E72,0)*D72</f>
        <v>672</v>
      </c>
      <c r="M72" s="27">
        <f>IF(AND(D72/Summary!$C$4&gt;0, D72/Summary!$C$4&lt;1),E72,0)</f>
        <v>0</v>
      </c>
      <c r="N72" s="27">
        <f t="shared" si="53"/>
        <v>0</v>
      </c>
      <c r="O72" s="27">
        <f>IF(D72/Summary!$C$4=1,1,0)*E72</f>
        <v>0</v>
      </c>
      <c r="P72" s="27">
        <f t="shared" si="54"/>
        <v>0</v>
      </c>
      <c r="Q72" s="27">
        <f>IF(AND(D72/Summary!$C$4&gt;1, D72/Summary!$C$4&lt;=2),1,0)*E72</f>
        <v>0</v>
      </c>
      <c r="R72" s="27">
        <f t="shared" si="55"/>
        <v>0</v>
      </c>
      <c r="S72" s="27">
        <f>IF(AND(D72/Summary!$C$4&gt;2,D72/Summary!$C$4&lt;=5),1,0)*E72</f>
        <v>0</v>
      </c>
      <c r="T72" s="27">
        <f t="shared" si="56"/>
        <v>0</v>
      </c>
      <c r="U72" s="27">
        <f>IF(AND(D72/Summary!$C$4&gt;5, D72/Summary!$C$4&lt;=10),1,0)*E72</f>
        <v>0</v>
      </c>
      <c r="V72" s="27">
        <f t="shared" si="57"/>
        <v>0</v>
      </c>
      <c r="W72" s="27">
        <f>IF(AND(D72/Summary!$C$4&gt;10, D72/Summary!$C$4&lt;=20),1,0)*E72</f>
        <v>0</v>
      </c>
      <c r="X72" s="27">
        <f t="shared" si="58"/>
        <v>0</v>
      </c>
      <c r="Y72" s="27">
        <f>IF(AND(D72/Summary!$C$4&gt;20, D72/Summary!$C$4&lt;=30),1,0)*E72</f>
        <v>0</v>
      </c>
      <c r="Z72" s="27">
        <f t="shared" si="59"/>
        <v>0</v>
      </c>
      <c r="AA72" s="27">
        <f>IF(AND(D72/Summary!$C$4&gt;30, D72/Summary!$C$4&lt;=50),1,0)*E72</f>
        <v>16</v>
      </c>
      <c r="AB72" s="27">
        <f t="shared" si="60"/>
        <v>672</v>
      </c>
      <c r="AC72" s="27">
        <f>IF(AND(D72/Summary!$C$4&gt;50, D72/Summary!$C$4&lt;=100),1,0)*E72</f>
        <v>0</v>
      </c>
      <c r="AD72" s="27">
        <f t="shared" si="61"/>
        <v>0</v>
      </c>
      <c r="AE72" s="27">
        <f>IF(D72/Summary!$C$4&gt;100,1,0)*E72</f>
        <v>0</v>
      </c>
      <c r="AF72" s="27">
        <f t="shared" si="62"/>
        <v>0</v>
      </c>
      <c r="AG72" s="19">
        <f t="shared" si="63"/>
        <v>0</v>
      </c>
      <c r="AH72" s="19">
        <f t="shared" si="64"/>
        <v>0</v>
      </c>
      <c r="AI72" s="19">
        <f t="shared" si="65"/>
        <v>0</v>
      </c>
      <c r="AJ72" s="27">
        <f t="shared" si="66"/>
        <v>1</v>
      </c>
      <c r="AK72" s="27">
        <f t="shared" si="67"/>
        <v>16</v>
      </c>
      <c r="AL72" s="27">
        <f t="shared" si="68"/>
        <v>672</v>
      </c>
      <c r="AM72">
        <f t="shared" si="69"/>
        <v>0</v>
      </c>
      <c r="AN72">
        <f t="shared" si="70"/>
        <v>0</v>
      </c>
      <c r="AO72">
        <f t="shared" si="71"/>
        <v>0</v>
      </c>
      <c r="AP72">
        <f t="shared" si="72"/>
        <v>0</v>
      </c>
      <c r="AQ72">
        <f t="shared" si="73"/>
        <v>0</v>
      </c>
      <c r="AR72">
        <f t="shared" si="74"/>
        <v>0</v>
      </c>
      <c r="AS72">
        <f t="shared" si="75"/>
        <v>0</v>
      </c>
      <c r="AT72">
        <f t="shared" si="76"/>
        <v>0</v>
      </c>
      <c r="AU72">
        <f t="shared" si="77"/>
        <v>0</v>
      </c>
      <c r="AV72">
        <f t="shared" si="78"/>
        <v>0</v>
      </c>
      <c r="AW72">
        <f t="shared" si="79"/>
        <v>0</v>
      </c>
      <c r="AX72">
        <f t="shared" si="80"/>
        <v>0</v>
      </c>
      <c r="AY72">
        <f t="shared" si="81"/>
        <v>0</v>
      </c>
      <c r="AZ72">
        <f t="shared" si="82"/>
        <v>0</v>
      </c>
      <c r="BA72">
        <f t="shared" si="83"/>
        <v>0</v>
      </c>
      <c r="BB72">
        <f t="shared" si="84"/>
        <v>0</v>
      </c>
      <c r="BC72">
        <f t="shared" si="85"/>
        <v>0</v>
      </c>
      <c r="BD72">
        <f t="shared" si="86"/>
        <v>0</v>
      </c>
      <c r="BE72">
        <f t="shared" si="87"/>
        <v>0</v>
      </c>
      <c r="BF72">
        <f t="shared" si="88"/>
        <v>0</v>
      </c>
      <c r="BG72">
        <f t="shared" si="89"/>
        <v>0</v>
      </c>
      <c r="BH72">
        <f t="shared" si="90"/>
        <v>0</v>
      </c>
      <c r="BI72">
        <f t="shared" si="91"/>
        <v>0</v>
      </c>
      <c r="BJ72">
        <f t="shared" si="92"/>
        <v>0</v>
      </c>
      <c r="BK72">
        <f t="shared" si="93"/>
        <v>0</v>
      </c>
      <c r="BL72">
        <v>0</v>
      </c>
      <c r="BM72" t="str">
        <f t="shared" si="98"/>
        <v>Big Win</v>
      </c>
      <c r="BN72" s="32" t="str">
        <f t="shared" si="99"/>
        <v>Combo Win</v>
      </c>
      <c r="BO72">
        <f>(D72/Summary!$C$4-Summary!$C$8)^2*E72</f>
        <v>27119.502400000001</v>
      </c>
      <c r="BP72">
        <f t="shared" si="94"/>
        <v>0</v>
      </c>
      <c r="BQ72">
        <f t="shared" si="95"/>
        <v>0</v>
      </c>
      <c r="BR72">
        <f t="shared" si="96"/>
        <v>0</v>
      </c>
      <c r="BS72">
        <f t="shared" si="97"/>
        <v>0</v>
      </c>
    </row>
    <row r="73" spans="2:71">
      <c r="B73" s="16">
        <f>Tiers!B74</f>
        <v>71</v>
      </c>
      <c r="C73" s="17" t="str">
        <f>Tiers!Y74</f>
        <v>main-5|main-8|main-14||||||| x 1</v>
      </c>
      <c r="D73" s="18">
        <f>Tiers!C74</f>
        <v>17</v>
      </c>
      <c r="E73" s="19">
        <f>Frequency!E75</f>
        <v>1</v>
      </c>
      <c r="F73" s="19">
        <f t="shared" si="51"/>
        <v>17</v>
      </c>
      <c r="G73" s="19">
        <f>IF(Tiers!D74&gt;1,'Data Analysis'!E73,0)</f>
        <v>0</v>
      </c>
      <c r="H73" s="19">
        <f t="shared" si="52"/>
        <v>0</v>
      </c>
      <c r="I73" s="19">
        <f>IF(AND(D73/Summary!$C$4&gt;0, D73/Summary!$C$4&lt;5),E73,0) * D73</f>
        <v>0</v>
      </c>
      <c r="J73" s="19">
        <f>IF(AND(D73/Summary!$C$4&gt;= 5, D73/Summary!$C$4&lt;10),E73,0) * D73</f>
        <v>0</v>
      </c>
      <c r="K73" s="19">
        <f>IF(AND(D73/Summary!$C$4&gt;=10, D73/Summary!$C$4&lt;25),E73,0)*D73</f>
        <v>17</v>
      </c>
      <c r="L73" s="19">
        <f>IF(D73/Summary!$C$4&gt;=25,E73,0)*D73</f>
        <v>0</v>
      </c>
      <c r="M73" s="27">
        <f>IF(AND(D73/Summary!$C$4&gt;0, D73/Summary!$C$4&lt;1),E73,0)</f>
        <v>0</v>
      </c>
      <c r="N73" s="27">
        <f t="shared" si="53"/>
        <v>0</v>
      </c>
      <c r="O73" s="27">
        <f>IF(D73/Summary!$C$4=1,1,0)*E73</f>
        <v>0</v>
      </c>
      <c r="P73" s="27">
        <f t="shared" si="54"/>
        <v>0</v>
      </c>
      <c r="Q73" s="27">
        <f>IF(AND(D73/Summary!$C$4&gt;1, D73/Summary!$C$4&lt;=2),1,0)*E73</f>
        <v>0</v>
      </c>
      <c r="R73" s="27">
        <f t="shared" si="55"/>
        <v>0</v>
      </c>
      <c r="S73" s="27">
        <f>IF(AND(D73/Summary!$C$4&gt;2,D73/Summary!$C$4&lt;=5),1,0)*E73</f>
        <v>0</v>
      </c>
      <c r="T73" s="27">
        <f t="shared" si="56"/>
        <v>0</v>
      </c>
      <c r="U73" s="27">
        <f>IF(AND(D73/Summary!$C$4&gt;5, D73/Summary!$C$4&lt;=10),1,0)*E73</f>
        <v>0</v>
      </c>
      <c r="V73" s="27">
        <f t="shared" si="57"/>
        <v>0</v>
      </c>
      <c r="W73" s="27">
        <f>IF(AND(D73/Summary!$C$4&gt;10, D73/Summary!$C$4&lt;=20),1,0)*E73</f>
        <v>1</v>
      </c>
      <c r="X73" s="27">
        <f t="shared" si="58"/>
        <v>17</v>
      </c>
      <c r="Y73" s="27">
        <f>IF(AND(D73/Summary!$C$4&gt;20, D73/Summary!$C$4&lt;=30),1,0)*E73</f>
        <v>0</v>
      </c>
      <c r="Z73" s="27">
        <f t="shared" si="59"/>
        <v>0</v>
      </c>
      <c r="AA73" s="27">
        <f>IF(AND(D73/Summary!$C$4&gt;30, D73/Summary!$C$4&lt;=50),1,0)*E73</f>
        <v>0</v>
      </c>
      <c r="AB73" s="27">
        <f t="shared" si="60"/>
        <v>0</v>
      </c>
      <c r="AC73" s="27">
        <f>IF(AND(D73/Summary!$C$4&gt;50, D73/Summary!$C$4&lt;=100),1,0)*E73</f>
        <v>0</v>
      </c>
      <c r="AD73" s="27">
        <f t="shared" si="61"/>
        <v>0</v>
      </c>
      <c r="AE73" s="27">
        <f>IF(D73/Summary!$C$4&gt;100,1,0)*E73</f>
        <v>0</v>
      </c>
      <c r="AF73" s="27">
        <f t="shared" si="62"/>
        <v>0</v>
      </c>
      <c r="AG73" s="19">
        <f t="shared" si="63"/>
        <v>0</v>
      </c>
      <c r="AH73" s="19">
        <f t="shared" si="64"/>
        <v>0</v>
      </c>
      <c r="AI73" s="19">
        <f t="shared" si="65"/>
        <v>0</v>
      </c>
      <c r="AJ73" s="27">
        <f t="shared" si="66"/>
        <v>1</v>
      </c>
      <c r="AK73" s="27">
        <f t="shared" si="67"/>
        <v>1</v>
      </c>
      <c r="AL73" s="27">
        <f t="shared" si="68"/>
        <v>17</v>
      </c>
      <c r="AM73">
        <f t="shared" si="69"/>
        <v>0</v>
      </c>
      <c r="AN73">
        <f t="shared" si="70"/>
        <v>0</v>
      </c>
      <c r="AO73">
        <f t="shared" si="71"/>
        <v>0</v>
      </c>
      <c r="AP73">
        <f t="shared" si="72"/>
        <v>0</v>
      </c>
      <c r="AQ73">
        <f t="shared" si="73"/>
        <v>0</v>
      </c>
      <c r="AR73">
        <f t="shared" si="74"/>
        <v>0</v>
      </c>
      <c r="AS73">
        <f t="shared" si="75"/>
        <v>0</v>
      </c>
      <c r="AT73">
        <f t="shared" si="76"/>
        <v>0</v>
      </c>
      <c r="AU73">
        <f t="shared" si="77"/>
        <v>0</v>
      </c>
      <c r="AV73">
        <f t="shared" si="78"/>
        <v>0</v>
      </c>
      <c r="AW73">
        <f t="shared" si="79"/>
        <v>0</v>
      </c>
      <c r="AX73">
        <f t="shared" si="80"/>
        <v>0</v>
      </c>
      <c r="AY73">
        <f t="shared" si="81"/>
        <v>0</v>
      </c>
      <c r="AZ73">
        <f t="shared" si="82"/>
        <v>0</v>
      </c>
      <c r="BA73">
        <f t="shared" si="83"/>
        <v>0</v>
      </c>
      <c r="BB73">
        <f t="shared" si="84"/>
        <v>0</v>
      </c>
      <c r="BC73">
        <f t="shared" si="85"/>
        <v>0</v>
      </c>
      <c r="BD73">
        <f t="shared" si="86"/>
        <v>0</v>
      </c>
      <c r="BE73">
        <f t="shared" si="87"/>
        <v>0</v>
      </c>
      <c r="BF73">
        <f t="shared" si="88"/>
        <v>0</v>
      </c>
      <c r="BG73">
        <f t="shared" si="89"/>
        <v>0</v>
      </c>
      <c r="BH73">
        <f t="shared" si="90"/>
        <v>0</v>
      </c>
      <c r="BI73">
        <f t="shared" si="91"/>
        <v>0</v>
      </c>
      <c r="BJ73">
        <f t="shared" si="92"/>
        <v>0</v>
      </c>
      <c r="BK73">
        <f t="shared" si="93"/>
        <v>0</v>
      </c>
      <c r="BL73">
        <v>0</v>
      </c>
      <c r="BM73" t="str">
        <f t="shared" si="98"/>
        <v>Big Win</v>
      </c>
      <c r="BN73" s="32" t="str">
        <f t="shared" si="99"/>
        <v>Combo Win</v>
      </c>
      <c r="BO73">
        <f>(D73/Summary!$C$4-Summary!$C$8)^2*E73</f>
        <v>261.46890000000008</v>
      </c>
      <c r="BP73">
        <f t="shared" si="94"/>
        <v>0</v>
      </c>
      <c r="BQ73">
        <f t="shared" si="95"/>
        <v>0</v>
      </c>
      <c r="BR73">
        <f t="shared" si="96"/>
        <v>0</v>
      </c>
      <c r="BS73">
        <f t="shared" si="97"/>
        <v>0</v>
      </c>
    </row>
    <row r="74" spans="2:71">
      <c r="B74" s="16">
        <f>Tiers!B75</f>
        <v>72</v>
      </c>
      <c r="C74" s="17" t="str">
        <f>Tiers!Y75</f>
        <v>main-15|main-9|main-3||||||| x 1</v>
      </c>
      <c r="D74" s="18">
        <f>Tiers!C75</f>
        <v>26</v>
      </c>
      <c r="E74" s="19">
        <f>Frequency!E76</f>
        <v>18</v>
      </c>
      <c r="F74" s="19">
        <f t="shared" si="51"/>
        <v>468</v>
      </c>
      <c r="G74" s="19">
        <f>IF(Tiers!D75&gt;1,'Data Analysis'!E74,0)</f>
        <v>0</v>
      </c>
      <c r="H74" s="19">
        <f t="shared" si="52"/>
        <v>0</v>
      </c>
      <c r="I74" s="19">
        <f>IF(AND(D74/Summary!$C$4&gt;0, D74/Summary!$C$4&lt;5),E74,0) * D74</f>
        <v>0</v>
      </c>
      <c r="J74" s="19">
        <f>IF(AND(D74/Summary!$C$4&gt;= 5, D74/Summary!$C$4&lt;10),E74,0) * D74</f>
        <v>0</v>
      </c>
      <c r="K74" s="19">
        <f>IF(AND(D74/Summary!$C$4&gt;=10, D74/Summary!$C$4&lt;25),E74,0)*D74</f>
        <v>0</v>
      </c>
      <c r="L74" s="19">
        <f>IF(D74/Summary!$C$4&gt;=25,E74,0)*D74</f>
        <v>468</v>
      </c>
      <c r="M74" s="27">
        <f>IF(AND(D74/Summary!$C$4&gt;0, D74/Summary!$C$4&lt;1),E74,0)</f>
        <v>0</v>
      </c>
      <c r="N74" s="27">
        <f t="shared" si="53"/>
        <v>0</v>
      </c>
      <c r="O74" s="27">
        <f>IF(D74/Summary!$C$4=1,1,0)*E74</f>
        <v>0</v>
      </c>
      <c r="P74" s="27">
        <f t="shared" si="54"/>
        <v>0</v>
      </c>
      <c r="Q74" s="27">
        <f>IF(AND(D74/Summary!$C$4&gt;1, D74/Summary!$C$4&lt;=2),1,0)*E74</f>
        <v>0</v>
      </c>
      <c r="R74" s="27">
        <f t="shared" si="55"/>
        <v>0</v>
      </c>
      <c r="S74" s="27">
        <f>IF(AND(D74/Summary!$C$4&gt;2,D74/Summary!$C$4&lt;=5),1,0)*E74</f>
        <v>0</v>
      </c>
      <c r="T74" s="27">
        <f t="shared" si="56"/>
        <v>0</v>
      </c>
      <c r="U74" s="27">
        <f>IF(AND(D74/Summary!$C$4&gt;5, D74/Summary!$C$4&lt;=10),1,0)*E74</f>
        <v>0</v>
      </c>
      <c r="V74" s="27">
        <f t="shared" si="57"/>
        <v>0</v>
      </c>
      <c r="W74" s="27">
        <f>IF(AND(D74/Summary!$C$4&gt;10, D74/Summary!$C$4&lt;=20),1,0)*E74</f>
        <v>0</v>
      </c>
      <c r="X74" s="27">
        <f t="shared" si="58"/>
        <v>0</v>
      </c>
      <c r="Y74" s="27">
        <f>IF(AND(D74/Summary!$C$4&gt;20, D74/Summary!$C$4&lt;=30),1,0)*E74</f>
        <v>18</v>
      </c>
      <c r="Z74" s="27">
        <f t="shared" si="59"/>
        <v>468</v>
      </c>
      <c r="AA74" s="27">
        <f>IF(AND(D74/Summary!$C$4&gt;30, D74/Summary!$C$4&lt;=50),1,0)*E74</f>
        <v>0</v>
      </c>
      <c r="AB74" s="27">
        <f t="shared" si="60"/>
        <v>0</v>
      </c>
      <c r="AC74" s="27">
        <f>IF(AND(D74/Summary!$C$4&gt;50, D74/Summary!$C$4&lt;=100),1,0)*E74</f>
        <v>0</v>
      </c>
      <c r="AD74" s="27">
        <f t="shared" si="61"/>
        <v>0</v>
      </c>
      <c r="AE74" s="27">
        <f>IF(D74/Summary!$C$4&gt;100,1,0)*E74</f>
        <v>0</v>
      </c>
      <c r="AF74" s="27">
        <f t="shared" si="62"/>
        <v>0</v>
      </c>
      <c r="AG74" s="19">
        <f t="shared" si="63"/>
        <v>0</v>
      </c>
      <c r="AH74" s="19">
        <f t="shared" si="64"/>
        <v>0</v>
      </c>
      <c r="AI74" s="19">
        <f t="shared" si="65"/>
        <v>0</v>
      </c>
      <c r="AJ74" s="27">
        <f t="shared" si="66"/>
        <v>1</v>
      </c>
      <c r="AK74" s="27">
        <f t="shared" si="67"/>
        <v>18</v>
      </c>
      <c r="AL74" s="27">
        <f t="shared" si="68"/>
        <v>468</v>
      </c>
      <c r="AM74">
        <f t="shared" si="69"/>
        <v>0</v>
      </c>
      <c r="AN74">
        <f t="shared" si="70"/>
        <v>0</v>
      </c>
      <c r="AO74">
        <f t="shared" si="71"/>
        <v>0</v>
      </c>
      <c r="AP74">
        <f t="shared" si="72"/>
        <v>0</v>
      </c>
      <c r="AQ74">
        <f t="shared" si="73"/>
        <v>0</v>
      </c>
      <c r="AR74">
        <f t="shared" si="74"/>
        <v>0</v>
      </c>
      <c r="AS74">
        <f t="shared" si="75"/>
        <v>0</v>
      </c>
      <c r="AT74">
        <f t="shared" si="76"/>
        <v>0</v>
      </c>
      <c r="AU74">
        <f t="shared" si="77"/>
        <v>0</v>
      </c>
      <c r="AV74">
        <f t="shared" si="78"/>
        <v>0</v>
      </c>
      <c r="AW74">
        <f t="shared" si="79"/>
        <v>0</v>
      </c>
      <c r="AX74">
        <f t="shared" si="80"/>
        <v>0</v>
      </c>
      <c r="AY74">
        <f t="shared" si="81"/>
        <v>0</v>
      </c>
      <c r="AZ74">
        <f t="shared" si="82"/>
        <v>0</v>
      </c>
      <c r="BA74">
        <f t="shared" si="83"/>
        <v>0</v>
      </c>
      <c r="BB74">
        <f t="shared" si="84"/>
        <v>0</v>
      </c>
      <c r="BC74">
        <f t="shared" si="85"/>
        <v>0</v>
      </c>
      <c r="BD74">
        <f t="shared" si="86"/>
        <v>0</v>
      </c>
      <c r="BE74">
        <f t="shared" si="87"/>
        <v>0</v>
      </c>
      <c r="BF74">
        <f t="shared" si="88"/>
        <v>0</v>
      </c>
      <c r="BG74">
        <f t="shared" si="89"/>
        <v>0</v>
      </c>
      <c r="BH74">
        <f t="shared" si="90"/>
        <v>0</v>
      </c>
      <c r="BI74">
        <f t="shared" si="91"/>
        <v>0</v>
      </c>
      <c r="BJ74">
        <f t="shared" si="92"/>
        <v>0</v>
      </c>
      <c r="BK74">
        <f t="shared" si="93"/>
        <v>0</v>
      </c>
      <c r="BL74">
        <v>0</v>
      </c>
      <c r="BM74" t="str">
        <f t="shared" si="98"/>
        <v>Big Win</v>
      </c>
      <c r="BN74" s="32" t="str">
        <f t="shared" si="99"/>
        <v>Combo Win</v>
      </c>
      <c r="BO74">
        <f>(D74/Summary!$C$4-Summary!$C$8)^2*E74</f>
        <v>11403.520200000003</v>
      </c>
      <c r="BP74">
        <f t="shared" si="94"/>
        <v>0</v>
      </c>
      <c r="BQ74">
        <f t="shared" si="95"/>
        <v>0</v>
      </c>
      <c r="BR74">
        <f t="shared" si="96"/>
        <v>0</v>
      </c>
      <c r="BS74">
        <f t="shared" si="97"/>
        <v>0</v>
      </c>
    </row>
    <row r="75" spans="2:71">
      <c r="B75" s="16">
        <f>Tiers!B76</f>
        <v>73</v>
      </c>
      <c r="C75" s="17" t="str">
        <f>Tiers!Y76</f>
        <v>main-31|main-7|main-2||||||| x 1</v>
      </c>
      <c r="D75" s="18">
        <f>Tiers!C76</f>
        <v>8.5</v>
      </c>
      <c r="E75" s="19">
        <f>Frequency!E77</f>
        <v>6</v>
      </c>
      <c r="F75" s="19">
        <f t="shared" si="51"/>
        <v>51</v>
      </c>
      <c r="G75" s="19">
        <f>IF(Tiers!D76&gt;1,'Data Analysis'!E75,0)</f>
        <v>0</v>
      </c>
      <c r="H75" s="19">
        <f t="shared" si="52"/>
        <v>0</v>
      </c>
      <c r="I75" s="19">
        <f>IF(AND(D75/Summary!$C$4&gt;0, D75/Summary!$C$4&lt;5),E75,0) * D75</f>
        <v>0</v>
      </c>
      <c r="J75" s="19">
        <f>IF(AND(D75/Summary!$C$4&gt;= 5, D75/Summary!$C$4&lt;10),E75,0) * D75</f>
        <v>51</v>
      </c>
      <c r="K75" s="19">
        <f>IF(AND(D75/Summary!$C$4&gt;=10, D75/Summary!$C$4&lt;25),E75,0)*D75</f>
        <v>0</v>
      </c>
      <c r="L75" s="19">
        <f>IF(D75/Summary!$C$4&gt;=25,E75,0)*D75</f>
        <v>0</v>
      </c>
      <c r="M75" s="27">
        <f>IF(AND(D75/Summary!$C$4&gt;0, D75/Summary!$C$4&lt;1),E75,0)</f>
        <v>0</v>
      </c>
      <c r="N75" s="27">
        <f t="shared" si="53"/>
        <v>0</v>
      </c>
      <c r="O75" s="27">
        <f>IF(D75/Summary!$C$4=1,1,0)*E75</f>
        <v>0</v>
      </c>
      <c r="P75" s="27">
        <f t="shared" si="54"/>
        <v>0</v>
      </c>
      <c r="Q75" s="27">
        <f>IF(AND(D75/Summary!$C$4&gt;1, D75/Summary!$C$4&lt;=2),1,0)*E75</f>
        <v>0</v>
      </c>
      <c r="R75" s="27">
        <f t="shared" si="55"/>
        <v>0</v>
      </c>
      <c r="S75" s="27">
        <f>IF(AND(D75/Summary!$C$4&gt;2,D75/Summary!$C$4&lt;=5),1,0)*E75</f>
        <v>0</v>
      </c>
      <c r="T75" s="27">
        <f t="shared" si="56"/>
        <v>0</v>
      </c>
      <c r="U75" s="27">
        <f>IF(AND(D75/Summary!$C$4&gt;5, D75/Summary!$C$4&lt;=10),1,0)*E75</f>
        <v>6</v>
      </c>
      <c r="V75" s="27">
        <f t="shared" si="57"/>
        <v>51</v>
      </c>
      <c r="W75" s="27">
        <f>IF(AND(D75/Summary!$C$4&gt;10, D75/Summary!$C$4&lt;=20),1,0)*E75</f>
        <v>0</v>
      </c>
      <c r="X75" s="27">
        <f t="shared" si="58"/>
        <v>0</v>
      </c>
      <c r="Y75" s="27">
        <f>IF(AND(D75/Summary!$C$4&gt;20, D75/Summary!$C$4&lt;=30),1,0)*E75</f>
        <v>0</v>
      </c>
      <c r="Z75" s="27">
        <f t="shared" si="59"/>
        <v>0</v>
      </c>
      <c r="AA75" s="27">
        <f>IF(AND(D75/Summary!$C$4&gt;30, D75/Summary!$C$4&lt;=50),1,0)*E75</f>
        <v>0</v>
      </c>
      <c r="AB75" s="27">
        <f t="shared" si="60"/>
        <v>0</v>
      </c>
      <c r="AC75" s="27">
        <f>IF(AND(D75/Summary!$C$4&gt;50, D75/Summary!$C$4&lt;=100),1,0)*E75</f>
        <v>0</v>
      </c>
      <c r="AD75" s="27">
        <f t="shared" si="61"/>
        <v>0</v>
      </c>
      <c r="AE75" s="27">
        <f>IF(D75/Summary!$C$4&gt;100,1,0)*E75</f>
        <v>0</v>
      </c>
      <c r="AF75" s="27">
        <f t="shared" si="62"/>
        <v>0</v>
      </c>
      <c r="AG75" s="19">
        <f t="shared" si="63"/>
        <v>0</v>
      </c>
      <c r="AH75" s="19">
        <f t="shared" si="64"/>
        <v>0</v>
      </c>
      <c r="AI75" s="19">
        <f t="shared" si="65"/>
        <v>0</v>
      </c>
      <c r="AJ75" s="27">
        <f t="shared" si="66"/>
        <v>1</v>
      </c>
      <c r="AK75" s="27">
        <f t="shared" si="67"/>
        <v>6</v>
      </c>
      <c r="AL75" s="27">
        <f t="shared" si="68"/>
        <v>51</v>
      </c>
      <c r="AM75">
        <f t="shared" si="69"/>
        <v>0</v>
      </c>
      <c r="AN75">
        <f t="shared" si="70"/>
        <v>0</v>
      </c>
      <c r="AO75">
        <f t="shared" si="71"/>
        <v>0</v>
      </c>
      <c r="AP75">
        <f t="shared" si="72"/>
        <v>0</v>
      </c>
      <c r="AQ75">
        <f t="shared" si="73"/>
        <v>0</v>
      </c>
      <c r="AR75">
        <f t="shared" si="74"/>
        <v>0</v>
      </c>
      <c r="AS75">
        <f t="shared" si="75"/>
        <v>0</v>
      </c>
      <c r="AT75">
        <f t="shared" si="76"/>
        <v>0</v>
      </c>
      <c r="AU75">
        <f t="shared" si="77"/>
        <v>0</v>
      </c>
      <c r="AV75">
        <f t="shared" si="78"/>
        <v>0</v>
      </c>
      <c r="AW75">
        <f t="shared" si="79"/>
        <v>0</v>
      </c>
      <c r="AX75">
        <f t="shared" si="80"/>
        <v>0</v>
      </c>
      <c r="AY75">
        <f t="shared" si="81"/>
        <v>0</v>
      </c>
      <c r="AZ75">
        <f t="shared" si="82"/>
        <v>0</v>
      </c>
      <c r="BA75">
        <f t="shared" si="83"/>
        <v>0</v>
      </c>
      <c r="BB75">
        <f t="shared" si="84"/>
        <v>0</v>
      </c>
      <c r="BC75">
        <f t="shared" si="85"/>
        <v>0</v>
      </c>
      <c r="BD75">
        <f t="shared" si="86"/>
        <v>0</v>
      </c>
      <c r="BE75">
        <f t="shared" si="87"/>
        <v>0</v>
      </c>
      <c r="BF75">
        <f t="shared" si="88"/>
        <v>0</v>
      </c>
      <c r="BG75">
        <f t="shared" si="89"/>
        <v>0</v>
      </c>
      <c r="BH75">
        <f t="shared" si="90"/>
        <v>0</v>
      </c>
      <c r="BI75">
        <f t="shared" si="91"/>
        <v>0</v>
      </c>
      <c r="BJ75">
        <f t="shared" si="92"/>
        <v>0</v>
      </c>
      <c r="BK75">
        <f t="shared" si="93"/>
        <v>0</v>
      </c>
      <c r="BL75">
        <v>0</v>
      </c>
      <c r="BM75" t="str">
        <f t="shared" si="98"/>
        <v>Standard Win</v>
      </c>
      <c r="BN75" s="32" t="str">
        <f t="shared" si="99"/>
        <v>Combo Win</v>
      </c>
      <c r="BO75">
        <f>(D75/Summary!$C$4-Summary!$C$8)^2*E75</f>
        <v>352.97339999999997</v>
      </c>
      <c r="BP75">
        <f t="shared" si="94"/>
        <v>0</v>
      </c>
      <c r="BQ75">
        <f t="shared" si="95"/>
        <v>0</v>
      </c>
      <c r="BR75">
        <f t="shared" si="96"/>
        <v>0</v>
      </c>
      <c r="BS75">
        <f t="shared" si="97"/>
        <v>0</v>
      </c>
    </row>
    <row r="76" spans="2:71">
      <c r="B76" s="16">
        <f>Tiers!B77</f>
        <v>74</v>
      </c>
      <c r="C76" s="17" t="str">
        <f>Tiers!Y77</f>
        <v>main-8|main-12|main-5||||||| x 1</v>
      </c>
      <c r="D76" s="18">
        <f>Tiers!C77</f>
        <v>9</v>
      </c>
      <c r="E76" s="19">
        <f>Frequency!E78</f>
        <v>6</v>
      </c>
      <c r="F76" s="19">
        <f t="shared" si="51"/>
        <v>54</v>
      </c>
      <c r="G76" s="19">
        <f>IF(Tiers!D77&gt;1,'Data Analysis'!E76,0)</f>
        <v>0</v>
      </c>
      <c r="H76" s="19">
        <f t="shared" si="52"/>
        <v>0</v>
      </c>
      <c r="I76" s="19">
        <f>IF(AND(D76/Summary!$C$4&gt;0, D76/Summary!$C$4&lt;5),E76,0) * D76</f>
        <v>0</v>
      </c>
      <c r="J76" s="19">
        <f>IF(AND(D76/Summary!$C$4&gt;= 5, D76/Summary!$C$4&lt;10),E76,0) * D76</f>
        <v>54</v>
      </c>
      <c r="K76" s="19">
        <f>IF(AND(D76/Summary!$C$4&gt;=10, D76/Summary!$C$4&lt;25),E76,0)*D76</f>
        <v>0</v>
      </c>
      <c r="L76" s="19">
        <f>IF(D76/Summary!$C$4&gt;=25,E76,0)*D76</f>
        <v>0</v>
      </c>
      <c r="M76" s="27">
        <f>IF(AND(D76/Summary!$C$4&gt;0, D76/Summary!$C$4&lt;1),E76,0)</f>
        <v>0</v>
      </c>
      <c r="N76" s="27">
        <f t="shared" si="53"/>
        <v>0</v>
      </c>
      <c r="O76" s="27">
        <f>IF(D76/Summary!$C$4=1,1,0)*E76</f>
        <v>0</v>
      </c>
      <c r="P76" s="27">
        <f t="shared" si="54"/>
        <v>0</v>
      </c>
      <c r="Q76" s="27">
        <f>IF(AND(D76/Summary!$C$4&gt;1, D76/Summary!$C$4&lt;=2),1,0)*E76</f>
        <v>0</v>
      </c>
      <c r="R76" s="27">
        <f t="shared" si="55"/>
        <v>0</v>
      </c>
      <c r="S76" s="27">
        <f>IF(AND(D76/Summary!$C$4&gt;2,D76/Summary!$C$4&lt;=5),1,0)*E76</f>
        <v>0</v>
      </c>
      <c r="T76" s="27">
        <f t="shared" si="56"/>
        <v>0</v>
      </c>
      <c r="U76" s="27">
        <f>IF(AND(D76/Summary!$C$4&gt;5, D76/Summary!$C$4&lt;=10),1,0)*E76</f>
        <v>6</v>
      </c>
      <c r="V76" s="27">
        <f t="shared" si="57"/>
        <v>54</v>
      </c>
      <c r="W76" s="27">
        <f>IF(AND(D76/Summary!$C$4&gt;10, D76/Summary!$C$4&lt;=20),1,0)*E76</f>
        <v>0</v>
      </c>
      <c r="X76" s="27">
        <f t="shared" si="58"/>
        <v>0</v>
      </c>
      <c r="Y76" s="27">
        <f>IF(AND(D76/Summary!$C$4&gt;20, D76/Summary!$C$4&lt;=30),1,0)*E76</f>
        <v>0</v>
      </c>
      <c r="Z76" s="27">
        <f t="shared" si="59"/>
        <v>0</v>
      </c>
      <c r="AA76" s="27">
        <f>IF(AND(D76/Summary!$C$4&gt;30, D76/Summary!$C$4&lt;=50),1,0)*E76</f>
        <v>0</v>
      </c>
      <c r="AB76" s="27">
        <f t="shared" si="60"/>
        <v>0</v>
      </c>
      <c r="AC76" s="27">
        <f>IF(AND(D76/Summary!$C$4&gt;50, D76/Summary!$C$4&lt;=100),1,0)*E76</f>
        <v>0</v>
      </c>
      <c r="AD76" s="27">
        <f t="shared" si="61"/>
        <v>0</v>
      </c>
      <c r="AE76" s="27">
        <f>IF(D76/Summary!$C$4&gt;100,1,0)*E76</f>
        <v>0</v>
      </c>
      <c r="AF76" s="27">
        <f t="shared" si="62"/>
        <v>0</v>
      </c>
      <c r="AG76" s="19">
        <f t="shared" si="63"/>
        <v>0</v>
      </c>
      <c r="AH76" s="19">
        <f t="shared" si="64"/>
        <v>0</v>
      </c>
      <c r="AI76" s="19">
        <f t="shared" si="65"/>
        <v>0</v>
      </c>
      <c r="AJ76" s="27">
        <f t="shared" si="66"/>
        <v>1</v>
      </c>
      <c r="AK76" s="27">
        <f t="shared" si="67"/>
        <v>6</v>
      </c>
      <c r="AL76" s="27">
        <f t="shared" si="68"/>
        <v>54</v>
      </c>
      <c r="AM76">
        <f t="shared" si="69"/>
        <v>0</v>
      </c>
      <c r="AN76">
        <f t="shared" si="70"/>
        <v>0</v>
      </c>
      <c r="AO76">
        <f t="shared" si="71"/>
        <v>0</v>
      </c>
      <c r="AP76">
        <f t="shared" si="72"/>
        <v>0</v>
      </c>
      <c r="AQ76">
        <f t="shared" si="73"/>
        <v>0</v>
      </c>
      <c r="AR76">
        <f t="shared" si="74"/>
        <v>0</v>
      </c>
      <c r="AS76">
        <f t="shared" si="75"/>
        <v>0</v>
      </c>
      <c r="AT76">
        <f t="shared" si="76"/>
        <v>0</v>
      </c>
      <c r="AU76">
        <f t="shared" si="77"/>
        <v>0</v>
      </c>
      <c r="AV76">
        <f t="shared" si="78"/>
        <v>0</v>
      </c>
      <c r="AW76">
        <f t="shared" si="79"/>
        <v>0</v>
      </c>
      <c r="AX76">
        <f t="shared" si="80"/>
        <v>0</v>
      </c>
      <c r="AY76">
        <f t="shared" si="81"/>
        <v>0</v>
      </c>
      <c r="AZ76">
        <f t="shared" si="82"/>
        <v>0</v>
      </c>
      <c r="BA76">
        <f t="shared" si="83"/>
        <v>0</v>
      </c>
      <c r="BB76">
        <f t="shared" si="84"/>
        <v>0</v>
      </c>
      <c r="BC76">
        <f t="shared" si="85"/>
        <v>0</v>
      </c>
      <c r="BD76">
        <f t="shared" si="86"/>
        <v>0</v>
      </c>
      <c r="BE76">
        <f t="shared" si="87"/>
        <v>0</v>
      </c>
      <c r="BF76">
        <f t="shared" si="88"/>
        <v>0</v>
      </c>
      <c r="BG76">
        <f t="shared" si="89"/>
        <v>0</v>
      </c>
      <c r="BH76">
        <f t="shared" si="90"/>
        <v>0</v>
      </c>
      <c r="BI76">
        <f t="shared" si="91"/>
        <v>0</v>
      </c>
      <c r="BJ76">
        <f t="shared" si="92"/>
        <v>0</v>
      </c>
      <c r="BK76">
        <f t="shared" si="93"/>
        <v>0</v>
      </c>
      <c r="BL76">
        <v>0</v>
      </c>
      <c r="BM76" t="str">
        <f t="shared" si="98"/>
        <v>Standard Win</v>
      </c>
      <c r="BN76" s="32" t="str">
        <f t="shared" si="99"/>
        <v>Combo Win</v>
      </c>
      <c r="BO76">
        <f>(D76/Summary!$C$4-Summary!$C$8)^2*E76</f>
        <v>400.49339999999995</v>
      </c>
      <c r="BP76">
        <f t="shared" si="94"/>
        <v>0</v>
      </c>
      <c r="BQ76">
        <f t="shared" si="95"/>
        <v>0</v>
      </c>
      <c r="BR76">
        <f t="shared" si="96"/>
        <v>0</v>
      </c>
      <c r="BS76">
        <f t="shared" si="97"/>
        <v>0</v>
      </c>
    </row>
    <row r="77" spans="2:71">
      <c r="B77" s="16">
        <f>Tiers!B78</f>
        <v>75</v>
      </c>
      <c r="C77" s="17" t="str">
        <f>Tiers!Y78</f>
        <v>main-30|main-25|main-1||||||| x 1</v>
      </c>
      <c r="D77" s="18">
        <f>Tiers!C78</f>
        <v>22.2</v>
      </c>
      <c r="E77" s="19">
        <f>Frequency!E79</f>
        <v>21</v>
      </c>
      <c r="F77" s="19">
        <f t="shared" si="51"/>
        <v>466.2</v>
      </c>
      <c r="G77" s="19">
        <f>IF(Tiers!D78&gt;1,'Data Analysis'!E77,0)</f>
        <v>0</v>
      </c>
      <c r="H77" s="19">
        <f t="shared" si="52"/>
        <v>0</v>
      </c>
      <c r="I77" s="19">
        <f>IF(AND(D77/Summary!$C$4&gt;0, D77/Summary!$C$4&lt;5),E77,0) * D77</f>
        <v>0</v>
      </c>
      <c r="J77" s="19">
        <f>IF(AND(D77/Summary!$C$4&gt;= 5, D77/Summary!$C$4&lt;10),E77,0) * D77</f>
        <v>0</v>
      </c>
      <c r="K77" s="19">
        <f>IF(AND(D77/Summary!$C$4&gt;=10, D77/Summary!$C$4&lt;25),E77,0)*D77</f>
        <v>466.2</v>
      </c>
      <c r="L77" s="19">
        <f>IF(D77/Summary!$C$4&gt;=25,E77,0)*D77</f>
        <v>0</v>
      </c>
      <c r="M77" s="27">
        <f>IF(AND(D77/Summary!$C$4&gt;0, D77/Summary!$C$4&lt;1),E77,0)</f>
        <v>0</v>
      </c>
      <c r="N77" s="27">
        <f t="shared" si="53"/>
        <v>0</v>
      </c>
      <c r="O77" s="27">
        <f>IF(D77/Summary!$C$4=1,1,0)*E77</f>
        <v>0</v>
      </c>
      <c r="P77" s="27">
        <f t="shared" si="54"/>
        <v>0</v>
      </c>
      <c r="Q77" s="27">
        <f>IF(AND(D77/Summary!$C$4&gt;1, D77/Summary!$C$4&lt;=2),1,0)*E77</f>
        <v>0</v>
      </c>
      <c r="R77" s="27">
        <f t="shared" si="55"/>
        <v>0</v>
      </c>
      <c r="S77" s="27">
        <f>IF(AND(D77/Summary!$C$4&gt;2,D77/Summary!$C$4&lt;=5),1,0)*E77</f>
        <v>0</v>
      </c>
      <c r="T77" s="27">
        <f t="shared" si="56"/>
        <v>0</v>
      </c>
      <c r="U77" s="27">
        <f>IF(AND(D77/Summary!$C$4&gt;5, D77/Summary!$C$4&lt;=10),1,0)*E77</f>
        <v>0</v>
      </c>
      <c r="V77" s="27">
        <f t="shared" si="57"/>
        <v>0</v>
      </c>
      <c r="W77" s="27">
        <f>IF(AND(D77/Summary!$C$4&gt;10, D77/Summary!$C$4&lt;=20),1,0)*E77</f>
        <v>0</v>
      </c>
      <c r="X77" s="27">
        <f t="shared" si="58"/>
        <v>0</v>
      </c>
      <c r="Y77" s="27">
        <f>IF(AND(D77/Summary!$C$4&gt;20, D77/Summary!$C$4&lt;=30),1,0)*E77</f>
        <v>21</v>
      </c>
      <c r="Z77" s="27">
        <f t="shared" si="59"/>
        <v>466.2</v>
      </c>
      <c r="AA77" s="27">
        <f>IF(AND(D77/Summary!$C$4&gt;30, D77/Summary!$C$4&lt;=50),1,0)*E77</f>
        <v>0</v>
      </c>
      <c r="AB77" s="27">
        <f t="shared" si="60"/>
        <v>0</v>
      </c>
      <c r="AC77" s="27">
        <f>IF(AND(D77/Summary!$C$4&gt;50, D77/Summary!$C$4&lt;=100),1,0)*E77</f>
        <v>0</v>
      </c>
      <c r="AD77" s="27">
        <f t="shared" si="61"/>
        <v>0</v>
      </c>
      <c r="AE77" s="27">
        <f>IF(D77/Summary!$C$4&gt;100,1,0)*E77</f>
        <v>0</v>
      </c>
      <c r="AF77" s="27">
        <f t="shared" si="62"/>
        <v>0</v>
      </c>
      <c r="AG77" s="19">
        <f t="shared" si="63"/>
        <v>0</v>
      </c>
      <c r="AH77" s="19">
        <f t="shared" si="64"/>
        <v>0</v>
      </c>
      <c r="AI77" s="19">
        <f t="shared" si="65"/>
        <v>0</v>
      </c>
      <c r="AJ77" s="27">
        <f t="shared" si="66"/>
        <v>1</v>
      </c>
      <c r="AK77" s="27">
        <f t="shared" si="67"/>
        <v>21</v>
      </c>
      <c r="AL77" s="27">
        <f t="shared" si="68"/>
        <v>466.2</v>
      </c>
      <c r="AM77">
        <f t="shared" si="69"/>
        <v>0</v>
      </c>
      <c r="AN77">
        <f t="shared" si="70"/>
        <v>0</v>
      </c>
      <c r="AO77">
        <f t="shared" si="71"/>
        <v>0</v>
      </c>
      <c r="AP77">
        <f t="shared" si="72"/>
        <v>0</v>
      </c>
      <c r="AQ77">
        <f t="shared" si="73"/>
        <v>0</v>
      </c>
      <c r="AR77">
        <f t="shared" si="74"/>
        <v>0</v>
      </c>
      <c r="AS77">
        <f t="shared" si="75"/>
        <v>0</v>
      </c>
      <c r="AT77">
        <f t="shared" si="76"/>
        <v>0</v>
      </c>
      <c r="AU77">
        <f t="shared" si="77"/>
        <v>0</v>
      </c>
      <c r="AV77">
        <f t="shared" si="78"/>
        <v>0</v>
      </c>
      <c r="AW77">
        <f t="shared" si="79"/>
        <v>0</v>
      </c>
      <c r="AX77">
        <f t="shared" si="80"/>
        <v>0</v>
      </c>
      <c r="AY77">
        <f t="shared" si="81"/>
        <v>0</v>
      </c>
      <c r="AZ77">
        <f t="shared" si="82"/>
        <v>0</v>
      </c>
      <c r="BA77">
        <f t="shared" si="83"/>
        <v>0</v>
      </c>
      <c r="BB77">
        <f t="shared" si="84"/>
        <v>0</v>
      </c>
      <c r="BC77">
        <f t="shared" si="85"/>
        <v>0</v>
      </c>
      <c r="BD77">
        <f t="shared" si="86"/>
        <v>0</v>
      </c>
      <c r="BE77">
        <f t="shared" si="87"/>
        <v>0</v>
      </c>
      <c r="BF77">
        <f t="shared" si="88"/>
        <v>0</v>
      </c>
      <c r="BG77">
        <f t="shared" si="89"/>
        <v>0</v>
      </c>
      <c r="BH77">
        <f t="shared" si="90"/>
        <v>0</v>
      </c>
      <c r="BI77">
        <f t="shared" si="91"/>
        <v>0</v>
      </c>
      <c r="BJ77">
        <f t="shared" si="92"/>
        <v>0</v>
      </c>
      <c r="BK77">
        <f t="shared" si="93"/>
        <v>0</v>
      </c>
      <c r="BL77">
        <v>0</v>
      </c>
      <c r="BM77" t="str">
        <f t="shared" si="98"/>
        <v>Big Win</v>
      </c>
      <c r="BN77" s="32" t="str">
        <f t="shared" si="99"/>
        <v>Combo Win</v>
      </c>
      <c r="BO77">
        <f>(D77/Summary!$C$4-Summary!$C$8)^2*E77</f>
        <v>9590.2149000000009</v>
      </c>
      <c r="BP77">
        <f t="shared" si="94"/>
        <v>0</v>
      </c>
      <c r="BQ77">
        <f t="shared" si="95"/>
        <v>0</v>
      </c>
      <c r="BR77">
        <f t="shared" si="96"/>
        <v>0</v>
      </c>
      <c r="BS77">
        <f t="shared" si="97"/>
        <v>0</v>
      </c>
    </row>
    <row r="78" spans="2:71">
      <c r="B78" s="16">
        <f>Tiers!B79</f>
        <v>76</v>
      </c>
      <c r="C78" s="17" t="str">
        <f>Tiers!Y79</f>
        <v>main-4|main-0|main-1|main-1|||||| x 1</v>
      </c>
      <c r="D78" s="18">
        <f>Tiers!C79</f>
        <v>2</v>
      </c>
      <c r="E78" s="19">
        <f>Frequency!E80</f>
        <v>24</v>
      </c>
      <c r="F78" s="19">
        <f t="shared" si="51"/>
        <v>48</v>
      </c>
      <c r="G78" s="19">
        <f>IF(Tiers!D79&gt;1,'Data Analysis'!E78,0)</f>
        <v>0</v>
      </c>
      <c r="H78" s="19">
        <f t="shared" si="52"/>
        <v>0</v>
      </c>
      <c r="I78" s="19">
        <f>IF(AND(D78/Summary!$C$4&gt;0, D78/Summary!$C$4&lt;5),E78,0) * D78</f>
        <v>48</v>
      </c>
      <c r="J78" s="19">
        <f>IF(AND(D78/Summary!$C$4&gt;= 5, D78/Summary!$C$4&lt;10),E78,0) * D78</f>
        <v>0</v>
      </c>
      <c r="K78" s="19">
        <f>IF(AND(D78/Summary!$C$4&gt;=10, D78/Summary!$C$4&lt;25),E78,0)*D78</f>
        <v>0</v>
      </c>
      <c r="L78" s="19">
        <f>IF(D78/Summary!$C$4&gt;=25,E78,0)*D78</f>
        <v>0</v>
      </c>
      <c r="M78" s="27">
        <f>IF(AND(D78/Summary!$C$4&gt;0, D78/Summary!$C$4&lt;1),E78,0)</f>
        <v>0</v>
      </c>
      <c r="N78" s="27">
        <f t="shared" si="53"/>
        <v>0</v>
      </c>
      <c r="O78" s="27">
        <f>IF(D78/Summary!$C$4=1,1,0)*E78</f>
        <v>0</v>
      </c>
      <c r="P78" s="27">
        <f t="shared" si="54"/>
        <v>0</v>
      </c>
      <c r="Q78" s="27">
        <f>IF(AND(D78/Summary!$C$4&gt;1, D78/Summary!$C$4&lt;=2),1,0)*E78</f>
        <v>24</v>
      </c>
      <c r="R78" s="27">
        <f t="shared" si="55"/>
        <v>48</v>
      </c>
      <c r="S78" s="27">
        <f>IF(AND(D78/Summary!$C$4&gt;2,D78/Summary!$C$4&lt;=5),1,0)*E78</f>
        <v>0</v>
      </c>
      <c r="T78" s="27">
        <f t="shared" si="56"/>
        <v>0</v>
      </c>
      <c r="U78" s="27">
        <f>IF(AND(D78/Summary!$C$4&gt;5, D78/Summary!$C$4&lt;=10),1,0)*E78</f>
        <v>0</v>
      </c>
      <c r="V78" s="27">
        <f t="shared" si="57"/>
        <v>0</v>
      </c>
      <c r="W78" s="27">
        <f>IF(AND(D78/Summary!$C$4&gt;10, D78/Summary!$C$4&lt;=20),1,0)*E78</f>
        <v>0</v>
      </c>
      <c r="X78" s="27">
        <f t="shared" si="58"/>
        <v>0</v>
      </c>
      <c r="Y78" s="27">
        <f>IF(AND(D78/Summary!$C$4&gt;20, D78/Summary!$C$4&lt;=30),1,0)*E78</f>
        <v>0</v>
      </c>
      <c r="Z78" s="27">
        <f t="shared" si="59"/>
        <v>0</v>
      </c>
      <c r="AA78" s="27">
        <f>IF(AND(D78/Summary!$C$4&gt;30, D78/Summary!$C$4&lt;=50),1,0)*E78</f>
        <v>0</v>
      </c>
      <c r="AB78" s="27">
        <f t="shared" si="60"/>
        <v>0</v>
      </c>
      <c r="AC78" s="27">
        <f>IF(AND(D78/Summary!$C$4&gt;50, D78/Summary!$C$4&lt;=100),1,0)*E78</f>
        <v>0</v>
      </c>
      <c r="AD78" s="27">
        <f t="shared" si="61"/>
        <v>0</v>
      </c>
      <c r="AE78" s="27">
        <f>IF(D78/Summary!$C$4&gt;100,1,0)*E78</f>
        <v>0</v>
      </c>
      <c r="AF78" s="27">
        <f t="shared" si="62"/>
        <v>0</v>
      </c>
      <c r="AG78" s="19">
        <f t="shared" si="63"/>
        <v>0</v>
      </c>
      <c r="AH78" s="19">
        <f t="shared" si="64"/>
        <v>0</v>
      </c>
      <c r="AI78" s="19">
        <f t="shared" si="65"/>
        <v>0</v>
      </c>
      <c r="AJ78" s="27">
        <f t="shared" si="66"/>
        <v>1</v>
      </c>
      <c r="AK78" s="27">
        <f t="shared" si="67"/>
        <v>24</v>
      </c>
      <c r="AL78" s="27">
        <f t="shared" si="68"/>
        <v>48</v>
      </c>
      <c r="AM78">
        <f t="shared" si="69"/>
        <v>0</v>
      </c>
      <c r="AN78">
        <f t="shared" si="70"/>
        <v>0</v>
      </c>
      <c r="AO78">
        <f t="shared" si="71"/>
        <v>0</v>
      </c>
      <c r="AP78">
        <f t="shared" si="72"/>
        <v>0</v>
      </c>
      <c r="AQ78">
        <f t="shared" si="73"/>
        <v>0</v>
      </c>
      <c r="AR78">
        <f t="shared" si="74"/>
        <v>0</v>
      </c>
      <c r="AS78">
        <f t="shared" si="75"/>
        <v>0</v>
      </c>
      <c r="AT78">
        <f t="shared" si="76"/>
        <v>0</v>
      </c>
      <c r="AU78">
        <f t="shared" si="77"/>
        <v>0</v>
      </c>
      <c r="AV78">
        <f t="shared" si="78"/>
        <v>0</v>
      </c>
      <c r="AW78">
        <f t="shared" si="79"/>
        <v>0</v>
      </c>
      <c r="AX78">
        <f t="shared" si="80"/>
        <v>0</v>
      </c>
      <c r="AY78">
        <f t="shared" si="81"/>
        <v>0</v>
      </c>
      <c r="AZ78">
        <f t="shared" si="82"/>
        <v>0</v>
      </c>
      <c r="BA78">
        <f t="shared" si="83"/>
        <v>0</v>
      </c>
      <c r="BB78">
        <f t="shared" si="84"/>
        <v>0</v>
      </c>
      <c r="BC78">
        <f t="shared" si="85"/>
        <v>0</v>
      </c>
      <c r="BD78">
        <f t="shared" si="86"/>
        <v>0</v>
      </c>
      <c r="BE78">
        <f t="shared" si="87"/>
        <v>0</v>
      </c>
      <c r="BF78">
        <f t="shared" si="88"/>
        <v>0</v>
      </c>
      <c r="BG78">
        <f t="shared" si="89"/>
        <v>0</v>
      </c>
      <c r="BH78">
        <f t="shared" si="90"/>
        <v>0</v>
      </c>
      <c r="BI78">
        <f t="shared" si="91"/>
        <v>0</v>
      </c>
      <c r="BJ78">
        <f t="shared" si="92"/>
        <v>0</v>
      </c>
      <c r="BK78">
        <f t="shared" si="93"/>
        <v>0</v>
      </c>
      <c r="BL78">
        <v>0</v>
      </c>
      <c r="BM78" t="str">
        <f t="shared" si="98"/>
        <v>Standard Win</v>
      </c>
      <c r="BN78" s="32" t="str">
        <f t="shared" si="99"/>
        <v>Combo Win</v>
      </c>
      <c r="BO78">
        <f>(D78/Summary!$C$4-Summary!$C$8)^2*E78</f>
        <v>32.853599999999993</v>
      </c>
      <c r="BP78">
        <f t="shared" si="94"/>
        <v>0</v>
      </c>
      <c r="BQ78">
        <f t="shared" si="95"/>
        <v>0</v>
      </c>
      <c r="BR78">
        <f t="shared" si="96"/>
        <v>0</v>
      </c>
      <c r="BS78">
        <f t="shared" si="97"/>
        <v>0</v>
      </c>
    </row>
    <row r="79" spans="2:71">
      <c r="B79" s="16">
        <f>Tiers!B80</f>
        <v>77</v>
      </c>
      <c r="C79" s="17" t="str">
        <f>Tiers!Y80</f>
        <v>main-3|main-4|main-2|main-21|||||| x 1</v>
      </c>
      <c r="D79" s="18">
        <f>Tiers!C80</f>
        <v>5</v>
      </c>
      <c r="E79" s="19">
        <f>Frequency!E81</f>
        <v>96</v>
      </c>
      <c r="F79" s="19">
        <f t="shared" si="51"/>
        <v>480</v>
      </c>
      <c r="G79" s="19">
        <f>IF(Tiers!D80&gt;1,'Data Analysis'!E79,0)</f>
        <v>0</v>
      </c>
      <c r="H79" s="19">
        <f t="shared" si="52"/>
        <v>0</v>
      </c>
      <c r="I79" s="19">
        <f>IF(AND(D79/Summary!$C$4&gt;0, D79/Summary!$C$4&lt;5),E79,0) * D79</f>
        <v>0</v>
      </c>
      <c r="J79" s="19">
        <f>IF(AND(D79/Summary!$C$4&gt;= 5, D79/Summary!$C$4&lt;10),E79,0) * D79</f>
        <v>480</v>
      </c>
      <c r="K79" s="19">
        <f>IF(AND(D79/Summary!$C$4&gt;=10, D79/Summary!$C$4&lt;25),E79,0)*D79</f>
        <v>0</v>
      </c>
      <c r="L79" s="19">
        <f>IF(D79/Summary!$C$4&gt;=25,E79,0)*D79</f>
        <v>0</v>
      </c>
      <c r="M79" s="27">
        <f>IF(AND(D79/Summary!$C$4&gt;0, D79/Summary!$C$4&lt;1),E79,0)</f>
        <v>0</v>
      </c>
      <c r="N79" s="27">
        <f t="shared" si="53"/>
        <v>0</v>
      </c>
      <c r="O79" s="27">
        <f>IF(D79/Summary!$C$4=1,1,0)*E79</f>
        <v>0</v>
      </c>
      <c r="P79" s="27">
        <f t="shared" si="54"/>
        <v>0</v>
      </c>
      <c r="Q79" s="27">
        <f>IF(AND(D79/Summary!$C$4&gt;1, D79/Summary!$C$4&lt;=2),1,0)*E79</f>
        <v>0</v>
      </c>
      <c r="R79" s="27">
        <f t="shared" si="55"/>
        <v>0</v>
      </c>
      <c r="S79" s="27">
        <f>IF(AND(D79/Summary!$C$4&gt;2,D79/Summary!$C$4&lt;=5),1,0)*E79</f>
        <v>96</v>
      </c>
      <c r="T79" s="27">
        <f t="shared" si="56"/>
        <v>480</v>
      </c>
      <c r="U79" s="27">
        <f>IF(AND(D79/Summary!$C$4&gt;5, D79/Summary!$C$4&lt;=10),1,0)*E79</f>
        <v>0</v>
      </c>
      <c r="V79" s="27">
        <f t="shared" si="57"/>
        <v>0</v>
      </c>
      <c r="W79" s="27">
        <f>IF(AND(D79/Summary!$C$4&gt;10, D79/Summary!$C$4&lt;=20),1,0)*E79</f>
        <v>0</v>
      </c>
      <c r="X79" s="27">
        <f t="shared" si="58"/>
        <v>0</v>
      </c>
      <c r="Y79" s="27">
        <f>IF(AND(D79/Summary!$C$4&gt;20, D79/Summary!$C$4&lt;=30),1,0)*E79</f>
        <v>0</v>
      </c>
      <c r="Z79" s="27">
        <f t="shared" si="59"/>
        <v>0</v>
      </c>
      <c r="AA79" s="27">
        <f>IF(AND(D79/Summary!$C$4&gt;30, D79/Summary!$C$4&lt;=50),1,0)*E79</f>
        <v>0</v>
      </c>
      <c r="AB79" s="27">
        <f t="shared" si="60"/>
        <v>0</v>
      </c>
      <c r="AC79" s="27">
        <f>IF(AND(D79/Summary!$C$4&gt;50, D79/Summary!$C$4&lt;=100),1,0)*E79</f>
        <v>0</v>
      </c>
      <c r="AD79" s="27">
        <f t="shared" si="61"/>
        <v>0</v>
      </c>
      <c r="AE79" s="27">
        <f>IF(D79/Summary!$C$4&gt;100,1,0)*E79</f>
        <v>0</v>
      </c>
      <c r="AF79" s="27">
        <f t="shared" si="62"/>
        <v>0</v>
      </c>
      <c r="AG79" s="19">
        <f t="shared" si="63"/>
        <v>0</v>
      </c>
      <c r="AH79" s="19">
        <f t="shared" si="64"/>
        <v>0</v>
      </c>
      <c r="AI79" s="19">
        <f t="shared" si="65"/>
        <v>0</v>
      </c>
      <c r="AJ79" s="27">
        <f t="shared" si="66"/>
        <v>1</v>
      </c>
      <c r="AK79" s="27">
        <f t="shared" si="67"/>
        <v>96</v>
      </c>
      <c r="AL79" s="27">
        <f t="shared" si="68"/>
        <v>480</v>
      </c>
      <c r="AM79">
        <f t="shared" si="69"/>
        <v>0</v>
      </c>
      <c r="AN79">
        <f t="shared" si="70"/>
        <v>0</v>
      </c>
      <c r="AO79">
        <f t="shared" si="71"/>
        <v>0</v>
      </c>
      <c r="AP79">
        <f t="shared" si="72"/>
        <v>0</v>
      </c>
      <c r="AQ79">
        <f t="shared" si="73"/>
        <v>0</v>
      </c>
      <c r="AR79">
        <f t="shared" si="74"/>
        <v>0</v>
      </c>
      <c r="AS79">
        <f t="shared" si="75"/>
        <v>0</v>
      </c>
      <c r="AT79">
        <f t="shared" si="76"/>
        <v>0</v>
      </c>
      <c r="AU79">
        <f t="shared" si="77"/>
        <v>0</v>
      </c>
      <c r="AV79">
        <f t="shared" si="78"/>
        <v>0</v>
      </c>
      <c r="AW79">
        <f t="shared" si="79"/>
        <v>0</v>
      </c>
      <c r="AX79">
        <f t="shared" si="80"/>
        <v>0</v>
      </c>
      <c r="AY79">
        <f t="shared" si="81"/>
        <v>0</v>
      </c>
      <c r="AZ79">
        <f t="shared" si="82"/>
        <v>0</v>
      </c>
      <c r="BA79">
        <f t="shared" si="83"/>
        <v>0</v>
      </c>
      <c r="BB79">
        <f t="shared" si="84"/>
        <v>0</v>
      </c>
      <c r="BC79">
        <f t="shared" si="85"/>
        <v>0</v>
      </c>
      <c r="BD79">
        <f t="shared" si="86"/>
        <v>0</v>
      </c>
      <c r="BE79">
        <f t="shared" si="87"/>
        <v>0</v>
      </c>
      <c r="BF79">
        <f t="shared" si="88"/>
        <v>0</v>
      </c>
      <c r="BG79">
        <f t="shared" si="89"/>
        <v>0</v>
      </c>
      <c r="BH79">
        <f t="shared" si="90"/>
        <v>0</v>
      </c>
      <c r="BI79">
        <f t="shared" si="91"/>
        <v>0</v>
      </c>
      <c r="BJ79">
        <f t="shared" si="92"/>
        <v>0</v>
      </c>
      <c r="BK79">
        <f t="shared" si="93"/>
        <v>0</v>
      </c>
      <c r="BL79">
        <v>0</v>
      </c>
      <c r="BM79" t="str">
        <f t="shared" si="98"/>
        <v>Standard Win</v>
      </c>
      <c r="BN79" s="32" t="str">
        <f t="shared" si="99"/>
        <v>Combo Win</v>
      </c>
      <c r="BO79">
        <f>(D79/Summary!$C$4-Summary!$C$8)^2*E79</f>
        <v>1669.3344</v>
      </c>
      <c r="BP79">
        <f t="shared" si="94"/>
        <v>0</v>
      </c>
      <c r="BQ79">
        <f t="shared" si="95"/>
        <v>0</v>
      </c>
      <c r="BR79">
        <f t="shared" si="96"/>
        <v>0</v>
      </c>
      <c r="BS79">
        <f t="shared" si="97"/>
        <v>0</v>
      </c>
    </row>
    <row r="80" spans="2:71">
      <c r="B80" s="16">
        <f>Tiers!B81</f>
        <v>78</v>
      </c>
      <c r="C80" s="17" t="str">
        <f>Tiers!Y81</f>
        <v>main-5|main-3|main-5|main-15|||||| x 1</v>
      </c>
      <c r="D80" s="18">
        <f>Tiers!C81</f>
        <v>20</v>
      </c>
      <c r="E80" s="19">
        <f>Frequency!E82</f>
        <v>24</v>
      </c>
      <c r="F80" s="19">
        <f t="shared" si="51"/>
        <v>480</v>
      </c>
      <c r="G80" s="19">
        <f>IF(Tiers!D81&gt;1,'Data Analysis'!E80,0)</f>
        <v>0</v>
      </c>
      <c r="H80" s="19">
        <f t="shared" si="52"/>
        <v>0</v>
      </c>
      <c r="I80" s="19">
        <f>IF(AND(D80/Summary!$C$4&gt;0, D80/Summary!$C$4&lt;5),E80,0) * D80</f>
        <v>0</v>
      </c>
      <c r="J80" s="19">
        <f>IF(AND(D80/Summary!$C$4&gt;= 5, D80/Summary!$C$4&lt;10),E80,0) * D80</f>
        <v>0</v>
      </c>
      <c r="K80" s="19">
        <f>IF(AND(D80/Summary!$C$4&gt;=10, D80/Summary!$C$4&lt;25),E80,0)*D80</f>
        <v>480</v>
      </c>
      <c r="L80" s="19">
        <f>IF(D80/Summary!$C$4&gt;=25,E80,0)*D80</f>
        <v>0</v>
      </c>
      <c r="M80" s="27">
        <f>IF(AND(D80/Summary!$C$4&gt;0, D80/Summary!$C$4&lt;1),E80,0)</f>
        <v>0</v>
      </c>
      <c r="N80" s="27">
        <f t="shared" si="53"/>
        <v>0</v>
      </c>
      <c r="O80" s="27">
        <f>IF(D80/Summary!$C$4=1,1,0)*E80</f>
        <v>0</v>
      </c>
      <c r="P80" s="27">
        <f t="shared" si="54"/>
        <v>0</v>
      </c>
      <c r="Q80" s="27">
        <f>IF(AND(D80/Summary!$C$4&gt;1, D80/Summary!$C$4&lt;=2),1,0)*E80</f>
        <v>0</v>
      </c>
      <c r="R80" s="27">
        <f t="shared" si="55"/>
        <v>0</v>
      </c>
      <c r="S80" s="27">
        <f>IF(AND(D80/Summary!$C$4&gt;2,D80/Summary!$C$4&lt;=5),1,0)*E80</f>
        <v>0</v>
      </c>
      <c r="T80" s="27">
        <f t="shared" si="56"/>
        <v>0</v>
      </c>
      <c r="U80" s="27">
        <f>IF(AND(D80/Summary!$C$4&gt;5, D80/Summary!$C$4&lt;=10),1,0)*E80</f>
        <v>0</v>
      </c>
      <c r="V80" s="27">
        <f t="shared" si="57"/>
        <v>0</v>
      </c>
      <c r="W80" s="27">
        <f>IF(AND(D80/Summary!$C$4&gt;10, D80/Summary!$C$4&lt;=20),1,0)*E80</f>
        <v>24</v>
      </c>
      <c r="X80" s="27">
        <f t="shared" si="58"/>
        <v>480</v>
      </c>
      <c r="Y80" s="27">
        <f>IF(AND(D80/Summary!$C$4&gt;20, D80/Summary!$C$4&lt;=30),1,0)*E80</f>
        <v>0</v>
      </c>
      <c r="Z80" s="27">
        <f t="shared" si="59"/>
        <v>0</v>
      </c>
      <c r="AA80" s="27">
        <f>IF(AND(D80/Summary!$C$4&gt;30, D80/Summary!$C$4&lt;=50),1,0)*E80</f>
        <v>0</v>
      </c>
      <c r="AB80" s="27">
        <f t="shared" si="60"/>
        <v>0</v>
      </c>
      <c r="AC80" s="27">
        <f>IF(AND(D80/Summary!$C$4&gt;50, D80/Summary!$C$4&lt;=100),1,0)*E80</f>
        <v>0</v>
      </c>
      <c r="AD80" s="27">
        <f t="shared" si="61"/>
        <v>0</v>
      </c>
      <c r="AE80" s="27">
        <f>IF(D80/Summary!$C$4&gt;100,1,0)*E80</f>
        <v>0</v>
      </c>
      <c r="AF80" s="27">
        <f t="shared" si="62"/>
        <v>0</v>
      </c>
      <c r="AG80" s="19">
        <f t="shared" si="63"/>
        <v>0</v>
      </c>
      <c r="AH80" s="19">
        <f t="shared" si="64"/>
        <v>0</v>
      </c>
      <c r="AI80" s="19">
        <f t="shared" si="65"/>
        <v>0</v>
      </c>
      <c r="AJ80" s="27">
        <f t="shared" si="66"/>
        <v>1</v>
      </c>
      <c r="AK80" s="27">
        <f t="shared" si="67"/>
        <v>24</v>
      </c>
      <c r="AL80" s="27">
        <f t="shared" si="68"/>
        <v>480</v>
      </c>
      <c r="AM80">
        <f t="shared" si="69"/>
        <v>0</v>
      </c>
      <c r="AN80">
        <f t="shared" si="70"/>
        <v>0</v>
      </c>
      <c r="AO80">
        <f t="shared" si="71"/>
        <v>0</v>
      </c>
      <c r="AP80">
        <f t="shared" si="72"/>
        <v>0</v>
      </c>
      <c r="AQ80">
        <f t="shared" si="73"/>
        <v>0</v>
      </c>
      <c r="AR80">
        <f t="shared" si="74"/>
        <v>0</v>
      </c>
      <c r="AS80">
        <f t="shared" si="75"/>
        <v>0</v>
      </c>
      <c r="AT80">
        <f t="shared" si="76"/>
        <v>0</v>
      </c>
      <c r="AU80">
        <f t="shared" si="77"/>
        <v>0</v>
      </c>
      <c r="AV80">
        <f t="shared" si="78"/>
        <v>0</v>
      </c>
      <c r="AW80">
        <f t="shared" si="79"/>
        <v>0</v>
      </c>
      <c r="AX80">
        <f t="shared" si="80"/>
        <v>0</v>
      </c>
      <c r="AY80">
        <f t="shared" si="81"/>
        <v>0</v>
      </c>
      <c r="AZ80">
        <f t="shared" si="82"/>
        <v>0</v>
      </c>
      <c r="BA80">
        <f t="shared" si="83"/>
        <v>0</v>
      </c>
      <c r="BB80">
        <f t="shared" si="84"/>
        <v>0</v>
      </c>
      <c r="BC80">
        <f t="shared" si="85"/>
        <v>0</v>
      </c>
      <c r="BD80">
        <f t="shared" si="86"/>
        <v>0</v>
      </c>
      <c r="BE80">
        <f t="shared" si="87"/>
        <v>0</v>
      </c>
      <c r="BF80">
        <f t="shared" si="88"/>
        <v>0</v>
      </c>
      <c r="BG80">
        <f t="shared" si="89"/>
        <v>0</v>
      </c>
      <c r="BH80">
        <f t="shared" si="90"/>
        <v>0</v>
      </c>
      <c r="BI80">
        <f t="shared" si="91"/>
        <v>0</v>
      </c>
      <c r="BJ80">
        <f t="shared" si="92"/>
        <v>0</v>
      </c>
      <c r="BK80">
        <f t="shared" si="93"/>
        <v>0</v>
      </c>
      <c r="BL80">
        <v>0</v>
      </c>
      <c r="BM80" t="str">
        <f t="shared" si="98"/>
        <v>Big Win</v>
      </c>
      <c r="BN80" s="32" t="str">
        <f t="shared" si="99"/>
        <v>Combo Win</v>
      </c>
      <c r="BO80">
        <f>(D80/Summary!$C$4-Summary!$C$8)^2*E80</f>
        <v>8819.7336000000014</v>
      </c>
      <c r="BP80">
        <f t="shared" si="94"/>
        <v>0</v>
      </c>
      <c r="BQ80">
        <f t="shared" si="95"/>
        <v>0</v>
      </c>
      <c r="BR80">
        <f t="shared" si="96"/>
        <v>0</v>
      </c>
      <c r="BS80">
        <f t="shared" si="97"/>
        <v>0</v>
      </c>
    </row>
    <row r="81" spans="2:71">
      <c r="B81" s="16">
        <f>Tiers!B82</f>
        <v>79</v>
      </c>
      <c r="C81" s="17" t="str">
        <f>Tiers!Y82</f>
        <v>main-5|main-13|main-25|main-22|||||| x 1</v>
      </c>
      <c r="D81" s="18">
        <f>Tiers!C82</f>
        <v>32</v>
      </c>
      <c r="E81" s="19">
        <f>Frequency!E83</f>
        <v>15</v>
      </c>
      <c r="F81" s="19">
        <f t="shared" si="51"/>
        <v>480</v>
      </c>
      <c r="G81" s="19">
        <f>IF(Tiers!D82&gt;1,'Data Analysis'!E81,0)</f>
        <v>0</v>
      </c>
      <c r="H81" s="19">
        <f t="shared" si="52"/>
        <v>0</v>
      </c>
      <c r="I81" s="19">
        <f>IF(AND(D81/Summary!$C$4&gt;0, D81/Summary!$C$4&lt;5),E81,0) * D81</f>
        <v>0</v>
      </c>
      <c r="J81" s="19">
        <f>IF(AND(D81/Summary!$C$4&gt;= 5, D81/Summary!$C$4&lt;10),E81,0) * D81</f>
        <v>0</v>
      </c>
      <c r="K81" s="19">
        <f>IF(AND(D81/Summary!$C$4&gt;=10, D81/Summary!$C$4&lt;25),E81,0)*D81</f>
        <v>0</v>
      </c>
      <c r="L81" s="19">
        <f>IF(D81/Summary!$C$4&gt;=25,E81,0)*D81</f>
        <v>480</v>
      </c>
      <c r="M81" s="27">
        <f>IF(AND(D81/Summary!$C$4&gt;0, D81/Summary!$C$4&lt;1),E81,0)</f>
        <v>0</v>
      </c>
      <c r="N81" s="27">
        <f t="shared" si="53"/>
        <v>0</v>
      </c>
      <c r="O81" s="27">
        <f>IF(D81/Summary!$C$4=1,1,0)*E81</f>
        <v>0</v>
      </c>
      <c r="P81" s="27">
        <f t="shared" si="54"/>
        <v>0</v>
      </c>
      <c r="Q81" s="27">
        <f>IF(AND(D81/Summary!$C$4&gt;1, D81/Summary!$C$4&lt;=2),1,0)*E81</f>
        <v>0</v>
      </c>
      <c r="R81" s="27">
        <f t="shared" si="55"/>
        <v>0</v>
      </c>
      <c r="S81" s="27">
        <f>IF(AND(D81/Summary!$C$4&gt;2,D81/Summary!$C$4&lt;=5),1,0)*E81</f>
        <v>0</v>
      </c>
      <c r="T81" s="27">
        <f t="shared" si="56"/>
        <v>0</v>
      </c>
      <c r="U81" s="27">
        <f>IF(AND(D81/Summary!$C$4&gt;5, D81/Summary!$C$4&lt;=10),1,0)*E81</f>
        <v>0</v>
      </c>
      <c r="V81" s="27">
        <f t="shared" si="57"/>
        <v>0</v>
      </c>
      <c r="W81" s="27">
        <f>IF(AND(D81/Summary!$C$4&gt;10, D81/Summary!$C$4&lt;=20),1,0)*E81</f>
        <v>0</v>
      </c>
      <c r="X81" s="27">
        <f t="shared" si="58"/>
        <v>0</v>
      </c>
      <c r="Y81" s="27">
        <f>IF(AND(D81/Summary!$C$4&gt;20, D81/Summary!$C$4&lt;=30),1,0)*E81</f>
        <v>0</v>
      </c>
      <c r="Z81" s="27">
        <f t="shared" si="59"/>
        <v>0</v>
      </c>
      <c r="AA81" s="27">
        <f>IF(AND(D81/Summary!$C$4&gt;30, D81/Summary!$C$4&lt;=50),1,0)*E81</f>
        <v>15</v>
      </c>
      <c r="AB81" s="27">
        <f t="shared" si="60"/>
        <v>480</v>
      </c>
      <c r="AC81" s="27">
        <f>IF(AND(D81/Summary!$C$4&gt;50, D81/Summary!$C$4&lt;=100),1,0)*E81</f>
        <v>0</v>
      </c>
      <c r="AD81" s="27">
        <f t="shared" si="61"/>
        <v>0</v>
      </c>
      <c r="AE81" s="27">
        <f>IF(D81/Summary!$C$4&gt;100,1,0)*E81</f>
        <v>0</v>
      </c>
      <c r="AF81" s="27">
        <f t="shared" si="62"/>
        <v>0</v>
      </c>
      <c r="AG81" s="19">
        <f t="shared" si="63"/>
        <v>0</v>
      </c>
      <c r="AH81" s="19">
        <f t="shared" si="64"/>
        <v>0</v>
      </c>
      <c r="AI81" s="19">
        <f t="shared" si="65"/>
        <v>0</v>
      </c>
      <c r="AJ81" s="27">
        <f t="shared" si="66"/>
        <v>1</v>
      </c>
      <c r="AK81" s="27">
        <f t="shared" si="67"/>
        <v>15</v>
      </c>
      <c r="AL81" s="27">
        <f t="shared" si="68"/>
        <v>480</v>
      </c>
      <c r="AM81">
        <f t="shared" si="69"/>
        <v>0</v>
      </c>
      <c r="AN81">
        <f t="shared" si="70"/>
        <v>0</v>
      </c>
      <c r="AO81">
        <f t="shared" si="71"/>
        <v>0</v>
      </c>
      <c r="AP81">
        <f t="shared" si="72"/>
        <v>0</v>
      </c>
      <c r="AQ81">
        <f t="shared" si="73"/>
        <v>0</v>
      </c>
      <c r="AR81">
        <f t="shared" si="74"/>
        <v>0</v>
      </c>
      <c r="AS81">
        <f t="shared" si="75"/>
        <v>0</v>
      </c>
      <c r="AT81">
        <f t="shared" si="76"/>
        <v>0</v>
      </c>
      <c r="AU81">
        <f t="shared" si="77"/>
        <v>0</v>
      </c>
      <c r="AV81">
        <f t="shared" si="78"/>
        <v>0</v>
      </c>
      <c r="AW81">
        <f t="shared" si="79"/>
        <v>0</v>
      </c>
      <c r="AX81">
        <f t="shared" si="80"/>
        <v>0</v>
      </c>
      <c r="AY81">
        <f t="shared" si="81"/>
        <v>0</v>
      </c>
      <c r="AZ81">
        <f t="shared" si="82"/>
        <v>0</v>
      </c>
      <c r="BA81">
        <f t="shared" si="83"/>
        <v>0</v>
      </c>
      <c r="BB81">
        <f t="shared" si="84"/>
        <v>0</v>
      </c>
      <c r="BC81">
        <f t="shared" si="85"/>
        <v>0</v>
      </c>
      <c r="BD81">
        <f t="shared" si="86"/>
        <v>0</v>
      </c>
      <c r="BE81">
        <f t="shared" si="87"/>
        <v>0</v>
      </c>
      <c r="BF81">
        <f t="shared" si="88"/>
        <v>0</v>
      </c>
      <c r="BG81">
        <f t="shared" si="89"/>
        <v>0</v>
      </c>
      <c r="BH81">
        <f t="shared" si="90"/>
        <v>0</v>
      </c>
      <c r="BI81">
        <f t="shared" si="91"/>
        <v>0</v>
      </c>
      <c r="BJ81">
        <f t="shared" si="92"/>
        <v>0</v>
      </c>
      <c r="BK81">
        <f t="shared" si="93"/>
        <v>0</v>
      </c>
      <c r="BL81">
        <v>0</v>
      </c>
      <c r="BM81" t="str">
        <f t="shared" si="98"/>
        <v>Big Win</v>
      </c>
      <c r="BN81" s="32" t="str">
        <f t="shared" si="99"/>
        <v>Combo Win</v>
      </c>
      <c r="BO81">
        <f>(D81/Summary!$C$4-Summary!$C$8)^2*E81</f>
        <v>14573.533500000001</v>
      </c>
      <c r="BP81">
        <f t="shared" si="94"/>
        <v>0</v>
      </c>
      <c r="BQ81">
        <f t="shared" si="95"/>
        <v>0</v>
      </c>
      <c r="BR81">
        <f t="shared" si="96"/>
        <v>0</v>
      </c>
      <c r="BS81">
        <f t="shared" si="97"/>
        <v>0</v>
      </c>
    </row>
    <row r="82" spans="2:71">
      <c r="B82" s="16">
        <f>Tiers!B83</f>
        <v>80</v>
      </c>
      <c r="C82" s="17" t="str">
        <f>Tiers!Y83</f>
        <v>main-22|main-13|main-34|main-25|||||| x 1</v>
      </c>
      <c r="D82" s="18">
        <f>Tiers!C83</f>
        <v>50</v>
      </c>
      <c r="E82" s="19">
        <f>Frequency!E84</f>
        <v>10</v>
      </c>
      <c r="F82" s="19">
        <f t="shared" si="51"/>
        <v>500</v>
      </c>
      <c r="G82" s="19">
        <f>IF(Tiers!D83&gt;1,'Data Analysis'!E82,0)</f>
        <v>0</v>
      </c>
      <c r="H82" s="19">
        <f t="shared" si="52"/>
        <v>0</v>
      </c>
      <c r="I82" s="19">
        <f>IF(AND(D82/Summary!$C$4&gt;0, D82/Summary!$C$4&lt;5),E82,0) * D82</f>
        <v>0</v>
      </c>
      <c r="J82" s="19">
        <f>IF(AND(D82/Summary!$C$4&gt;= 5, D82/Summary!$C$4&lt;10),E82,0) * D82</f>
        <v>0</v>
      </c>
      <c r="K82" s="19">
        <f>IF(AND(D82/Summary!$C$4&gt;=10, D82/Summary!$C$4&lt;25),E82,0)*D82</f>
        <v>0</v>
      </c>
      <c r="L82" s="19">
        <f>IF(D82/Summary!$C$4&gt;=25,E82,0)*D82</f>
        <v>500</v>
      </c>
      <c r="M82" s="27">
        <f>IF(AND(D82/Summary!$C$4&gt;0, D82/Summary!$C$4&lt;1),E82,0)</f>
        <v>0</v>
      </c>
      <c r="N82" s="27">
        <f t="shared" si="53"/>
        <v>0</v>
      </c>
      <c r="O82" s="27">
        <f>IF(D82/Summary!$C$4=1,1,0)*E82</f>
        <v>0</v>
      </c>
      <c r="P82" s="27">
        <f t="shared" si="54"/>
        <v>0</v>
      </c>
      <c r="Q82" s="27">
        <f>IF(AND(D82/Summary!$C$4&gt;1, D82/Summary!$C$4&lt;=2),1,0)*E82</f>
        <v>0</v>
      </c>
      <c r="R82" s="27">
        <f t="shared" si="55"/>
        <v>0</v>
      </c>
      <c r="S82" s="27">
        <f>IF(AND(D82/Summary!$C$4&gt;2,D82/Summary!$C$4&lt;=5),1,0)*E82</f>
        <v>0</v>
      </c>
      <c r="T82" s="27">
        <f t="shared" si="56"/>
        <v>0</v>
      </c>
      <c r="U82" s="27">
        <f>IF(AND(D82/Summary!$C$4&gt;5, D82/Summary!$C$4&lt;=10),1,0)*E82</f>
        <v>0</v>
      </c>
      <c r="V82" s="27">
        <f t="shared" si="57"/>
        <v>0</v>
      </c>
      <c r="W82" s="27">
        <f>IF(AND(D82/Summary!$C$4&gt;10, D82/Summary!$C$4&lt;=20),1,0)*E82</f>
        <v>0</v>
      </c>
      <c r="X82" s="27">
        <f t="shared" si="58"/>
        <v>0</v>
      </c>
      <c r="Y82" s="27">
        <f>IF(AND(D82/Summary!$C$4&gt;20, D82/Summary!$C$4&lt;=30),1,0)*E82</f>
        <v>0</v>
      </c>
      <c r="Z82" s="27">
        <f t="shared" si="59"/>
        <v>0</v>
      </c>
      <c r="AA82" s="27">
        <f>IF(AND(D82/Summary!$C$4&gt;30, D82/Summary!$C$4&lt;=50),1,0)*E82</f>
        <v>10</v>
      </c>
      <c r="AB82" s="27">
        <f t="shared" si="60"/>
        <v>500</v>
      </c>
      <c r="AC82" s="27">
        <f>IF(AND(D82/Summary!$C$4&gt;50, D82/Summary!$C$4&lt;=100),1,0)*E82</f>
        <v>0</v>
      </c>
      <c r="AD82" s="27">
        <f t="shared" si="61"/>
        <v>0</v>
      </c>
      <c r="AE82" s="27">
        <f>IF(D82/Summary!$C$4&gt;100,1,0)*E82</f>
        <v>0</v>
      </c>
      <c r="AF82" s="27">
        <f t="shared" si="62"/>
        <v>0</v>
      </c>
      <c r="AG82" s="19">
        <f t="shared" si="63"/>
        <v>0</v>
      </c>
      <c r="AH82" s="19">
        <f t="shared" si="64"/>
        <v>0</v>
      </c>
      <c r="AI82" s="19">
        <f t="shared" si="65"/>
        <v>0</v>
      </c>
      <c r="AJ82" s="27">
        <f t="shared" si="66"/>
        <v>1</v>
      </c>
      <c r="AK82" s="27">
        <f t="shared" si="67"/>
        <v>10</v>
      </c>
      <c r="AL82" s="27">
        <f t="shared" si="68"/>
        <v>500</v>
      </c>
      <c r="AM82">
        <f t="shared" si="69"/>
        <v>0</v>
      </c>
      <c r="AN82">
        <f t="shared" si="70"/>
        <v>0</v>
      </c>
      <c r="AO82">
        <f t="shared" si="71"/>
        <v>0</v>
      </c>
      <c r="AP82">
        <f t="shared" si="72"/>
        <v>0</v>
      </c>
      <c r="AQ82">
        <f t="shared" si="73"/>
        <v>0</v>
      </c>
      <c r="AR82">
        <f t="shared" si="74"/>
        <v>0</v>
      </c>
      <c r="AS82">
        <f t="shared" si="75"/>
        <v>0</v>
      </c>
      <c r="AT82">
        <f t="shared" si="76"/>
        <v>0</v>
      </c>
      <c r="AU82">
        <f t="shared" si="77"/>
        <v>0</v>
      </c>
      <c r="AV82">
        <f t="shared" si="78"/>
        <v>0</v>
      </c>
      <c r="AW82">
        <f t="shared" si="79"/>
        <v>0</v>
      </c>
      <c r="AX82">
        <f t="shared" si="80"/>
        <v>0</v>
      </c>
      <c r="AY82">
        <f t="shared" si="81"/>
        <v>0</v>
      </c>
      <c r="AZ82">
        <f t="shared" si="82"/>
        <v>0</v>
      </c>
      <c r="BA82">
        <f t="shared" si="83"/>
        <v>0</v>
      </c>
      <c r="BB82">
        <f t="shared" si="84"/>
        <v>0</v>
      </c>
      <c r="BC82">
        <f t="shared" si="85"/>
        <v>0</v>
      </c>
      <c r="BD82">
        <f t="shared" si="86"/>
        <v>0</v>
      </c>
      <c r="BE82">
        <f t="shared" si="87"/>
        <v>0</v>
      </c>
      <c r="BF82">
        <f t="shared" si="88"/>
        <v>0</v>
      </c>
      <c r="BG82">
        <f t="shared" si="89"/>
        <v>0</v>
      </c>
      <c r="BH82">
        <f t="shared" si="90"/>
        <v>0</v>
      </c>
      <c r="BI82">
        <f t="shared" si="91"/>
        <v>0</v>
      </c>
      <c r="BJ82">
        <f t="shared" si="92"/>
        <v>0</v>
      </c>
      <c r="BK82">
        <f t="shared" si="93"/>
        <v>0</v>
      </c>
      <c r="BL82">
        <v>0</v>
      </c>
      <c r="BM82" t="str">
        <f t="shared" si="98"/>
        <v>Huge Win</v>
      </c>
      <c r="BN82" s="32" t="str">
        <f t="shared" si="99"/>
        <v>Combo Win</v>
      </c>
      <c r="BO82">
        <f>(D82/Summary!$C$4-Summary!$C$8)^2*E82</f>
        <v>24176.889000000003</v>
      </c>
      <c r="BP82">
        <f t="shared" si="94"/>
        <v>0</v>
      </c>
      <c r="BQ82">
        <f t="shared" si="95"/>
        <v>0</v>
      </c>
      <c r="BR82">
        <f t="shared" si="96"/>
        <v>0</v>
      </c>
      <c r="BS82">
        <f t="shared" si="97"/>
        <v>0</v>
      </c>
    </row>
    <row r="83" spans="2:71">
      <c r="B83" s="16">
        <f>Tiers!B84</f>
        <v>81</v>
      </c>
      <c r="C83" s="17" t="str">
        <f>Tiers!Y84</f>
        <v>main-3|main-12|main-3|main-2|||||| x 1</v>
      </c>
      <c r="D83" s="18">
        <f>Tiers!C84</f>
        <v>4.5</v>
      </c>
      <c r="E83" s="19">
        <f>Frequency!E85</f>
        <v>10</v>
      </c>
      <c r="F83" s="19">
        <f t="shared" si="51"/>
        <v>45</v>
      </c>
      <c r="G83" s="19">
        <f>IF(Tiers!D84&gt;1,'Data Analysis'!E83,0)</f>
        <v>0</v>
      </c>
      <c r="H83" s="19">
        <f t="shared" si="52"/>
        <v>0</v>
      </c>
      <c r="I83" s="19">
        <f>IF(AND(D83/Summary!$C$4&gt;0, D83/Summary!$C$4&lt;5),E83,0) * D83</f>
        <v>45</v>
      </c>
      <c r="J83" s="19">
        <f>IF(AND(D83/Summary!$C$4&gt;= 5, D83/Summary!$C$4&lt;10),E83,0) * D83</f>
        <v>0</v>
      </c>
      <c r="K83" s="19">
        <f>IF(AND(D83/Summary!$C$4&gt;=10, D83/Summary!$C$4&lt;25),E83,0)*D83</f>
        <v>0</v>
      </c>
      <c r="L83" s="19">
        <f>IF(D83/Summary!$C$4&gt;=25,E83,0)*D83</f>
        <v>0</v>
      </c>
      <c r="M83" s="27">
        <f>IF(AND(D83/Summary!$C$4&gt;0, D83/Summary!$C$4&lt;1),E83,0)</f>
        <v>0</v>
      </c>
      <c r="N83" s="27">
        <f t="shared" si="53"/>
        <v>0</v>
      </c>
      <c r="O83" s="27">
        <f>IF(D83/Summary!$C$4=1,1,0)*E83</f>
        <v>0</v>
      </c>
      <c r="P83" s="27">
        <f t="shared" si="54"/>
        <v>0</v>
      </c>
      <c r="Q83" s="27">
        <f>IF(AND(D83/Summary!$C$4&gt;1, D83/Summary!$C$4&lt;=2),1,0)*E83</f>
        <v>0</v>
      </c>
      <c r="R83" s="27">
        <f t="shared" si="55"/>
        <v>0</v>
      </c>
      <c r="S83" s="27">
        <f>IF(AND(D83/Summary!$C$4&gt;2,D83/Summary!$C$4&lt;=5),1,0)*E83</f>
        <v>10</v>
      </c>
      <c r="T83" s="27">
        <f t="shared" si="56"/>
        <v>45</v>
      </c>
      <c r="U83" s="27">
        <f>IF(AND(D83/Summary!$C$4&gt;5, D83/Summary!$C$4&lt;=10),1,0)*E83</f>
        <v>0</v>
      </c>
      <c r="V83" s="27">
        <f t="shared" si="57"/>
        <v>0</v>
      </c>
      <c r="W83" s="27">
        <f>IF(AND(D83/Summary!$C$4&gt;10, D83/Summary!$C$4&lt;=20),1,0)*E83</f>
        <v>0</v>
      </c>
      <c r="X83" s="27">
        <f t="shared" si="58"/>
        <v>0</v>
      </c>
      <c r="Y83" s="27">
        <f>IF(AND(D83/Summary!$C$4&gt;20, D83/Summary!$C$4&lt;=30),1,0)*E83</f>
        <v>0</v>
      </c>
      <c r="Z83" s="27">
        <f t="shared" si="59"/>
        <v>0</v>
      </c>
      <c r="AA83" s="27">
        <f>IF(AND(D83/Summary!$C$4&gt;30, D83/Summary!$C$4&lt;=50),1,0)*E83</f>
        <v>0</v>
      </c>
      <c r="AB83" s="27">
        <f t="shared" si="60"/>
        <v>0</v>
      </c>
      <c r="AC83" s="27">
        <f>IF(AND(D83/Summary!$C$4&gt;50, D83/Summary!$C$4&lt;=100),1,0)*E83</f>
        <v>0</v>
      </c>
      <c r="AD83" s="27">
        <f t="shared" si="61"/>
        <v>0</v>
      </c>
      <c r="AE83" s="27">
        <f>IF(D83/Summary!$C$4&gt;100,1,0)*E83</f>
        <v>0</v>
      </c>
      <c r="AF83" s="27">
        <f t="shared" si="62"/>
        <v>0</v>
      </c>
      <c r="AG83" s="19">
        <f t="shared" si="63"/>
        <v>0</v>
      </c>
      <c r="AH83" s="19">
        <f t="shared" si="64"/>
        <v>0</v>
      </c>
      <c r="AI83" s="19">
        <f t="shared" si="65"/>
        <v>0</v>
      </c>
      <c r="AJ83" s="27">
        <f t="shared" si="66"/>
        <v>1</v>
      </c>
      <c r="AK83" s="27">
        <f t="shared" si="67"/>
        <v>10</v>
      </c>
      <c r="AL83" s="27">
        <f t="shared" si="68"/>
        <v>45</v>
      </c>
      <c r="AM83">
        <f t="shared" si="69"/>
        <v>0</v>
      </c>
      <c r="AN83">
        <f t="shared" si="70"/>
        <v>0</v>
      </c>
      <c r="AO83">
        <f t="shared" si="71"/>
        <v>0</v>
      </c>
      <c r="AP83">
        <f t="shared" si="72"/>
        <v>0</v>
      </c>
      <c r="AQ83">
        <f t="shared" si="73"/>
        <v>0</v>
      </c>
      <c r="AR83">
        <f t="shared" si="74"/>
        <v>0</v>
      </c>
      <c r="AS83">
        <f t="shared" si="75"/>
        <v>0</v>
      </c>
      <c r="AT83">
        <f t="shared" si="76"/>
        <v>0</v>
      </c>
      <c r="AU83">
        <f t="shared" si="77"/>
        <v>0</v>
      </c>
      <c r="AV83">
        <f t="shared" si="78"/>
        <v>0</v>
      </c>
      <c r="AW83">
        <f t="shared" si="79"/>
        <v>0</v>
      </c>
      <c r="AX83">
        <f t="shared" si="80"/>
        <v>0</v>
      </c>
      <c r="AY83">
        <f t="shared" si="81"/>
        <v>0</v>
      </c>
      <c r="AZ83">
        <f t="shared" si="82"/>
        <v>0</v>
      </c>
      <c r="BA83">
        <f t="shared" si="83"/>
        <v>0</v>
      </c>
      <c r="BB83">
        <f t="shared" si="84"/>
        <v>0</v>
      </c>
      <c r="BC83">
        <f t="shared" si="85"/>
        <v>0</v>
      </c>
      <c r="BD83">
        <f t="shared" si="86"/>
        <v>0</v>
      </c>
      <c r="BE83">
        <f t="shared" si="87"/>
        <v>0</v>
      </c>
      <c r="BF83">
        <f t="shared" si="88"/>
        <v>0</v>
      </c>
      <c r="BG83">
        <f t="shared" si="89"/>
        <v>0</v>
      </c>
      <c r="BH83">
        <f t="shared" si="90"/>
        <v>0</v>
      </c>
      <c r="BI83">
        <f t="shared" si="91"/>
        <v>0</v>
      </c>
      <c r="BJ83">
        <f t="shared" si="92"/>
        <v>0</v>
      </c>
      <c r="BK83">
        <f t="shared" si="93"/>
        <v>0</v>
      </c>
      <c r="BL83">
        <v>0</v>
      </c>
      <c r="BM83" t="str">
        <f t="shared" si="98"/>
        <v>Standard Win</v>
      </c>
      <c r="BN83" s="32" t="str">
        <f t="shared" si="99"/>
        <v>Combo Win</v>
      </c>
      <c r="BO83">
        <f>(D83/Summary!$C$4-Summary!$C$8)^2*E83</f>
        <v>134.68899999999999</v>
      </c>
      <c r="BP83">
        <f t="shared" si="94"/>
        <v>0</v>
      </c>
      <c r="BQ83">
        <f t="shared" si="95"/>
        <v>0</v>
      </c>
      <c r="BR83">
        <f t="shared" si="96"/>
        <v>0</v>
      </c>
      <c r="BS83">
        <f t="shared" si="97"/>
        <v>0</v>
      </c>
    </row>
    <row r="84" spans="2:71">
      <c r="B84" s="16">
        <f>Tiers!B85</f>
        <v>82</v>
      </c>
      <c r="C84" s="17" t="str">
        <f>Tiers!Y85</f>
        <v>main-8|main-5|main-12|main-3|||||| x 1</v>
      </c>
      <c r="D84" s="18">
        <f>Tiers!C85</f>
        <v>10</v>
      </c>
      <c r="E84" s="19">
        <f>Frequency!E86</f>
        <v>18</v>
      </c>
      <c r="F84" s="19">
        <f t="shared" si="51"/>
        <v>180</v>
      </c>
      <c r="G84" s="19">
        <f>IF(Tiers!D85&gt;1,'Data Analysis'!E84,0)</f>
        <v>0</v>
      </c>
      <c r="H84" s="19">
        <f t="shared" si="52"/>
        <v>0</v>
      </c>
      <c r="I84" s="19">
        <f>IF(AND(D84/Summary!$C$4&gt;0, D84/Summary!$C$4&lt;5),E84,0) * D84</f>
        <v>0</v>
      </c>
      <c r="J84" s="19">
        <f>IF(AND(D84/Summary!$C$4&gt;= 5, D84/Summary!$C$4&lt;10),E84,0) * D84</f>
        <v>0</v>
      </c>
      <c r="K84" s="19">
        <f>IF(AND(D84/Summary!$C$4&gt;=10, D84/Summary!$C$4&lt;25),E84,0)*D84</f>
        <v>180</v>
      </c>
      <c r="L84" s="19">
        <f>IF(D84/Summary!$C$4&gt;=25,E84,0)*D84</f>
        <v>0</v>
      </c>
      <c r="M84" s="27">
        <f>IF(AND(D84/Summary!$C$4&gt;0, D84/Summary!$C$4&lt;1),E84,0)</f>
        <v>0</v>
      </c>
      <c r="N84" s="27">
        <f t="shared" si="53"/>
        <v>0</v>
      </c>
      <c r="O84" s="27">
        <f>IF(D84/Summary!$C$4=1,1,0)*E84</f>
        <v>0</v>
      </c>
      <c r="P84" s="27">
        <f t="shared" si="54"/>
        <v>0</v>
      </c>
      <c r="Q84" s="27">
        <f>IF(AND(D84/Summary!$C$4&gt;1, D84/Summary!$C$4&lt;=2),1,0)*E84</f>
        <v>0</v>
      </c>
      <c r="R84" s="27">
        <f t="shared" si="55"/>
        <v>0</v>
      </c>
      <c r="S84" s="27">
        <f>IF(AND(D84/Summary!$C$4&gt;2,D84/Summary!$C$4&lt;=5),1,0)*E84</f>
        <v>0</v>
      </c>
      <c r="T84" s="27">
        <f t="shared" si="56"/>
        <v>0</v>
      </c>
      <c r="U84" s="27">
        <f>IF(AND(D84/Summary!$C$4&gt;5, D84/Summary!$C$4&lt;=10),1,0)*E84</f>
        <v>18</v>
      </c>
      <c r="V84" s="27">
        <f t="shared" si="57"/>
        <v>180</v>
      </c>
      <c r="W84" s="27">
        <f>IF(AND(D84/Summary!$C$4&gt;10, D84/Summary!$C$4&lt;=20),1,0)*E84</f>
        <v>0</v>
      </c>
      <c r="X84" s="27">
        <f t="shared" si="58"/>
        <v>0</v>
      </c>
      <c r="Y84" s="27">
        <f>IF(AND(D84/Summary!$C$4&gt;20, D84/Summary!$C$4&lt;=30),1,0)*E84</f>
        <v>0</v>
      </c>
      <c r="Z84" s="27">
        <f t="shared" si="59"/>
        <v>0</v>
      </c>
      <c r="AA84" s="27">
        <f>IF(AND(D84/Summary!$C$4&gt;30, D84/Summary!$C$4&lt;=50),1,0)*E84</f>
        <v>0</v>
      </c>
      <c r="AB84" s="27">
        <f t="shared" si="60"/>
        <v>0</v>
      </c>
      <c r="AC84" s="27">
        <f>IF(AND(D84/Summary!$C$4&gt;50, D84/Summary!$C$4&lt;=100),1,0)*E84</f>
        <v>0</v>
      </c>
      <c r="AD84" s="27">
        <f t="shared" si="61"/>
        <v>0</v>
      </c>
      <c r="AE84" s="27">
        <f>IF(D84/Summary!$C$4&gt;100,1,0)*E84</f>
        <v>0</v>
      </c>
      <c r="AF84" s="27">
        <f t="shared" si="62"/>
        <v>0</v>
      </c>
      <c r="AG84" s="19">
        <f t="shared" si="63"/>
        <v>0</v>
      </c>
      <c r="AH84" s="19">
        <f t="shared" si="64"/>
        <v>0</v>
      </c>
      <c r="AI84" s="19">
        <f t="shared" si="65"/>
        <v>0</v>
      </c>
      <c r="AJ84" s="27">
        <f t="shared" si="66"/>
        <v>1</v>
      </c>
      <c r="AK84" s="27">
        <f t="shared" si="67"/>
        <v>18</v>
      </c>
      <c r="AL84" s="27">
        <f t="shared" si="68"/>
        <v>180</v>
      </c>
      <c r="AM84">
        <f t="shared" si="69"/>
        <v>0</v>
      </c>
      <c r="AN84">
        <f t="shared" si="70"/>
        <v>0</v>
      </c>
      <c r="AO84">
        <f t="shared" si="71"/>
        <v>0</v>
      </c>
      <c r="AP84">
        <f t="shared" si="72"/>
        <v>0</v>
      </c>
      <c r="AQ84">
        <f t="shared" si="73"/>
        <v>0</v>
      </c>
      <c r="AR84">
        <f t="shared" si="74"/>
        <v>0</v>
      </c>
      <c r="AS84">
        <f t="shared" si="75"/>
        <v>0</v>
      </c>
      <c r="AT84">
        <f t="shared" si="76"/>
        <v>0</v>
      </c>
      <c r="AU84">
        <f t="shared" si="77"/>
        <v>0</v>
      </c>
      <c r="AV84">
        <f t="shared" si="78"/>
        <v>0</v>
      </c>
      <c r="AW84">
        <f t="shared" si="79"/>
        <v>0</v>
      </c>
      <c r="AX84">
        <f t="shared" si="80"/>
        <v>0</v>
      </c>
      <c r="AY84">
        <f t="shared" si="81"/>
        <v>0</v>
      </c>
      <c r="AZ84">
        <f t="shared" si="82"/>
        <v>0</v>
      </c>
      <c r="BA84">
        <f t="shared" si="83"/>
        <v>0</v>
      </c>
      <c r="BB84">
        <f t="shared" si="84"/>
        <v>0</v>
      </c>
      <c r="BC84">
        <f t="shared" si="85"/>
        <v>0</v>
      </c>
      <c r="BD84">
        <f t="shared" si="86"/>
        <v>0</v>
      </c>
      <c r="BE84">
        <f t="shared" si="87"/>
        <v>0</v>
      </c>
      <c r="BF84">
        <f t="shared" si="88"/>
        <v>0</v>
      </c>
      <c r="BG84">
        <f t="shared" si="89"/>
        <v>0</v>
      </c>
      <c r="BH84">
        <f t="shared" si="90"/>
        <v>0</v>
      </c>
      <c r="BI84">
        <f t="shared" si="91"/>
        <v>0</v>
      </c>
      <c r="BJ84">
        <f t="shared" si="92"/>
        <v>0</v>
      </c>
      <c r="BK84">
        <f t="shared" si="93"/>
        <v>0</v>
      </c>
      <c r="BL84">
        <v>0</v>
      </c>
      <c r="BM84" t="str">
        <f t="shared" si="98"/>
        <v>Big Win</v>
      </c>
      <c r="BN84" s="32" t="str">
        <f t="shared" si="99"/>
        <v>Combo Win</v>
      </c>
      <c r="BO84">
        <f>(D84/Summary!$C$4-Summary!$C$8)^2*E84</f>
        <v>1513.6001999999999</v>
      </c>
      <c r="BP84">
        <f t="shared" si="94"/>
        <v>0</v>
      </c>
      <c r="BQ84">
        <f t="shared" si="95"/>
        <v>0</v>
      </c>
      <c r="BR84">
        <f t="shared" si="96"/>
        <v>0</v>
      </c>
      <c r="BS84">
        <f t="shared" si="97"/>
        <v>0</v>
      </c>
    </row>
    <row r="85" spans="2:71">
      <c r="B85" s="16">
        <f>Tiers!B86</f>
        <v>83</v>
      </c>
      <c r="C85" s="17" t="str">
        <f>Tiers!Y86</f>
        <v>main-9|main-4|main-11|main-15|||||| x 1</v>
      </c>
      <c r="D85" s="18">
        <f>Tiers!C86</f>
        <v>28</v>
      </c>
      <c r="E85" s="19">
        <f>Frequency!E87</f>
        <v>17</v>
      </c>
      <c r="F85" s="19">
        <f t="shared" si="51"/>
        <v>476</v>
      </c>
      <c r="G85" s="19">
        <f>IF(Tiers!D86&gt;1,'Data Analysis'!E85,0)</f>
        <v>0</v>
      </c>
      <c r="H85" s="19">
        <f t="shared" si="52"/>
        <v>0</v>
      </c>
      <c r="I85" s="19">
        <f>IF(AND(D85/Summary!$C$4&gt;0, D85/Summary!$C$4&lt;5),E85,0) * D85</f>
        <v>0</v>
      </c>
      <c r="J85" s="19">
        <f>IF(AND(D85/Summary!$C$4&gt;= 5, D85/Summary!$C$4&lt;10),E85,0) * D85</f>
        <v>0</v>
      </c>
      <c r="K85" s="19">
        <f>IF(AND(D85/Summary!$C$4&gt;=10, D85/Summary!$C$4&lt;25),E85,0)*D85</f>
        <v>0</v>
      </c>
      <c r="L85" s="19">
        <f>IF(D85/Summary!$C$4&gt;=25,E85,0)*D85</f>
        <v>476</v>
      </c>
      <c r="M85" s="27">
        <f>IF(AND(D85/Summary!$C$4&gt;0, D85/Summary!$C$4&lt;1),E85,0)</f>
        <v>0</v>
      </c>
      <c r="N85" s="27">
        <f t="shared" si="53"/>
        <v>0</v>
      </c>
      <c r="O85" s="27">
        <f>IF(D85/Summary!$C$4=1,1,0)*E85</f>
        <v>0</v>
      </c>
      <c r="P85" s="27">
        <f t="shared" si="54"/>
        <v>0</v>
      </c>
      <c r="Q85" s="27">
        <f>IF(AND(D85/Summary!$C$4&gt;1, D85/Summary!$C$4&lt;=2),1,0)*E85</f>
        <v>0</v>
      </c>
      <c r="R85" s="27">
        <f t="shared" si="55"/>
        <v>0</v>
      </c>
      <c r="S85" s="27">
        <f>IF(AND(D85/Summary!$C$4&gt;2,D85/Summary!$C$4&lt;=5),1,0)*E85</f>
        <v>0</v>
      </c>
      <c r="T85" s="27">
        <f t="shared" si="56"/>
        <v>0</v>
      </c>
      <c r="U85" s="27">
        <f>IF(AND(D85/Summary!$C$4&gt;5, D85/Summary!$C$4&lt;=10),1,0)*E85</f>
        <v>0</v>
      </c>
      <c r="V85" s="27">
        <f t="shared" si="57"/>
        <v>0</v>
      </c>
      <c r="W85" s="27">
        <f>IF(AND(D85/Summary!$C$4&gt;10, D85/Summary!$C$4&lt;=20),1,0)*E85</f>
        <v>0</v>
      </c>
      <c r="X85" s="27">
        <f t="shared" si="58"/>
        <v>0</v>
      </c>
      <c r="Y85" s="27">
        <f>IF(AND(D85/Summary!$C$4&gt;20, D85/Summary!$C$4&lt;=30),1,0)*E85</f>
        <v>17</v>
      </c>
      <c r="Z85" s="27">
        <f t="shared" si="59"/>
        <v>476</v>
      </c>
      <c r="AA85" s="27">
        <f>IF(AND(D85/Summary!$C$4&gt;30, D85/Summary!$C$4&lt;=50),1,0)*E85</f>
        <v>0</v>
      </c>
      <c r="AB85" s="27">
        <f t="shared" si="60"/>
        <v>0</v>
      </c>
      <c r="AC85" s="27">
        <f>IF(AND(D85/Summary!$C$4&gt;50, D85/Summary!$C$4&lt;=100),1,0)*E85</f>
        <v>0</v>
      </c>
      <c r="AD85" s="27">
        <f t="shared" si="61"/>
        <v>0</v>
      </c>
      <c r="AE85" s="27">
        <f>IF(D85/Summary!$C$4&gt;100,1,0)*E85</f>
        <v>0</v>
      </c>
      <c r="AF85" s="27">
        <f t="shared" si="62"/>
        <v>0</v>
      </c>
      <c r="AG85" s="19">
        <f t="shared" si="63"/>
        <v>0</v>
      </c>
      <c r="AH85" s="19">
        <f t="shared" si="64"/>
        <v>0</v>
      </c>
      <c r="AI85" s="19">
        <f t="shared" si="65"/>
        <v>0</v>
      </c>
      <c r="AJ85" s="27">
        <f t="shared" si="66"/>
        <v>1</v>
      </c>
      <c r="AK85" s="27">
        <f t="shared" si="67"/>
        <v>17</v>
      </c>
      <c r="AL85" s="27">
        <f t="shared" si="68"/>
        <v>476</v>
      </c>
      <c r="AM85">
        <f t="shared" si="69"/>
        <v>0</v>
      </c>
      <c r="AN85">
        <f t="shared" si="70"/>
        <v>0</v>
      </c>
      <c r="AO85">
        <f t="shared" si="71"/>
        <v>0</v>
      </c>
      <c r="AP85">
        <f t="shared" si="72"/>
        <v>0</v>
      </c>
      <c r="AQ85">
        <f t="shared" si="73"/>
        <v>0</v>
      </c>
      <c r="AR85">
        <f t="shared" si="74"/>
        <v>0</v>
      </c>
      <c r="AS85">
        <f t="shared" si="75"/>
        <v>0</v>
      </c>
      <c r="AT85">
        <f t="shared" si="76"/>
        <v>0</v>
      </c>
      <c r="AU85">
        <f t="shared" si="77"/>
        <v>0</v>
      </c>
      <c r="AV85">
        <f t="shared" si="78"/>
        <v>0</v>
      </c>
      <c r="AW85">
        <f t="shared" si="79"/>
        <v>0</v>
      </c>
      <c r="AX85">
        <f t="shared" si="80"/>
        <v>0</v>
      </c>
      <c r="AY85">
        <f t="shared" si="81"/>
        <v>0</v>
      </c>
      <c r="AZ85">
        <f t="shared" si="82"/>
        <v>0</v>
      </c>
      <c r="BA85">
        <f t="shared" si="83"/>
        <v>0</v>
      </c>
      <c r="BB85">
        <f t="shared" si="84"/>
        <v>0</v>
      </c>
      <c r="BC85">
        <f t="shared" si="85"/>
        <v>0</v>
      </c>
      <c r="BD85">
        <f t="shared" si="86"/>
        <v>0</v>
      </c>
      <c r="BE85">
        <f t="shared" si="87"/>
        <v>0</v>
      </c>
      <c r="BF85">
        <f t="shared" si="88"/>
        <v>0</v>
      </c>
      <c r="BG85">
        <f t="shared" si="89"/>
        <v>0</v>
      </c>
      <c r="BH85">
        <f t="shared" si="90"/>
        <v>0</v>
      </c>
      <c r="BI85">
        <f t="shared" si="91"/>
        <v>0</v>
      </c>
      <c r="BJ85">
        <f t="shared" si="92"/>
        <v>0</v>
      </c>
      <c r="BK85">
        <f t="shared" si="93"/>
        <v>0</v>
      </c>
      <c r="BL85">
        <v>0</v>
      </c>
      <c r="BM85" t="str">
        <f t="shared" si="98"/>
        <v>Big Win</v>
      </c>
      <c r="BN85" s="32" t="str">
        <f t="shared" si="99"/>
        <v>Combo Win</v>
      </c>
      <c r="BO85">
        <f>(D85/Summary!$C$4-Summary!$C$8)^2*E85</f>
        <v>12549.551300000001</v>
      </c>
      <c r="BP85">
        <f t="shared" si="94"/>
        <v>0</v>
      </c>
      <c r="BQ85">
        <f t="shared" si="95"/>
        <v>0</v>
      </c>
      <c r="BR85">
        <f t="shared" si="96"/>
        <v>0</v>
      </c>
      <c r="BS85">
        <f t="shared" si="97"/>
        <v>0</v>
      </c>
    </row>
    <row r="86" spans="2:71">
      <c r="B86" s="16">
        <f>Tiers!B87</f>
        <v>84</v>
      </c>
      <c r="C86" s="17" t="str">
        <f>Tiers!Y87</f>
        <v>main-4|main-25|main-8|main-2|||||| x 1</v>
      </c>
      <c r="D86" s="18">
        <f>Tiers!C87</f>
        <v>27</v>
      </c>
      <c r="E86" s="19">
        <f>Frequency!E88</f>
        <v>19</v>
      </c>
      <c r="F86" s="19">
        <f t="shared" si="51"/>
        <v>513</v>
      </c>
      <c r="G86" s="19">
        <f>IF(Tiers!D87&gt;1,'Data Analysis'!E86,0)</f>
        <v>0</v>
      </c>
      <c r="H86" s="19">
        <f t="shared" si="52"/>
        <v>0</v>
      </c>
      <c r="I86" s="19">
        <f>IF(AND(D86/Summary!$C$4&gt;0, D86/Summary!$C$4&lt;5),E86,0) * D86</f>
        <v>0</v>
      </c>
      <c r="J86" s="19">
        <f>IF(AND(D86/Summary!$C$4&gt;= 5, D86/Summary!$C$4&lt;10),E86,0) * D86</f>
        <v>0</v>
      </c>
      <c r="K86" s="19">
        <f>IF(AND(D86/Summary!$C$4&gt;=10, D86/Summary!$C$4&lt;25),E86,0)*D86</f>
        <v>0</v>
      </c>
      <c r="L86" s="19">
        <f>IF(D86/Summary!$C$4&gt;=25,E86,0)*D86</f>
        <v>513</v>
      </c>
      <c r="M86" s="27">
        <f>IF(AND(D86/Summary!$C$4&gt;0, D86/Summary!$C$4&lt;1),E86,0)</f>
        <v>0</v>
      </c>
      <c r="N86" s="27">
        <f t="shared" si="53"/>
        <v>0</v>
      </c>
      <c r="O86" s="27">
        <f>IF(D86/Summary!$C$4=1,1,0)*E86</f>
        <v>0</v>
      </c>
      <c r="P86" s="27">
        <f t="shared" si="54"/>
        <v>0</v>
      </c>
      <c r="Q86" s="27">
        <f>IF(AND(D86/Summary!$C$4&gt;1, D86/Summary!$C$4&lt;=2),1,0)*E86</f>
        <v>0</v>
      </c>
      <c r="R86" s="27">
        <f t="shared" si="55"/>
        <v>0</v>
      </c>
      <c r="S86" s="27">
        <f>IF(AND(D86/Summary!$C$4&gt;2,D86/Summary!$C$4&lt;=5),1,0)*E86</f>
        <v>0</v>
      </c>
      <c r="T86" s="27">
        <f t="shared" si="56"/>
        <v>0</v>
      </c>
      <c r="U86" s="27">
        <f>IF(AND(D86/Summary!$C$4&gt;5, D86/Summary!$C$4&lt;=10),1,0)*E86</f>
        <v>0</v>
      </c>
      <c r="V86" s="27">
        <f t="shared" si="57"/>
        <v>0</v>
      </c>
      <c r="W86" s="27">
        <f>IF(AND(D86/Summary!$C$4&gt;10, D86/Summary!$C$4&lt;=20),1,0)*E86</f>
        <v>0</v>
      </c>
      <c r="X86" s="27">
        <f t="shared" si="58"/>
        <v>0</v>
      </c>
      <c r="Y86" s="27">
        <f>IF(AND(D86/Summary!$C$4&gt;20, D86/Summary!$C$4&lt;=30),1,0)*E86</f>
        <v>19</v>
      </c>
      <c r="Z86" s="27">
        <f t="shared" si="59"/>
        <v>513</v>
      </c>
      <c r="AA86" s="27">
        <f>IF(AND(D86/Summary!$C$4&gt;30, D86/Summary!$C$4&lt;=50),1,0)*E86</f>
        <v>0</v>
      </c>
      <c r="AB86" s="27">
        <f t="shared" si="60"/>
        <v>0</v>
      </c>
      <c r="AC86" s="27">
        <f>IF(AND(D86/Summary!$C$4&gt;50, D86/Summary!$C$4&lt;=100),1,0)*E86</f>
        <v>0</v>
      </c>
      <c r="AD86" s="27">
        <f t="shared" si="61"/>
        <v>0</v>
      </c>
      <c r="AE86" s="27">
        <f>IF(D86/Summary!$C$4&gt;100,1,0)*E86</f>
        <v>0</v>
      </c>
      <c r="AF86" s="27">
        <f t="shared" si="62"/>
        <v>0</v>
      </c>
      <c r="AG86" s="19">
        <f t="shared" si="63"/>
        <v>0</v>
      </c>
      <c r="AH86" s="19">
        <f t="shared" si="64"/>
        <v>0</v>
      </c>
      <c r="AI86" s="19">
        <f t="shared" si="65"/>
        <v>0</v>
      </c>
      <c r="AJ86" s="27">
        <f t="shared" si="66"/>
        <v>1</v>
      </c>
      <c r="AK86" s="27">
        <f t="shared" si="67"/>
        <v>19</v>
      </c>
      <c r="AL86" s="27">
        <f t="shared" si="68"/>
        <v>513</v>
      </c>
      <c r="AM86">
        <f t="shared" si="69"/>
        <v>0</v>
      </c>
      <c r="AN86">
        <f t="shared" si="70"/>
        <v>0</v>
      </c>
      <c r="AO86">
        <f t="shared" si="71"/>
        <v>0</v>
      </c>
      <c r="AP86">
        <f t="shared" si="72"/>
        <v>0</v>
      </c>
      <c r="AQ86">
        <f t="shared" si="73"/>
        <v>0</v>
      </c>
      <c r="AR86">
        <f t="shared" si="74"/>
        <v>0</v>
      </c>
      <c r="AS86">
        <f t="shared" si="75"/>
        <v>0</v>
      </c>
      <c r="AT86">
        <f t="shared" si="76"/>
        <v>0</v>
      </c>
      <c r="AU86">
        <f t="shared" si="77"/>
        <v>0</v>
      </c>
      <c r="AV86">
        <f t="shared" si="78"/>
        <v>0</v>
      </c>
      <c r="AW86">
        <f t="shared" si="79"/>
        <v>0</v>
      </c>
      <c r="AX86">
        <f t="shared" si="80"/>
        <v>0</v>
      </c>
      <c r="AY86">
        <f t="shared" si="81"/>
        <v>0</v>
      </c>
      <c r="AZ86">
        <f t="shared" si="82"/>
        <v>0</v>
      </c>
      <c r="BA86">
        <f t="shared" si="83"/>
        <v>0</v>
      </c>
      <c r="BB86">
        <f t="shared" si="84"/>
        <v>0</v>
      </c>
      <c r="BC86">
        <f t="shared" si="85"/>
        <v>0</v>
      </c>
      <c r="BD86">
        <f t="shared" si="86"/>
        <v>0</v>
      </c>
      <c r="BE86">
        <f t="shared" si="87"/>
        <v>0</v>
      </c>
      <c r="BF86">
        <f t="shared" si="88"/>
        <v>0</v>
      </c>
      <c r="BG86">
        <f t="shared" si="89"/>
        <v>0</v>
      </c>
      <c r="BH86">
        <f t="shared" si="90"/>
        <v>0</v>
      </c>
      <c r="BI86">
        <f t="shared" si="91"/>
        <v>0</v>
      </c>
      <c r="BJ86">
        <f t="shared" si="92"/>
        <v>0</v>
      </c>
      <c r="BK86">
        <f t="shared" si="93"/>
        <v>0</v>
      </c>
      <c r="BL86">
        <v>0</v>
      </c>
      <c r="BM86" t="str">
        <f t="shared" si="98"/>
        <v>Big Win</v>
      </c>
      <c r="BN86" s="32" t="str">
        <f t="shared" si="99"/>
        <v>Combo Win</v>
      </c>
      <c r="BO86">
        <f>(D86/Summary!$C$4-Summary!$C$8)^2*E86</f>
        <v>13012.509100000001</v>
      </c>
      <c r="BP86">
        <f t="shared" si="94"/>
        <v>0</v>
      </c>
      <c r="BQ86">
        <f t="shared" si="95"/>
        <v>0</v>
      </c>
      <c r="BR86">
        <f t="shared" si="96"/>
        <v>0</v>
      </c>
      <c r="BS86">
        <f t="shared" si="97"/>
        <v>0</v>
      </c>
    </row>
    <row r="87" spans="2:71">
      <c r="B87" s="16">
        <f>Tiers!B88</f>
        <v>85</v>
      </c>
      <c r="C87" s="17" t="str">
        <f>Tiers!Y88</f>
        <v>main-4|main-2|main-5|main-3|main-3||||| x 1</v>
      </c>
      <c r="D87" s="18">
        <f>Tiers!C88</f>
        <v>6</v>
      </c>
      <c r="E87" s="19">
        <f>Frequency!E89</f>
        <v>9</v>
      </c>
      <c r="F87" s="19">
        <f t="shared" si="51"/>
        <v>54</v>
      </c>
      <c r="G87" s="19">
        <f>IF(Tiers!D88&gt;1,'Data Analysis'!E87,0)</f>
        <v>0</v>
      </c>
      <c r="H87" s="19">
        <f t="shared" si="52"/>
        <v>0</v>
      </c>
      <c r="I87" s="19">
        <f>IF(AND(D87/Summary!$C$4&gt;0, D87/Summary!$C$4&lt;5),E87,0) * D87</f>
        <v>0</v>
      </c>
      <c r="J87" s="19">
        <f>IF(AND(D87/Summary!$C$4&gt;= 5, D87/Summary!$C$4&lt;10),E87,0) * D87</f>
        <v>54</v>
      </c>
      <c r="K87" s="19">
        <f>IF(AND(D87/Summary!$C$4&gt;=10, D87/Summary!$C$4&lt;25),E87,0)*D87</f>
        <v>0</v>
      </c>
      <c r="L87" s="19">
        <f>IF(D87/Summary!$C$4&gt;=25,E87,0)*D87</f>
        <v>0</v>
      </c>
      <c r="M87" s="27">
        <f>IF(AND(D87/Summary!$C$4&gt;0, D87/Summary!$C$4&lt;1),E87,0)</f>
        <v>0</v>
      </c>
      <c r="N87" s="27">
        <f t="shared" si="53"/>
        <v>0</v>
      </c>
      <c r="O87" s="27">
        <f>IF(D87/Summary!$C$4=1,1,0)*E87</f>
        <v>0</v>
      </c>
      <c r="P87" s="27">
        <f t="shared" si="54"/>
        <v>0</v>
      </c>
      <c r="Q87" s="27">
        <f>IF(AND(D87/Summary!$C$4&gt;1, D87/Summary!$C$4&lt;=2),1,0)*E87</f>
        <v>0</v>
      </c>
      <c r="R87" s="27">
        <f t="shared" si="55"/>
        <v>0</v>
      </c>
      <c r="S87" s="27">
        <f>IF(AND(D87/Summary!$C$4&gt;2,D87/Summary!$C$4&lt;=5),1,0)*E87</f>
        <v>0</v>
      </c>
      <c r="T87" s="27">
        <f t="shared" si="56"/>
        <v>0</v>
      </c>
      <c r="U87" s="27">
        <f>IF(AND(D87/Summary!$C$4&gt;5, D87/Summary!$C$4&lt;=10),1,0)*E87</f>
        <v>9</v>
      </c>
      <c r="V87" s="27">
        <f t="shared" si="57"/>
        <v>54</v>
      </c>
      <c r="W87" s="27">
        <f>IF(AND(D87/Summary!$C$4&gt;10, D87/Summary!$C$4&lt;=20),1,0)*E87</f>
        <v>0</v>
      </c>
      <c r="X87" s="27">
        <f t="shared" si="58"/>
        <v>0</v>
      </c>
      <c r="Y87" s="27">
        <f>IF(AND(D87/Summary!$C$4&gt;20, D87/Summary!$C$4&lt;=30),1,0)*E87</f>
        <v>0</v>
      </c>
      <c r="Z87" s="27">
        <f t="shared" si="59"/>
        <v>0</v>
      </c>
      <c r="AA87" s="27">
        <f>IF(AND(D87/Summary!$C$4&gt;30, D87/Summary!$C$4&lt;=50),1,0)*E87</f>
        <v>0</v>
      </c>
      <c r="AB87" s="27">
        <f t="shared" si="60"/>
        <v>0</v>
      </c>
      <c r="AC87" s="27">
        <f>IF(AND(D87/Summary!$C$4&gt;50, D87/Summary!$C$4&lt;=100),1,0)*E87</f>
        <v>0</v>
      </c>
      <c r="AD87" s="27">
        <f t="shared" si="61"/>
        <v>0</v>
      </c>
      <c r="AE87" s="27">
        <f>IF(D87/Summary!$C$4&gt;100,1,0)*E87</f>
        <v>0</v>
      </c>
      <c r="AF87" s="27">
        <f t="shared" si="62"/>
        <v>0</v>
      </c>
      <c r="AG87" s="19">
        <f t="shared" si="63"/>
        <v>0</v>
      </c>
      <c r="AH87" s="19">
        <f t="shared" si="64"/>
        <v>0</v>
      </c>
      <c r="AI87" s="19">
        <f t="shared" si="65"/>
        <v>0</v>
      </c>
      <c r="AJ87" s="27">
        <f t="shared" si="66"/>
        <v>1</v>
      </c>
      <c r="AK87" s="27">
        <f t="shared" si="67"/>
        <v>9</v>
      </c>
      <c r="AL87" s="27">
        <f t="shared" si="68"/>
        <v>54</v>
      </c>
      <c r="AM87">
        <f t="shared" si="69"/>
        <v>0</v>
      </c>
      <c r="AN87">
        <f t="shared" si="70"/>
        <v>0</v>
      </c>
      <c r="AO87">
        <f t="shared" si="71"/>
        <v>0</v>
      </c>
      <c r="AP87">
        <f t="shared" si="72"/>
        <v>0</v>
      </c>
      <c r="AQ87">
        <f t="shared" si="73"/>
        <v>0</v>
      </c>
      <c r="AR87">
        <f t="shared" si="74"/>
        <v>0</v>
      </c>
      <c r="AS87">
        <f t="shared" si="75"/>
        <v>0</v>
      </c>
      <c r="AT87">
        <f t="shared" si="76"/>
        <v>0</v>
      </c>
      <c r="AU87">
        <f t="shared" si="77"/>
        <v>0</v>
      </c>
      <c r="AV87">
        <f t="shared" si="78"/>
        <v>0</v>
      </c>
      <c r="AW87">
        <f t="shared" si="79"/>
        <v>0</v>
      </c>
      <c r="AX87">
        <f t="shared" si="80"/>
        <v>0</v>
      </c>
      <c r="AY87">
        <f t="shared" si="81"/>
        <v>0</v>
      </c>
      <c r="AZ87">
        <f t="shared" si="82"/>
        <v>0</v>
      </c>
      <c r="BA87">
        <f t="shared" si="83"/>
        <v>0</v>
      </c>
      <c r="BB87">
        <f t="shared" si="84"/>
        <v>0</v>
      </c>
      <c r="BC87">
        <f t="shared" si="85"/>
        <v>0</v>
      </c>
      <c r="BD87">
        <f t="shared" si="86"/>
        <v>0</v>
      </c>
      <c r="BE87">
        <f t="shared" si="87"/>
        <v>0</v>
      </c>
      <c r="BF87">
        <f t="shared" si="88"/>
        <v>0</v>
      </c>
      <c r="BG87">
        <f t="shared" si="89"/>
        <v>0</v>
      </c>
      <c r="BH87">
        <f t="shared" si="90"/>
        <v>0</v>
      </c>
      <c r="BI87">
        <f t="shared" si="91"/>
        <v>0</v>
      </c>
      <c r="BJ87">
        <f t="shared" si="92"/>
        <v>0</v>
      </c>
      <c r="BK87">
        <f t="shared" si="93"/>
        <v>0</v>
      </c>
      <c r="BL87">
        <v>0</v>
      </c>
      <c r="BM87" t="str">
        <f t="shared" si="98"/>
        <v>Standard Win</v>
      </c>
      <c r="BN87" s="32" t="str">
        <f t="shared" si="99"/>
        <v>Combo Win</v>
      </c>
      <c r="BO87">
        <f>(D87/Summary!$C$4-Summary!$C$8)^2*E87</f>
        <v>240.56010000000001</v>
      </c>
      <c r="BP87">
        <f t="shared" si="94"/>
        <v>0</v>
      </c>
      <c r="BQ87">
        <f t="shared" si="95"/>
        <v>0</v>
      </c>
      <c r="BR87">
        <f t="shared" si="96"/>
        <v>0</v>
      </c>
      <c r="BS87">
        <f t="shared" si="97"/>
        <v>0</v>
      </c>
    </row>
    <row r="88" spans="2:71">
      <c r="B88" s="16">
        <f>Tiers!B89</f>
        <v>86</v>
      </c>
      <c r="C88" s="17" t="str">
        <f>Tiers!Y89</f>
        <v>main-15|main-5|main-2|main-12|main-4||||| x 1</v>
      </c>
      <c r="D88" s="18">
        <f>Tiers!C89</f>
        <v>21</v>
      </c>
      <c r="E88" s="19">
        <f>Frequency!E90</f>
        <v>23</v>
      </c>
      <c r="F88" s="19">
        <f t="shared" si="51"/>
        <v>483</v>
      </c>
      <c r="G88" s="19">
        <f>IF(Tiers!D89&gt;1,'Data Analysis'!E88,0)</f>
        <v>0</v>
      </c>
      <c r="H88" s="19">
        <f t="shared" si="52"/>
        <v>0</v>
      </c>
      <c r="I88" s="19">
        <f>IF(AND(D88/Summary!$C$4&gt;0, D88/Summary!$C$4&lt;5),E88,0) * D88</f>
        <v>0</v>
      </c>
      <c r="J88" s="19">
        <f>IF(AND(D88/Summary!$C$4&gt;= 5, D88/Summary!$C$4&lt;10),E88,0) * D88</f>
        <v>0</v>
      </c>
      <c r="K88" s="19">
        <f>IF(AND(D88/Summary!$C$4&gt;=10, D88/Summary!$C$4&lt;25),E88,0)*D88</f>
        <v>483</v>
      </c>
      <c r="L88" s="19">
        <f>IF(D88/Summary!$C$4&gt;=25,E88,0)*D88</f>
        <v>0</v>
      </c>
      <c r="M88" s="27">
        <f>IF(AND(D88/Summary!$C$4&gt;0, D88/Summary!$C$4&lt;1),E88,0)</f>
        <v>0</v>
      </c>
      <c r="N88" s="27">
        <f t="shared" si="53"/>
        <v>0</v>
      </c>
      <c r="O88" s="27">
        <f>IF(D88/Summary!$C$4=1,1,0)*E88</f>
        <v>0</v>
      </c>
      <c r="P88" s="27">
        <f t="shared" si="54"/>
        <v>0</v>
      </c>
      <c r="Q88" s="27">
        <f>IF(AND(D88/Summary!$C$4&gt;1, D88/Summary!$C$4&lt;=2),1,0)*E88</f>
        <v>0</v>
      </c>
      <c r="R88" s="27">
        <f t="shared" si="55"/>
        <v>0</v>
      </c>
      <c r="S88" s="27">
        <f>IF(AND(D88/Summary!$C$4&gt;2,D88/Summary!$C$4&lt;=5),1,0)*E88</f>
        <v>0</v>
      </c>
      <c r="T88" s="27">
        <f t="shared" si="56"/>
        <v>0</v>
      </c>
      <c r="U88" s="27">
        <f>IF(AND(D88/Summary!$C$4&gt;5, D88/Summary!$C$4&lt;=10),1,0)*E88</f>
        <v>0</v>
      </c>
      <c r="V88" s="27">
        <f t="shared" si="57"/>
        <v>0</v>
      </c>
      <c r="W88" s="27">
        <f>IF(AND(D88/Summary!$C$4&gt;10, D88/Summary!$C$4&lt;=20),1,0)*E88</f>
        <v>0</v>
      </c>
      <c r="X88" s="27">
        <f t="shared" si="58"/>
        <v>0</v>
      </c>
      <c r="Y88" s="27">
        <f>IF(AND(D88/Summary!$C$4&gt;20, D88/Summary!$C$4&lt;=30),1,0)*E88</f>
        <v>23</v>
      </c>
      <c r="Z88" s="27">
        <f t="shared" si="59"/>
        <v>483</v>
      </c>
      <c r="AA88" s="27">
        <f>IF(AND(D88/Summary!$C$4&gt;30, D88/Summary!$C$4&lt;=50),1,0)*E88</f>
        <v>0</v>
      </c>
      <c r="AB88" s="27">
        <f t="shared" si="60"/>
        <v>0</v>
      </c>
      <c r="AC88" s="27">
        <f>IF(AND(D88/Summary!$C$4&gt;50, D88/Summary!$C$4&lt;=100),1,0)*E88</f>
        <v>0</v>
      </c>
      <c r="AD88" s="27">
        <f t="shared" si="61"/>
        <v>0</v>
      </c>
      <c r="AE88" s="27">
        <f>IF(D88/Summary!$C$4&gt;100,1,0)*E88</f>
        <v>0</v>
      </c>
      <c r="AF88" s="27">
        <f t="shared" si="62"/>
        <v>0</v>
      </c>
      <c r="AG88" s="19">
        <f t="shared" si="63"/>
        <v>0</v>
      </c>
      <c r="AH88" s="19">
        <f t="shared" si="64"/>
        <v>0</v>
      </c>
      <c r="AI88" s="19">
        <f t="shared" si="65"/>
        <v>0</v>
      </c>
      <c r="AJ88" s="27">
        <f t="shared" si="66"/>
        <v>1</v>
      </c>
      <c r="AK88" s="27">
        <f t="shared" si="67"/>
        <v>23</v>
      </c>
      <c r="AL88" s="27">
        <f t="shared" si="68"/>
        <v>483</v>
      </c>
      <c r="AM88">
        <f t="shared" si="69"/>
        <v>0</v>
      </c>
      <c r="AN88">
        <f t="shared" si="70"/>
        <v>0</v>
      </c>
      <c r="AO88">
        <f t="shared" si="71"/>
        <v>0</v>
      </c>
      <c r="AP88">
        <f t="shared" si="72"/>
        <v>0</v>
      </c>
      <c r="AQ88">
        <f t="shared" si="73"/>
        <v>0</v>
      </c>
      <c r="AR88">
        <f t="shared" si="74"/>
        <v>0</v>
      </c>
      <c r="AS88">
        <f t="shared" si="75"/>
        <v>0</v>
      </c>
      <c r="AT88">
        <f t="shared" si="76"/>
        <v>0</v>
      </c>
      <c r="AU88">
        <f t="shared" si="77"/>
        <v>0</v>
      </c>
      <c r="AV88">
        <f t="shared" si="78"/>
        <v>0</v>
      </c>
      <c r="AW88">
        <f t="shared" si="79"/>
        <v>0</v>
      </c>
      <c r="AX88">
        <f t="shared" si="80"/>
        <v>0</v>
      </c>
      <c r="AY88">
        <f t="shared" si="81"/>
        <v>0</v>
      </c>
      <c r="AZ88">
        <f t="shared" si="82"/>
        <v>0</v>
      </c>
      <c r="BA88">
        <f t="shared" si="83"/>
        <v>0</v>
      </c>
      <c r="BB88">
        <f t="shared" si="84"/>
        <v>0</v>
      </c>
      <c r="BC88">
        <f t="shared" si="85"/>
        <v>0</v>
      </c>
      <c r="BD88">
        <f t="shared" si="86"/>
        <v>0</v>
      </c>
      <c r="BE88">
        <f t="shared" si="87"/>
        <v>0</v>
      </c>
      <c r="BF88">
        <f t="shared" si="88"/>
        <v>0</v>
      </c>
      <c r="BG88">
        <f t="shared" si="89"/>
        <v>0</v>
      </c>
      <c r="BH88">
        <f t="shared" si="90"/>
        <v>0</v>
      </c>
      <c r="BI88">
        <f t="shared" si="91"/>
        <v>0</v>
      </c>
      <c r="BJ88">
        <f t="shared" si="92"/>
        <v>0</v>
      </c>
      <c r="BK88">
        <f t="shared" si="93"/>
        <v>0</v>
      </c>
      <c r="BL88">
        <v>0</v>
      </c>
      <c r="BM88" t="str">
        <f t="shared" si="98"/>
        <v>Big Win</v>
      </c>
      <c r="BN88" s="32" t="str">
        <f t="shared" si="99"/>
        <v>Combo Win</v>
      </c>
      <c r="BO88">
        <f>(D88/Summary!$C$4-Summary!$C$8)^2*E88</f>
        <v>9357.0647000000026</v>
      </c>
      <c r="BP88">
        <f t="shared" si="94"/>
        <v>0</v>
      </c>
      <c r="BQ88">
        <f t="shared" si="95"/>
        <v>0</v>
      </c>
      <c r="BR88">
        <f t="shared" si="96"/>
        <v>0</v>
      </c>
      <c r="BS88">
        <f t="shared" si="97"/>
        <v>0</v>
      </c>
    </row>
    <row r="89" spans="2:71">
      <c r="B89" s="16">
        <f>Tiers!B90</f>
        <v>87</v>
      </c>
      <c r="C89" s="17" t="str">
        <f>Tiers!Y90</f>
        <v>main-3|main-31|main-4|main-16|main-3||||| x 1</v>
      </c>
      <c r="D89" s="18">
        <f>Tiers!C90</f>
        <v>28.5</v>
      </c>
      <c r="E89" s="19">
        <f>Frequency!E91</f>
        <v>17</v>
      </c>
      <c r="F89" s="19">
        <f t="shared" si="51"/>
        <v>484.5</v>
      </c>
      <c r="G89" s="19">
        <f>IF(Tiers!D90&gt;1,'Data Analysis'!E89,0)</f>
        <v>0</v>
      </c>
      <c r="H89" s="19">
        <f t="shared" si="52"/>
        <v>0</v>
      </c>
      <c r="I89" s="19">
        <f>IF(AND(D89/Summary!$C$4&gt;0, D89/Summary!$C$4&lt;5),E89,0) * D89</f>
        <v>0</v>
      </c>
      <c r="J89" s="19">
        <f>IF(AND(D89/Summary!$C$4&gt;= 5, D89/Summary!$C$4&lt;10),E89,0) * D89</f>
        <v>0</v>
      </c>
      <c r="K89" s="19">
        <f>IF(AND(D89/Summary!$C$4&gt;=10, D89/Summary!$C$4&lt;25),E89,0)*D89</f>
        <v>0</v>
      </c>
      <c r="L89" s="19">
        <f>IF(D89/Summary!$C$4&gt;=25,E89,0)*D89</f>
        <v>484.5</v>
      </c>
      <c r="M89" s="27">
        <f>IF(AND(D89/Summary!$C$4&gt;0, D89/Summary!$C$4&lt;1),E89,0)</f>
        <v>0</v>
      </c>
      <c r="N89" s="27">
        <f t="shared" si="53"/>
        <v>0</v>
      </c>
      <c r="O89" s="27">
        <f>IF(D89/Summary!$C$4=1,1,0)*E89</f>
        <v>0</v>
      </c>
      <c r="P89" s="27">
        <f t="shared" si="54"/>
        <v>0</v>
      </c>
      <c r="Q89" s="27">
        <f>IF(AND(D89/Summary!$C$4&gt;1, D89/Summary!$C$4&lt;=2),1,0)*E89</f>
        <v>0</v>
      </c>
      <c r="R89" s="27">
        <f t="shared" si="55"/>
        <v>0</v>
      </c>
      <c r="S89" s="27">
        <f>IF(AND(D89/Summary!$C$4&gt;2,D89/Summary!$C$4&lt;=5),1,0)*E89</f>
        <v>0</v>
      </c>
      <c r="T89" s="27">
        <f t="shared" si="56"/>
        <v>0</v>
      </c>
      <c r="U89" s="27">
        <f>IF(AND(D89/Summary!$C$4&gt;5, D89/Summary!$C$4&lt;=10),1,0)*E89</f>
        <v>0</v>
      </c>
      <c r="V89" s="27">
        <f t="shared" si="57"/>
        <v>0</v>
      </c>
      <c r="W89" s="27">
        <f>IF(AND(D89/Summary!$C$4&gt;10, D89/Summary!$C$4&lt;=20),1,0)*E89</f>
        <v>0</v>
      </c>
      <c r="X89" s="27">
        <f t="shared" si="58"/>
        <v>0</v>
      </c>
      <c r="Y89" s="27">
        <f>IF(AND(D89/Summary!$C$4&gt;20, D89/Summary!$C$4&lt;=30),1,0)*E89</f>
        <v>17</v>
      </c>
      <c r="Z89" s="27">
        <f t="shared" si="59"/>
        <v>484.5</v>
      </c>
      <c r="AA89" s="27">
        <f>IF(AND(D89/Summary!$C$4&gt;30, D89/Summary!$C$4&lt;=50),1,0)*E89</f>
        <v>0</v>
      </c>
      <c r="AB89" s="27">
        <f t="shared" si="60"/>
        <v>0</v>
      </c>
      <c r="AC89" s="27">
        <f>IF(AND(D89/Summary!$C$4&gt;50, D89/Summary!$C$4&lt;=100),1,0)*E89</f>
        <v>0</v>
      </c>
      <c r="AD89" s="27">
        <f t="shared" si="61"/>
        <v>0</v>
      </c>
      <c r="AE89" s="27">
        <f>IF(D89/Summary!$C$4&gt;100,1,0)*E89</f>
        <v>0</v>
      </c>
      <c r="AF89" s="27">
        <f t="shared" si="62"/>
        <v>0</v>
      </c>
      <c r="AG89" s="19">
        <f t="shared" si="63"/>
        <v>0</v>
      </c>
      <c r="AH89" s="19">
        <f t="shared" si="64"/>
        <v>0</v>
      </c>
      <c r="AI89" s="19">
        <f t="shared" si="65"/>
        <v>0</v>
      </c>
      <c r="AJ89" s="27">
        <f t="shared" si="66"/>
        <v>1</v>
      </c>
      <c r="AK89" s="27">
        <f t="shared" si="67"/>
        <v>17</v>
      </c>
      <c r="AL89" s="27">
        <f t="shared" si="68"/>
        <v>484.5</v>
      </c>
      <c r="AM89">
        <f t="shared" si="69"/>
        <v>0</v>
      </c>
      <c r="AN89">
        <f t="shared" si="70"/>
        <v>0</v>
      </c>
      <c r="AO89">
        <f t="shared" si="71"/>
        <v>0</v>
      </c>
      <c r="AP89">
        <f t="shared" si="72"/>
        <v>0</v>
      </c>
      <c r="AQ89">
        <f t="shared" si="73"/>
        <v>0</v>
      </c>
      <c r="AR89">
        <f t="shared" si="74"/>
        <v>0</v>
      </c>
      <c r="AS89">
        <f t="shared" si="75"/>
        <v>0</v>
      </c>
      <c r="AT89">
        <f t="shared" si="76"/>
        <v>0</v>
      </c>
      <c r="AU89">
        <f t="shared" si="77"/>
        <v>0</v>
      </c>
      <c r="AV89">
        <f t="shared" si="78"/>
        <v>0</v>
      </c>
      <c r="AW89">
        <f t="shared" si="79"/>
        <v>0</v>
      </c>
      <c r="AX89">
        <f t="shared" si="80"/>
        <v>0</v>
      </c>
      <c r="AY89">
        <f t="shared" si="81"/>
        <v>0</v>
      </c>
      <c r="AZ89">
        <f t="shared" si="82"/>
        <v>0</v>
      </c>
      <c r="BA89">
        <f t="shared" si="83"/>
        <v>0</v>
      </c>
      <c r="BB89">
        <f t="shared" si="84"/>
        <v>0</v>
      </c>
      <c r="BC89">
        <f t="shared" si="85"/>
        <v>0</v>
      </c>
      <c r="BD89">
        <f t="shared" si="86"/>
        <v>0</v>
      </c>
      <c r="BE89">
        <f t="shared" si="87"/>
        <v>0</v>
      </c>
      <c r="BF89">
        <f t="shared" si="88"/>
        <v>0</v>
      </c>
      <c r="BG89">
        <f t="shared" si="89"/>
        <v>0</v>
      </c>
      <c r="BH89">
        <f t="shared" si="90"/>
        <v>0</v>
      </c>
      <c r="BI89">
        <f t="shared" si="91"/>
        <v>0</v>
      </c>
      <c r="BJ89">
        <f t="shared" si="92"/>
        <v>0</v>
      </c>
      <c r="BK89">
        <f t="shared" si="93"/>
        <v>0</v>
      </c>
      <c r="BL89">
        <v>0</v>
      </c>
      <c r="BM89" t="str">
        <f t="shared" si="98"/>
        <v>Big Win</v>
      </c>
      <c r="BN89" s="32" t="str">
        <f t="shared" si="99"/>
        <v>Combo Win</v>
      </c>
      <c r="BO89">
        <f>(D89/Summary!$C$4-Summary!$C$8)^2*E89</f>
        <v>13015.6913</v>
      </c>
      <c r="BP89">
        <f t="shared" si="94"/>
        <v>0</v>
      </c>
      <c r="BQ89">
        <f t="shared" si="95"/>
        <v>0</v>
      </c>
      <c r="BR89">
        <f t="shared" si="96"/>
        <v>0</v>
      </c>
      <c r="BS89">
        <f t="shared" si="97"/>
        <v>0</v>
      </c>
    </row>
    <row r="90" spans="2:71">
      <c r="B90" s="16">
        <f>Tiers!B91</f>
        <v>88</v>
      </c>
      <c r="C90" s="17" t="str">
        <f>Tiers!Y91</f>
        <v>main-3|main-4|main-2|main-8|main-5||||| x 1</v>
      </c>
      <c r="D90" s="18">
        <f>Tiers!C91</f>
        <v>10</v>
      </c>
      <c r="E90" s="19">
        <f>Frequency!E92</f>
        <v>48</v>
      </c>
      <c r="F90" s="19">
        <f t="shared" si="51"/>
        <v>480</v>
      </c>
      <c r="G90" s="19">
        <f>IF(Tiers!D91&gt;1,'Data Analysis'!E90,0)</f>
        <v>0</v>
      </c>
      <c r="H90" s="19">
        <f t="shared" si="52"/>
        <v>0</v>
      </c>
      <c r="I90" s="19">
        <f>IF(AND(D90/Summary!$C$4&gt;0, D90/Summary!$C$4&lt;5),E90,0) * D90</f>
        <v>0</v>
      </c>
      <c r="J90" s="19">
        <f>IF(AND(D90/Summary!$C$4&gt;= 5, D90/Summary!$C$4&lt;10),E90,0) * D90</f>
        <v>0</v>
      </c>
      <c r="K90" s="19">
        <f>IF(AND(D90/Summary!$C$4&gt;=10, D90/Summary!$C$4&lt;25),E90,0)*D90</f>
        <v>480</v>
      </c>
      <c r="L90" s="19">
        <f>IF(D90/Summary!$C$4&gt;=25,E90,0)*D90</f>
        <v>0</v>
      </c>
      <c r="M90" s="27">
        <f>IF(AND(D90/Summary!$C$4&gt;0, D90/Summary!$C$4&lt;1),E90,0)</f>
        <v>0</v>
      </c>
      <c r="N90" s="27">
        <f t="shared" si="53"/>
        <v>0</v>
      </c>
      <c r="O90" s="27">
        <f>IF(D90/Summary!$C$4=1,1,0)*E90</f>
        <v>0</v>
      </c>
      <c r="P90" s="27">
        <f t="shared" si="54"/>
        <v>0</v>
      </c>
      <c r="Q90" s="27">
        <f>IF(AND(D90/Summary!$C$4&gt;1, D90/Summary!$C$4&lt;=2),1,0)*E90</f>
        <v>0</v>
      </c>
      <c r="R90" s="27">
        <f t="shared" si="55"/>
        <v>0</v>
      </c>
      <c r="S90" s="27">
        <f>IF(AND(D90/Summary!$C$4&gt;2,D90/Summary!$C$4&lt;=5),1,0)*E90</f>
        <v>0</v>
      </c>
      <c r="T90" s="27">
        <f t="shared" si="56"/>
        <v>0</v>
      </c>
      <c r="U90" s="27">
        <f>IF(AND(D90/Summary!$C$4&gt;5, D90/Summary!$C$4&lt;=10),1,0)*E90</f>
        <v>48</v>
      </c>
      <c r="V90" s="27">
        <f t="shared" si="57"/>
        <v>480</v>
      </c>
      <c r="W90" s="27">
        <f>IF(AND(D90/Summary!$C$4&gt;10, D90/Summary!$C$4&lt;=20),1,0)*E90</f>
        <v>0</v>
      </c>
      <c r="X90" s="27">
        <f t="shared" si="58"/>
        <v>0</v>
      </c>
      <c r="Y90" s="27">
        <f>IF(AND(D90/Summary!$C$4&gt;20, D90/Summary!$C$4&lt;=30),1,0)*E90</f>
        <v>0</v>
      </c>
      <c r="Z90" s="27">
        <f t="shared" si="59"/>
        <v>0</v>
      </c>
      <c r="AA90" s="27">
        <f>IF(AND(D90/Summary!$C$4&gt;30, D90/Summary!$C$4&lt;=50),1,0)*E90</f>
        <v>0</v>
      </c>
      <c r="AB90" s="27">
        <f t="shared" si="60"/>
        <v>0</v>
      </c>
      <c r="AC90" s="27">
        <f>IF(AND(D90/Summary!$C$4&gt;50, D90/Summary!$C$4&lt;=100),1,0)*E90</f>
        <v>0</v>
      </c>
      <c r="AD90" s="27">
        <f t="shared" si="61"/>
        <v>0</v>
      </c>
      <c r="AE90" s="27">
        <f>IF(D90/Summary!$C$4&gt;100,1,0)*E90</f>
        <v>0</v>
      </c>
      <c r="AF90" s="27">
        <f t="shared" si="62"/>
        <v>0</v>
      </c>
      <c r="AG90" s="19">
        <f t="shared" si="63"/>
        <v>0</v>
      </c>
      <c r="AH90" s="19">
        <f t="shared" si="64"/>
        <v>0</v>
      </c>
      <c r="AI90" s="19">
        <f t="shared" si="65"/>
        <v>0</v>
      </c>
      <c r="AJ90" s="27">
        <f t="shared" si="66"/>
        <v>1</v>
      </c>
      <c r="AK90" s="27">
        <f t="shared" si="67"/>
        <v>48</v>
      </c>
      <c r="AL90" s="27">
        <f t="shared" si="68"/>
        <v>480</v>
      </c>
      <c r="AM90">
        <f t="shared" si="69"/>
        <v>0</v>
      </c>
      <c r="AN90">
        <f t="shared" si="70"/>
        <v>0</v>
      </c>
      <c r="AO90">
        <f t="shared" si="71"/>
        <v>0</v>
      </c>
      <c r="AP90">
        <f t="shared" si="72"/>
        <v>0</v>
      </c>
      <c r="AQ90">
        <f t="shared" si="73"/>
        <v>0</v>
      </c>
      <c r="AR90">
        <f t="shared" si="74"/>
        <v>0</v>
      </c>
      <c r="AS90">
        <f t="shared" si="75"/>
        <v>0</v>
      </c>
      <c r="AT90">
        <f t="shared" si="76"/>
        <v>0</v>
      </c>
      <c r="AU90">
        <f t="shared" si="77"/>
        <v>0</v>
      </c>
      <c r="AV90">
        <f t="shared" si="78"/>
        <v>0</v>
      </c>
      <c r="AW90">
        <f t="shared" si="79"/>
        <v>0</v>
      </c>
      <c r="AX90">
        <f t="shared" si="80"/>
        <v>0</v>
      </c>
      <c r="AY90">
        <f t="shared" si="81"/>
        <v>0</v>
      </c>
      <c r="AZ90">
        <f t="shared" si="82"/>
        <v>0</v>
      </c>
      <c r="BA90">
        <f t="shared" si="83"/>
        <v>0</v>
      </c>
      <c r="BB90">
        <f t="shared" si="84"/>
        <v>0</v>
      </c>
      <c r="BC90">
        <f t="shared" si="85"/>
        <v>0</v>
      </c>
      <c r="BD90">
        <f t="shared" si="86"/>
        <v>0</v>
      </c>
      <c r="BE90">
        <f t="shared" si="87"/>
        <v>0</v>
      </c>
      <c r="BF90">
        <f t="shared" si="88"/>
        <v>0</v>
      </c>
      <c r="BG90">
        <f t="shared" si="89"/>
        <v>0</v>
      </c>
      <c r="BH90">
        <f t="shared" si="90"/>
        <v>0</v>
      </c>
      <c r="BI90">
        <f t="shared" si="91"/>
        <v>0</v>
      </c>
      <c r="BJ90">
        <f t="shared" si="92"/>
        <v>0</v>
      </c>
      <c r="BK90">
        <f t="shared" si="93"/>
        <v>0</v>
      </c>
      <c r="BL90">
        <v>0</v>
      </c>
      <c r="BM90" t="str">
        <f t="shared" si="98"/>
        <v>Big Win</v>
      </c>
      <c r="BN90" s="32" t="str">
        <f t="shared" si="99"/>
        <v>Combo Win</v>
      </c>
      <c r="BO90">
        <f>(D90/Summary!$C$4-Summary!$C$8)^2*E90</f>
        <v>4036.2671999999998</v>
      </c>
      <c r="BP90">
        <f t="shared" si="94"/>
        <v>0</v>
      </c>
      <c r="BQ90">
        <f t="shared" si="95"/>
        <v>0</v>
      </c>
      <c r="BR90">
        <f t="shared" si="96"/>
        <v>0</v>
      </c>
      <c r="BS90">
        <f t="shared" si="97"/>
        <v>0</v>
      </c>
    </row>
    <row r="91" spans="2:71">
      <c r="B91" s="16">
        <f>Tiers!B92</f>
        <v>89</v>
      </c>
      <c r="C91" s="17" t="str">
        <f>Tiers!Y92</f>
        <v>main-6|main-32|main-31|main-8|main-4||||| x 1</v>
      </c>
      <c r="D91" s="18">
        <f>Tiers!C92</f>
        <v>24</v>
      </c>
      <c r="E91" s="19">
        <f>Frequency!E93</f>
        <v>20</v>
      </c>
      <c r="F91" s="19">
        <f t="shared" si="51"/>
        <v>480</v>
      </c>
      <c r="G91" s="19">
        <f>IF(Tiers!D92&gt;1,'Data Analysis'!E91,0)</f>
        <v>0</v>
      </c>
      <c r="H91" s="19">
        <f t="shared" si="52"/>
        <v>0</v>
      </c>
      <c r="I91" s="19">
        <f>IF(AND(D91/Summary!$C$4&gt;0, D91/Summary!$C$4&lt;5),E91,0) * D91</f>
        <v>0</v>
      </c>
      <c r="J91" s="19">
        <f>IF(AND(D91/Summary!$C$4&gt;= 5, D91/Summary!$C$4&lt;10),E91,0) * D91</f>
        <v>0</v>
      </c>
      <c r="K91" s="19">
        <f>IF(AND(D91/Summary!$C$4&gt;=10, D91/Summary!$C$4&lt;25),E91,0)*D91</f>
        <v>480</v>
      </c>
      <c r="L91" s="19">
        <f>IF(D91/Summary!$C$4&gt;=25,E91,0)*D91</f>
        <v>0</v>
      </c>
      <c r="M91" s="27">
        <f>IF(AND(D91/Summary!$C$4&gt;0, D91/Summary!$C$4&lt;1),E91,0)</f>
        <v>0</v>
      </c>
      <c r="N91" s="27">
        <f t="shared" si="53"/>
        <v>0</v>
      </c>
      <c r="O91" s="27">
        <f>IF(D91/Summary!$C$4=1,1,0)*E91</f>
        <v>0</v>
      </c>
      <c r="P91" s="27">
        <f t="shared" si="54"/>
        <v>0</v>
      </c>
      <c r="Q91" s="27">
        <f>IF(AND(D91/Summary!$C$4&gt;1, D91/Summary!$C$4&lt;=2),1,0)*E91</f>
        <v>0</v>
      </c>
      <c r="R91" s="27">
        <f t="shared" si="55"/>
        <v>0</v>
      </c>
      <c r="S91" s="27">
        <f>IF(AND(D91/Summary!$C$4&gt;2,D91/Summary!$C$4&lt;=5),1,0)*E91</f>
        <v>0</v>
      </c>
      <c r="T91" s="27">
        <f t="shared" si="56"/>
        <v>0</v>
      </c>
      <c r="U91" s="27">
        <f>IF(AND(D91/Summary!$C$4&gt;5, D91/Summary!$C$4&lt;=10),1,0)*E91</f>
        <v>0</v>
      </c>
      <c r="V91" s="27">
        <f t="shared" si="57"/>
        <v>0</v>
      </c>
      <c r="W91" s="27">
        <f>IF(AND(D91/Summary!$C$4&gt;10, D91/Summary!$C$4&lt;=20),1,0)*E91</f>
        <v>0</v>
      </c>
      <c r="X91" s="27">
        <f t="shared" si="58"/>
        <v>0</v>
      </c>
      <c r="Y91" s="27">
        <f>IF(AND(D91/Summary!$C$4&gt;20, D91/Summary!$C$4&lt;=30),1,0)*E91</f>
        <v>20</v>
      </c>
      <c r="Z91" s="27">
        <f t="shared" si="59"/>
        <v>480</v>
      </c>
      <c r="AA91" s="27">
        <f>IF(AND(D91/Summary!$C$4&gt;30, D91/Summary!$C$4&lt;=50),1,0)*E91</f>
        <v>0</v>
      </c>
      <c r="AB91" s="27">
        <f t="shared" si="60"/>
        <v>0</v>
      </c>
      <c r="AC91" s="27">
        <f>IF(AND(D91/Summary!$C$4&gt;50, D91/Summary!$C$4&lt;=100),1,0)*E91</f>
        <v>0</v>
      </c>
      <c r="AD91" s="27">
        <f t="shared" si="61"/>
        <v>0</v>
      </c>
      <c r="AE91" s="27">
        <f>IF(D91/Summary!$C$4&gt;100,1,0)*E91</f>
        <v>0</v>
      </c>
      <c r="AF91" s="27">
        <f t="shared" si="62"/>
        <v>0</v>
      </c>
      <c r="AG91" s="19">
        <f t="shared" si="63"/>
        <v>0</v>
      </c>
      <c r="AH91" s="19">
        <f t="shared" si="64"/>
        <v>0</v>
      </c>
      <c r="AI91" s="19">
        <f t="shared" si="65"/>
        <v>0</v>
      </c>
      <c r="AJ91" s="27">
        <f t="shared" si="66"/>
        <v>1</v>
      </c>
      <c r="AK91" s="27">
        <f t="shared" si="67"/>
        <v>20</v>
      </c>
      <c r="AL91" s="27">
        <f t="shared" si="68"/>
        <v>480</v>
      </c>
      <c r="AM91">
        <f t="shared" si="69"/>
        <v>0</v>
      </c>
      <c r="AN91">
        <f t="shared" si="70"/>
        <v>0</v>
      </c>
      <c r="AO91">
        <f t="shared" si="71"/>
        <v>0</v>
      </c>
      <c r="AP91">
        <f t="shared" si="72"/>
        <v>0</v>
      </c>
      <c r="AQ91">
        <f t="shared" si="73"/>
        <v>0</v>
      </c>
      <c r="AR91">
        <f t="shared" si="74"/>
        <v>0</v>
      </c>
      <c r="AS91">
        <f t="shared" si="75"/>
        <v>0</v>
      </c>
      <c r="AT91">
        <f t="shared" si="76"/>
        <v>0</v>
      </c>
      <c r="AU91">
        <f t="shared" si="77"/>
        <v>0</v>
      </c>
      <c r="AV91">
        <f t="shared" si="78"/>
        <v>0</v>
      </c>
      <c r="AW91">
        <f t="shared" si="79"/>
        <v>0</v>
      </c>
      <c r="AX91">
        <f t="shared" si="80"/>
        <v>0</v>
      </c>
      <c r="AY91">
        <f t="shared" si="81"/>
        <v>0</v>
      </c>
      <c r="AZ91">
        <f t="shared" si="82"/>
        <v>0</v>
      </c>
      <c r="BA91">
        <f t="shared" si="83"/>
        <v>0</v>
      </c>
      <c r="BB91">
        <f t="shared" si="84"/>
        <v>0</v>
      </c>
      <c r="BC91">
        <f t="shared" si="85"/>
        <v>0</v>
      </c>
      <c r="BD91">
        <f t="shared" si="86"/>
        <v>0</v>
      </c>
      <c r="BE91">
        <f t="shared" si="87"/>
        <v>0</v>
      </c>
      <c r="BF91">
        <f t="shared" si="88"/>
        <v>0</v>
      </c>
      <c r="BG91">
        <f t="shared" si="89"/>
        <v>0</v>
      </c>
      <c r="BH91">
        <f t="shared" si="90"/>
        <v>0</v>
      </c>
      <c r="BI91">
        <f t="shared" si="91"/>
        <v>0</v>
      </c>
      <c r="BJ91">
        <f t="shared" si="92"/>
        <v>0</v>
      </c>
      <c r="BK91">
        <f t="shared" si="93"/>
        <v>0</v>
      </c>
      <c r="BL91">
        <v>0</v>
      </c>
      <c r="BM91" t="str">
        <f t="shared" si="98"/>
        <v>Big Win</v>
      </c>
      <c r="BN91" s="32" t="str">
        <f t="shared" si="99"/>
        <v>Combo Win</v>
      </c>
      <c r="BO91">
        <f>(D91/Summary!$C$4-Summary!$C$8)^2*E91</f>
        <v>10736.978000000001</v>
      </c>
      <c r="BP91">
        <f t="shared" si="94"/>
        <v>0</v>
      </c>
      <c r="BQ91">
        <f t="shared" si="95"/>
        <v>0</v>
      </c>
      <c r="BR91">
        <f t="shared" si="96"/>
        <v>0</v>
      </c>
      <c r="BS91">
        <f t="shared" si="97"/>
        <v>0</v>
      </c>
    </row>
    <row r="92" spans="2:71">
      <c r="B92" s="16">
        <f>Tiers!B93</f>
        <v>90</v>
      </c>
      <c r="C92" s="17" t="str">
        <f>Tiers!Y93</f>
        <v>main-4|main-4|main-4|main-3|main-34||||| x 1</v>
      </c>
      <c r="D92" s="18">
        <f>Tiers!C93</f>
        <v>25.5</v>
      </c>
      <c r="E92" s="19">
        <f>Frequency!E94</f>
        <v>19</v>
      </c>
      <c r="F92" s="19">
        <f t="shared" si="51"/>
        <v>484.5</v>
      </c>
      <c r="G92" s="19">
        <f>IF(Tiers!D93&gt;1,'Data Analysis'!E92,0)</f>
        <v>0</v>
      </c>
      <c r="H92" s="19">
        <f t="shared" si="52"/>
        <v>0</v>
      </c>
      <c r="I92" s="19">
        <f>IF(AND(D92/Summary!$C$4&gt;0, D92/Summary!$C$4&lt;5),E92,0) * D92</f>
        <v>0</v>
      </c>
      <c r="J92" s="19">
        <f>IF(AND(D92/Summary!$C$4&gt;= 5, D92/Summary!$C$4&lt;10),E92,0) * D92</f>
        <v>0</v>
      </c>
      <c r="K92" s="19">
        <f>IF(AND(D92/Summary!$C$4&gt;=10, D92/Summary!$C$4&lt;25),E92,0)*D92</f>
        <v>0</v>
      </c>
      <c r="L92" s="19">
        <f>IF(D92/Summary!$C$4&gt;=25,E92,0)*D92</f>
        <v>484.5</v>
      </c>
      <c r="M92" s="27">
        <f>IF(AND(D92/Summary!$C$4&gt;0, D92/Summary!$C$4&lt;1),E92,0)</f>
        <v>0</v>
      </c>
      <c r="N92" s="27">
        <f t="shared" si="53"/>
        <v>0</v>
      </c>
      <c r="O92" s="27">
        <f>IF(D92/Summary!$C$4=1,1,0)*E92</f>
        <v>0</v>
      </c>
      <c r="P92" s="27">
        <f t="shared" si="54"/>
        <v>0</v>
      </c>
      <c r="Q92" s="27">
        <f>IF(AND(D92/Summary!$C$4&gt;1, D92/Summary!$C$4&lt;=2),1,0)*E92</f>
        <v>0</v>
      </c>
      <c r="R92" s="27">
        <f t="shared" si="55"/>
        <v>0</v>
      </c>
      <c r="S92" s="27">
        <f>IF(AND(D92/Summary!$C$4&gt;2,D92/Summary!$C$4&lt;=5),1,0)*E92</f>
        <v>0</v>
      </c>
      <c r="T92" s="27">
        <f t="shared" si="56"/>
        <v>0</v>
      </c>
      <c r="U92" s="27">
        <f>IF(AND(D92/Summary!$C$4&gt;5, D92/Summary!$C$4&lt;=10),1,0)*E92</f>
        <v>0</v>
      </c>
      <c r="V92" s="27">
        <f t="shared" si="57"/>
        <v>0</v>
      </c>
      <c r="W92" s="27">
        <f>IF(AND(D92/Summary!$C$4&gt;10, D92/Summary!$C$4&lt;=20),1,0)*E92</f>
        <v>0</v>
      </c>
      <c r="X92" s="27">
        <f t="shared" si="58"/>
        <v>0</v>
      </c>
      <c r="Y92" s="27">
        <f>IF(AND(D92/Summary!$C$4&gt;20, D92/Summary!$C$4&lt;=30),1,0)*E92</f>
        <v>19</v>
      </c>
      <c r="Z92" s="27">
        <f t="shared" si="59"/>
        <v>484.5</v>
      </c>
      <c r="AA92" s="27">
        <f>IF(AND(D92/Summary!$C$4&gt;30, D92/Summary!$C$4&lt;=50),1,0)*E92</f>
        <v>0</v>
      </c>
      <c r="AB92" s="27">
        <f t="shared" si="60"/>
        <v>0</v>
      </c>
      <c r="AC92" s="27">
        <f>IF(AND(D92/Summary!$C$4&gt;50, D92/Summary!$C$4&lt;=100),1,0)*E92</f>
        <v>0</v>
      </c>
      <c r="AD92" s="27">
        <f t="shared" si="61"/>
        <v>0</v>
      </c>
      <c r="AE92" s="27">
        <f>IF(D92/Summary!$C$4&gt;100,1,0)*E92</f>
        <v>0</v>
      </c>
      <c r="AF92" s="27">
        <f t="shared" si="62"/>
        <v>0</v>
      </c>
      <c r="AG92" s="19">
        <f t="shared" si="63"/>
        <v>0</v>
      </c>
      <c r="AH92" s="19">
        <f t="shared" si="64"/>
        <v>0</v>
      </c>
      <c r="AI92" s="19">
        <f t="shared" si="65"/>
        <v>0</v>
      </c>
      <c r="AJ92" s="27">
        <f t="shared" si="66"/>
        <v>1</v>
      </c>
      <c r="AK92" s="27">
        <f t="shared" si="67"/>
        <v>19</v>
      </c>
      <c r="AL92" s="27">
        <f t="shared" si="68"/>
        <v>484.5</v>
      </c>
      <c r="AM92">
        <f t="shared" si="69"/>
        <v>0</v>
      </c>
      <c r="AN92">
        <f t="shared" si="70"/>
        <v>0</v>
      </c>
      <c r="AO92">
        <f t="shared" si="71"/>
        <v>0</v>
      </c>
      <c r="AP92">
        <f t="shared" si="72"/>
        <v>0</v>
      </c>
      <c r="AQ92">
        <f t="shared" si="73"/>
        <v>0</v>
      </c>
      <c r="AR92">
        <f t="shared" si="74"/>
        <v>0</v>
      </c>
      <c r="AS92">
        <f t="shared" si="75"/>
        <v>0</v>
      </c>
      <c r="AT92">
        <f t="shared" si="76"/>
        <v>0</v>
      </c>
      <c r="AU92">
        <f t="shared" si="77"/>
        <v>0</v>
      </c>
      <c r="AV92">
        <f t="shared" si="78"/>
        <v>0</v>
      </c>
      <c r="AW92">
        <f t="shared" si="79"/>
        <v>0</v>
      </c>
      <c r="AX92">
        <f t="shared" si="80"/>
        <v>0</v>
      </c>
      <c r="AY92">
        <f t="shared" si="81"/>
        <v>0</v>
      </c>
      <c r="AZ92">
        <f t="shared" si="82"/>
        <v>0</v>
      </c>
      <c r="BA92">
        <f t="shared" si="83"/>
        <v>0</v>
      </c>
      <c r="BB92">
        <f t="shared" si="84"/>
        <v>0</v>
      </c>
      <c r="BC92">
        <f t="shared" si="85"/>
        <v>0</v>
      </c>
      <c r="BD92">
        <f t="shared" si="86"/>
        <v>0</v>
      </c>
      <c r="BE92">
        <f t="shared" si="87"/>
        <v>0</v>
      </c>
      <c r="BF92">
        <f t="shared" si="88"/>
        <v>0</v>
      </c>
      <c r="BG92">
        <f t="shared" si="89"/>
        <v>0</v>
      </c>
      <c r="BH92">
        <f t="shared" si="90"/>
        <v>0</v>
      </c>
      <c r="BI92">
        <f t="shared" si="91"/>
        <v>0</v>
      </c>
      <c r="BJ92">
        <f t="shared" si="92"/>
        <v>0</v>
      </c>
      <c r="BK92">
        <f t="shared" si="93"/>
        <v>0</v>
      </c>
      <c r="BL92">
        <v>0</v>
      </c>
      <c r="BM92" t="str">
        <f t="shared" si="98"/>
        <v>Big Win</v>
      </c>
      <c r="BN92" s="32" t="str">
        <f t="shared" si="99"/>
        <v>Combo Win</v>
      </c>
      <c r="BO92">
        <f>(D92/Summary!$C$4-Summary!$C$8)^2*E92</f>
        <v>11563.569100000001</v>
      </c>
      <c r="BP92">
        <f t="shared" si="94"/>
        <v>0</v>
      </c>
      <c r="BQ92">
        <f t="shared" si="95"/>
        <v>0</v>
      </c>
      <c r="BR92">
        <f t="shared" si="96"/>
        <v>0</v>
      </c>
      <c r="BS92">
        <f t="shared" si="97"/>
        <v>0</v>
      </c>
    </row>
    <row r="93" spans="2:71">
      <c r="B93" s="16">
        <f>Tiers!B94</f>
        <v>91</v>
      </c>
      <c r="C93" s="17" t="str">
        <f>Tiers!Y94</f>
        <v>main-5|main-21|main-4|main-4|main-1||||| x 1</v>
      </c>
      <c r="D93" s="18">
        <f>Tiers!C94</f>
        <v>7.2</v>
      </c>
      <c r="E93" s="19">
        <f>Frequency!E95</f>
        <v>7</v>
      </c>
      <c r="F93" s="19">
        <f t="shared" si="51"/>
        <v>50.4</v>
      </c>
      <c r="G93" s="19">
        <f>IF(Tiers!D94&gt;1,'Data Analysis'!E93,0)</f>
        <v>0</v>
      </c>
      <c r="H93" s="19">
        <f t="shared" si="52"/>
        <v>0</v>
      </c>
      <c r="I93" s="19">
        <f>IF(AND(D93/Summary!$C$4&gt;0, D93/Summary!$C$4&lt;5),E93,0) * D93</f>
        <v>0</v>
      </c>
      <c r="J93" s="19">
        <f>IF(AND(D93/Summary!$C$4&gt;= 5, D93/Summary!$C$4&lt;10),E93,0) * D93</f>
        <v>50.4</v>
      </c>
      <c r="K93" s="19">
        <f>IF(AND(D93/Summary!$C$4&gt;=10, D93/Summary!$C$4&lt;25),E93,0)*D93</f>
        <v>0</v>
      </c>
      <c r="L93" s="19">
        <f>IF(D93/Summary!$C$4&gt;=25,E93,0)*D93</f>
        <v>0</v>
      </c>
      <c r="M93" s="27">
        <f>IF(AND(D93/Summary!$C$4&gt;0, D93/Summary!$C$4&lt;1),E93,0)</f>
        <v>0</v>
      </c>
      <c r="N93" s="27">
        <f t="shared" si="53"/>
        <v>0</v>
      </c>
      <c r="O93" s="27">
        <f>IF(D93/Summary!$C$4=1,1,0)*E93</f>
        <v>0</v>
      </c>
      <c r="P93" s="27">
        <f t="shared" si="54"/>
        <v>0</v>
      </c>
      <c r="Q93" s="27">
        <f>IF(AND(D93/Summary!$C$4&gt;1, D93/Summary!$C$4&lt;=2),1,0)*E93</f>
        <v>0</v>
      </c>
      <c r="R93" s="27">
        <f t="shared" si="55"/>
        <v>0</v>
      </c>
      <c r="S93" s="27">
        <f>IF(AND(D93/Summary!$C$4&gt;2,D93/Summary!$C$4&lt;=5),1,0)*E93</f>
        <v>0</v>
      </c>
      <c r="T93" s="27">
        <f t="shared" si="56"/>
        <v>0</v>
      </c>
      <c r="U93" s="27">
        <f>IF(AND(D93/Summary!$C$4&gt;5, D93/Summary!$C$4&lt;=10),1,0)*E93</f>
        <v>7</v>
      </c>
      <c r="V93" s="27">
        <f t="shared" si="57"/>
        <v>50.4</v>
      </c>
      <c r="W93" s="27">
        <f>IF(AND(D93/Summary!$C$4&gt;10, D93/Summary!$C$4&lt;=20),1,0)*E93</f>
        <v>0</v>
      </c>
      <c r="X93" s="27">
        <f t="shared" si="58"/>
        <v>0</v>
      </c>
      <c r="Y93" s="27">
        <f>IF(AND(D93/Summary!$C$4&gt;20, D93/Summary!$C$4&lt;=30),1,0)*E93</f>
        <v>0</v>
      </c>
      <c r="Z93" s="27">
        <f t="shared" si="59"/>
        <v>0</v>
      </c>
      <c r="AA93" s="27">
        <f>IF(AND(D93/Summary!$C$4&gt;30, D93/Summary!$C$4&lt;=50),1,0)*E93</f>
        <v>0</v>
      </c>
      <c r="AB93" s="27">
        <f t="shared" si="60"/>
        <v>0</v>
      </c>
      <c r="AC93" s="27">
        <f>IF(AND(D93/Summary!$C$4&gt;50, D93/Summary!$C$4&lt;=100),1,0)*E93</f>
        <v>0</v>
      </c>
      <c r="AD93" s="27">
        <f t="shared" si="61"/>
        <v>0</v>
      </c>
      <c r="AE93" s="27">
        <f>IF(D93/Summary!$C$4&gt;100,1,0)*E93</f>
        <v>0</v>
      </c>
      <c r="AF93" s="27">
        <f t="shared" si="62"/>
        <v>0</v>
      </c>
      <c r="AG93" s="19">
        <f t="shared" si="63"/>
        <v>0</v>
      </c>
      <c r="AH93" s="19">
        <f t="shared" si="64"/>
        <v>0</v>
      </c>
      <c r="AI93" s="19">
        <f t="shared" si="65"/>
        <v>0</v>
      </c>
      <c r="AJ93" s="27">
        <f t="shared" si="66"/>
        <v>1</v>
      </c>
      <c r="AK93" s="27">
        <f t="shared" si="67"/>
        <v>7</v>
      </c>
      <c r="AL93" s="27">
        <f t="shared" si="68"/>
        <v>50.4</v>
      </c>
      <c r="AM93">
        <f t="shared" si="69"/>
        <v>0</v>
      </c>
      <c r="AN93">
        <f t="shared" si="70"/>
        <v>0</v>
      </c>
      <c r="AO93">
        <f t="shared" si="71"/>
        <v>0</v>
      </c>
      <c r="AP93">
        <f t="shared" si="72"/>
        <v>0</v>
      </c>
      <c r="AQ93">
        <f t="shared" si="73"/>
        <v>0</v>
      </c>
      <c r="AR93">
        <f t="shared" si="74"/>
        <v>0</v>
      </c>
      <c r="AS93">
        <f t="shared" si="75"/>
        <v>0</v>
      </c>
      <c r="AT93">
        <f t="shared" si="76"/>
        <v>0</v>
      </c>
      <c r="AU93">
        <f t="shared" si="77"/>
        <v>0</v>
      </c>
      <c r="AV93">
        <f t="shared" si="78"/>
        <v>0</v>
      </c>
      <c r="AW93">
        <f t="shared" si="79"/>
        <v>0</v>
      </c>
      <c r="AX93">
        <f t="shared" si="80"/>
        <v>0</v>
      </c>
      <c r="AY93">
        <f t="shared" si="81"/>
        <v>0</v>
      </c>
      <c r="AZ93">
        <f t="shared" si="82"/>
        <v>0</v>
      </c>
      <c r="BA93">
        <f t="shared" si="83"/>
        <v>0</v>
      </c>
      <c r="BB93">
        <f t="shared" si="84"/>
        <v>0</v>
      </c>
      <c r="BC93">
        <f t="shared" si="85"/>
        <v>0</v>
      </c>
      <c r="BD93">
        <f t="shared" si="86"/>
        <v>0</v>
      </c>
      <c r="BE93">
        <f t="shared" si="87"/>
        <v>0</v>
      </c>
      <c r="BF93">
        <f t="shared" si="88"/>
        <v>0</v>
      </c>
      <c r="BG93">
        <f t="shared" si="89"/>
        <v>0</v>
      </c>
      <c r="BH93">
        <f t="shared" si="90"/>
        <v>0</v>
      </c>
      <c r="BI93">
        <f t="shared" si="91"/>
        <v>0</v>
      </c>
      <c r="BJ93">
        <f t="shared" si="92"/>
        <v>0</v>
      </c>
      <c r="BK93">
        <f t="shared" si="93"/>
        <v>0</v>
      </c>
      <c r="BL93">
        <v>0</v>
      </c>
      <c r="BM93" t="str">
        <f t="shared" si="98"/>
        <v>Standard Win</v>
      </c>
      <c r="BN93" s="32" t="str">
        <f t="shared" si="99"/>
        <v>Combo Win</v>
      </c>
      <c r="BO93">
        <f>(D93/Summary!$C$4-Summary!$C$8)^2*E93</f>
        <v>284.03829999999999</v>
      </c>
      <c r="BP93">
        <f t="shared" si="94"/>
        <v>0</v>
      </c>
      <c r="BQ93">
        <f t="shared" si="95"/>
        <v>0</v>
      </c>
      <c r="BR93">
        <f t="shared" si="96"/>
        <v>0</v>
      </c>
      <c r="BS93">
        <f t="shared" si="97"/>
        <v>0</v>
      </c>
    </row>
    <row r="94" spans="2:71">
      <c r="B94" s="16">
        <f>Tiers!B95</f>
        <v>92</v>
      </c>
      <c r="C94" s="17" t="str">
        <f>Tiers!Y95</f>
        <v>main-7|main-5|main-5|main-14|main-3||||| x 1</v>
      </c>
      <c r="D94" s="18">
        <f>Tiers!C95</f>
        <v>18</v>
      </c>
      <c r="E94" s="19">
        <f>Frequency!E96</f>
        <v>3</v>
      </c>
      <c r="F94" s="19">
        <f t="shared" si="51"/>
        <v>54</v>
      </c>
      <c r="G94" s="19">
        <f>IF(Tiers!D95&gt;1,'Data Analysis'!E94,0)</f>
        <v>0</v>
      </c>
      <c r="H94" s="19">
        <f t="shared" si="52"/>
        <v>0</v>
      </c>
      <c r="I94" s="19">
        <f>IF(AND(D94/Summary!$C$4&gt;0, D94/Summary!$C$4&lt;5),E94,0) * D94</f>
        <v>0</v>
      </c>
      <c r="J94" s="19">
        <f>IF(AND(D94/Summary!$C$4&gt;= 5, D94/Summary!$C$4&lt;10),E94,0) * D94</f>
        <v>0</v>
      </c>
      <c r="K94" s="19">
        <f>IF(AND(D94/Summary!$C$4&gt;=10, D94/Summary!$C$4&lt;25),E94,0)*D94</f>
        <v>54</v>
      </c>
      <c r="L94" s="19">
        <f>IF(D94/Summary!$C$4&gt;=25,E94,0)*D94</f>
        <v>0</v>
      </c>
      <c r="M94" s="27">
        <f>IF(AND(D94/Summary!$C$4&gt;0, D94/Summary!$C$4&lt;1),E94,0)</f>
        <v>0</v>
      </c>
      <c r="N94" s="27">
        <f t="shared" si="53"/>
        <v>0</v>
      </c>
      <c r="O94" s="27">
        <f>IF(D94/Summary!$C$4=1,1,0)*E94</f>
        <v>0</v>
      </c>
      <c r="P94" s="27">
        <f t="shared" si="54"/>
        <v>0</v>
      </c>
      <c r="Q94" s="27">
        <f>IF(AND(D94/Summary!$C$4&gt;1, D94/Summary!$C$4&lt;=2),1,0)*E94</f>
        <v>0</v>
      </c>
      <c r="R94" s="27">
        <f t="shared" si="55"/>
        <v>0</v>
      </c>
      <c r="S94" s="27">
        <f>IF(AND(D94/Summary!$C$4&gt;2,D94/Summary!$C$4&lt;=5),1,0)*E94</f>
        <v>0</v>
      </c>
      <c r="T94" s="27">
        <f t="shared" si="56"/>
        <v>0</v>
      </c>
      <c r="U94" s="27">
        <f>IF(AND(D94/Summary!$C$4&gt;5, D94/Summary!$C$4&lt;=10),1,0)*E94</f>
        <v>0</v>
      </c>
      <c r="V94" s="27">
        <f t="shared" si="57"/>
        <v>0</v>
      </c>
      <c r="W94" s="27">
        <f>IF(AND(D94/Summary!$C$4&gt;10, D94/Summary!$C$4&lt;=20),1,0)*E94</f>
        <v>3</v>
      </c>
      <c r="X94" s="27">
        <f t="shared" si="58"/>
        <v>54</v>
      </c>
      <c r="Y94" s="27">
        <f>IF(AND(D94/Summary!$C$4&gt;20, D94/Summary!$C$4&lt;=30),1,0)*E94</f>
        <v>0</v>
      </c>
      <c r="Z94" s="27">
        <f t="shared" si="59"/>
        <v>0</v>
      </c>
      <c r="AA94" s="27">
        <f>IF(AND(D94/Summary!$C$4&gt;30, D94/Summary!$C$4&lt;=50),1,0)*E94</f>
        <v>0</v>
      </c>
      <c r="AB94" s="27">
        <f t="shared" si="60"/>
        <v>0</v>
      </c>
      <c r="AC94" s="27">
        <f>IF(AND(D94/Summary!$C$4&gt;50, D94/Summary!$C$4&lt;=100),1,0)*E94</f>
        <v>0</v>
      </c>
      <c r="AD94" s="27">
        <f t="shared" si="61"/>
        <v>0</v>
      </c>
      <c r="AE94" s="27">
        <f>IF(D94/Summary!$C$4&gt;100,1,0)*E94</f>
        <v>0</v>
      </c>
      <c r="AF94" s="27">
        <f t="shared" si="62"/>
        <v>0</v>
      </c>
      <c r="AG94" s="19">
        <f t="shared" si="63"/>
        <v>0</v>
      </c>
      <c r="AH94" s="19">
        <f t="shared" si="64"/>
        <v>0</v>
      </c>
      <c r="AI94" s="19">
        <f t="shared" si="65"/>
        <v>0</v>
      </c>
      <c r="AJ94" s="27">
        <f t="shared" si="66"/>
        <v>1</v>
      </c>
      <c r="AK94" s="27">
        <f t="shared" si="67"/>
        <v>3</v>
      </c>
      <c r="AL94" s="27">
        <f t="shared" si="68"/>
        <v>54</v>
      </c>
      <c r="AM94">
        <f t="shared" si="69"/>
        <v>0</v>
      </c>
      <c r="AN94">
        <f t="shared" si="70"/>
        <v>0</v>
      </c>
      <c r="AO94">
        <f t="shared" si="71"/>
        <v>0</v>
      </c>
      <c r="AP94">
        <f t="shared" si="72"/>
        <v>0</v>
      </c>
      <c r="AQ94">
        <f t="shared" si="73"/>
        <v>0</v>
      </c>
      <c r="AR94">
        <f t="shared" si="74"/>
        <v>0</v>
      </c>
      <c r="AS94">
        <f t="shared" si="75"/>
        <v>0</v>
      </c>
      <c r="AT94">
        <f t="shared" si="76"/>
        <v>0</v>
      </c>
      <c r="AU94">
        <f t="shared" si="77"/>
        <v>0</v>
      </c>
      <c r="AV94">
        <f t="shared" si="78"/>
        <v>0</v>
      </c>
      <c r="AW94">
        <f t="shared" si="79"/>
        <v>0</v>
      </c>
      <c r="AX94">
        <f t="shared" si="80"/>
        <v>0</v>
      </c>
      <c r="AY94">
        <f t="shared" si="81"/>
        <v>0</v>
      </c>
      <c r="AZ94">
        <f t="shared" si="82"/>
        <v>0</v>
      </c>
      <c r="BA94">
        <f t="shared" si="83"/>
        <v>0</v>
      </c>
      <c r="BB94">
        <f t="shared" si="84"/>
        <v>0</v>
      </c>
      <c r="BC94">
        <f t="shared" si="85"/>
        <v>0</v>
      </c>
      <c r="BD94">
        <f t="shared" si="86"/>
        <v>0</v>
      </c>
      <c r="BE94">
        <f t="shared" si="87"/>
        <v>0</v>
      </c>
      <c r="BF94">
        <f t="shared" si="88"/>
        <v>0</v>
      </c>
      <c r="BG94">
        <f t="shared" si="89"/>
        <v>0</v>
      </c>
      <c r="BH94">
        <f t="shared" si="90"/>
        <v>0</v>
      </c>
      <c r="BI94">
        <f t="shared" si="91"/>
        <v>0</v>
      </c>
      <c r="BJ94">
        <f t="shared" si="92"/>
        <v>0</v>
      </c>
      <c r="BK94">
        <f t="shared" si="93"/>
        <v>0</v>
      </c>
      <c r="BL94">
        <v>0</v>
      </c>
      <c r="BM94" t="str">
        <f t="shared" si="98"/>
        <v>Big Win</v>
      </c>
      <c r="BN94" s="32" t="str">
        <f t="shared" si="99"/>
        <v>Combo Win</v>
      </c>
      <c r="BO94">
        <f>(D94/Summary!$C$4-Summary!$C$8)^2*E94</f>
        <v>884.42670000000021</v>
      </c>
      <c r="BP94">
        <f t="shared" si="94"/>
        <v>0</v>
      </c>
      <c r="BQ94">
        <f t="shared" si="95"/>
        <v>0</v>
      </c>
      <c r="BR94">
        <f t="shared" si="96"/>
        <v>0</v>
      </c>
      <c r="BS94">
        <f t="shared" si="97"/>
        <v>0</v>
      </c>
    </row>
    <row r="95" spans="2:71">
      <c r="B95" s="16">
        <f>Tiers!B96</f>
        <v>93</v>
      </c>
      <c r="C95" s="17" t="str">
        <f>Tiers!Y96</f>
        <v>main-5|main-3|main-9|main-32|main-7||||| x 1</v>
      </c>
      <c r="D95" s="18">
        <f>Tiers!C96</f>
        <v>26</v>
      </c>
      <c r="E95" s="19">
        <f>Frequency!E97</f>
        <v>18</v>
      </c>
      <c r="F95" s="19">
        <f t="shared" si="51"/>
        <v>468</v>
      </c>
      <c r="G95" s="19">
        <f>IF(Tiers!D96&gt;1,'Data Analysis'!E95,0)</f>
        <v>0</v>
      </c>
      <c r="H95" s="19">
        <f t="shared" si="52"/>
        <v>0</v>
      </c>
      <c r="I95" s="19">
        <f>IF(AND(D95/Summary!$C$4&gt;0, D95/Summary!$C$4&lt;5),E95,0) * D95</f>
        <v>0</v>
      </c>
      <c r="J95" s="19">
        <f>IF(AND(D95/Summary!$C$4&gt;= 5, D95/Summary!$C$4&lt;10),E95,0) * D95</f>
        <v>0</v>
      </c>
      <c r="K95" s="19">
        <f>IF(AND(D95/Summary!$C$4&gt;=10, D95/Summary!$C$4&lt;25),E95,0)*D95</f>
        <v>0</v>
      </c>
      <c r="L95" s="19">
        <f>IF(D95/Summary!$C$4&gt;=25,E95,0)*D95</f>
        <v>468</v>
      </c>
      <c r="M95" s="27">
        <f>IF(AND(D95/Summary!$C$4&gt;0, D95/Summary!$C$4&lt;1),E95,0)</f>
        <v>0</v>
      </c>
      <c r="N95" s="27">
        <f t="shared" si="53"/>
        <v>0</v>
      </c>
      <c r="O95" s="27">
        <f>IF(D95/Summary!$C$4=1,1,0)*E95</f>
        <v>0</v>
      </c>
      <c r="P95" s="27">
        <f t="shared" si="54"/>
        <v>0</v>
      </c>
      <c r="Q95" s="27">
        <f>IF(AND(D95/Summary!$C$4&gt;1, D95/Summary!$C$4&lt;=2),1,0)*E95</f>
        <v>0</v>
      </c>
      <c r="R95" s="27">
        <f t="shared" si="55"/>
        <v>0</v>
      </c>
      <c r="S95" s="27">
        <f>IF(AND(D95/Summary!$C$4&gt;2,D95/Summary!$C$4&lt;=5),1,0)*E95</f>
        <v>0</v>
      </c>
      <c r="T95" s="27">
        <f t="shared" si="56"/>
        <v>0</v>
      </c>
      <c r="U95" s="27">
        <f>IF(AND(D95/Summary!$C$4&gt;5, D95/Summary!$C$4&lt;=10),1,0)*E95</f>
        <v>0</v>
      </c>
      <c r="V95" s="27">
        <f t="shared" si="57"/>
        <v>0</v>
      </c>
      <c r="W95" s="27">
        <f>IF(AND(D95/Summary!$C$4&gt;10, D95/Summary!$C$4&lt;=20),1,0)*E95</f>
        <v>0</v>
      </c>
      <c r="X95" s="27">
        <f t="shared" si="58"/>
        <v>0</v>
      </c>
      <c r="Y95" s="27">
        <f>IF(AND(D95/Summary!$C$4&gt;20, D95/Summary!$C$4&lt;=30),1,0)*E95</f>
        <v>18</v>
      </c>
      <c r="Z95" s="27">
        <f t="shared" si="59"/>
        <v>468</v>
      </c>
      <c r="AA95" s="27">
        <f>IF(AND(D95/Summary!$C$4&gt;30, D95/Summary!$C$4&lt;=50),1,0)*E95</f>
        <v>0</v>
      </c>
      <c r="AB95" s="27">
        <f t="shared" si="60"/>
        <v>0</v>
      </c>
      <c r="AC95" s="27">
        <f>IF(AND(D95/Summary!$C$4&gt;50, D95/Summary!$C$4&lt;=100),1,0)*E95</f>
        <v>0</v>
      </c>
      <c r="AD95" s="27">
        <f t="shared" si="61"/>
        <v>0</v>
      </c>
      <c r="AE95" s="27">
        <f>IF(D95/Summary!$C$4&gt;100,1,0)*E95</f>
        <v>0</v>
      </c>
      <c r="AF95" s="27">
        <f t="shared" si="62"/>
        <v>0</v>
      </c>
      <c r="AG95" s="19">
        <f t="shared" si="63"/>
        <v>0</v>
      </c>
      <c r="AH95" s="19">
        <f t="shared" si="64"/>
        <v>0</v>
      </c>
      <c r="AI95" s="19">
        <f t="shared" si="65"/>
        <v>0</v>
      </c>
      <c r="AJ95" s="27">
        <f t="shared" si="66"/>
        <v>1</v>
      </c>
      <c r="AK95" s="27">
        <f t="shared" si="67"/>
        <v>18</v>
      </c>
      <c r="AL95" s="27">
        <f t="shared" si="68"/>
        <v>468</v>
      </c>
      <c r="AM95">
        <f t="shared" si="69"/>
        <v>0</v>
      </c>
      <c r="AN95">
        <f t="shared" si="70"/>
        <v>0</v>
      </c>
      <c r="AO95">
        <f t="shared" si="71"/>
        <v>0</v>
      </c>
      <c r="AP95">
        <f t="shared" si="72"/>
        <v>0</v>
      </c>
      <c r="AQ95">
        <f t="shared" si="73"/>
        <v>0</v>
      </c>
      <c r="AR95">
        <f t="shared" si="74"/>
        <v>0</v>
      </c>
      <c r="AS95">
        <f t="shared" si="75"/>
        <v>0</v>
      </c>
      <c r="AT95">
        <f t="shared" si="76"/>
        <v>0</v>
      </c>
      <c r="AU95">
        <f t="shared" si="77"/>
        <v>0</v>
      </c>
      <c r="AV95">
        <f t="shared" si="78"/>
        <v>0</v>
      </c>
      <c r="AW95">
        <f t="shared" si="79"/>
        <v>0</v>
      </c>
      <c r="AX95">
        <f t="shared" si="80"/>
        <v>0</v>
      </c>
      <c r="AY95">
        <f t="shared" si="81"/>
        <v>0</v>
      </c>
      <c r="AZ95">
        <f t="shared" si="82"/>
        <v>0</v>
      </c>
      <c r="BA95">
        <f t="shared" si="83"/>
        <v>0</v>
      </c>
      <c r="BB95">
        <f t="shared" si="84"/>
        <v>0</v>
      </c>
      <c r="BC95">
        <f t="shared" si="85"/>
        <v>0</v>
      </c>
      <c r="BD95">
        <f t="shared" si="86"/>
        <v>0</v>
      </c>
      <c r="BE95">
        <f t="shared" si="87"/>
        <v>0</v>
      </c>
      <c r="BF95">
        <f t="shared" si="88"/>
        <v>0</v>
      </c>
      <c r="BG95">
        <f t="shared" si="89"/>
        <v>0</v>
      </c>
      <c r="BH95">
        <f t="shared" si="90"/>
        <v>0</v>
      </c>
      <c r="BI95">
        <f t="shared" si="91"/>
        <v>0</v>
      </c>
      <c r="BJ95">
        <f t="shared" si="92"/>
        <v>0</v>
      </c>
      <c r="BK95">
        <f t="shared" si="93"/>
        <v>0</v>
      </c>
      <c r="BL95">
        <v>0</v>
      </c>
      <c r="BM95" t="str">
        <f t="shared" si="98"/>
        <v>Big Win</v>
      </c>
      <c r="BN95" s="32" t="str">
        <f t="shared" si="99"/>
        <v>Combo Win</v>
      </c>
      <c r="BO95">
        <f>(D95/Summary!$C$4-Summary!$C$8)^2*E95</f>
        <v>11403.520200000003</v>
      </c>
      <c r="BP95">
        <f t="shared" si="94"/>
        <v>0</v>
      </c>
      <c r="BQ95">
        <f t="shared" si="95"/>
        <v>0</v>
      </c>
      <c r="BR95">
        <f t="shared" si="96"/>
        <v>0</v>
      </c>
      <c r="BS95">
        <f t="shared" si="97"/>
        <v>0</v>
      </c>
    </row>
    <row r="96" spans="2:71">
      <c r="B96" s="16">
        <f>Tiers!B97</f>
        <v>94</v>
      </c>
      <c r="C96" s="17" t="str">
        <f>Tiers!Y97</f>
        <v>main-2|main-23|main-3|main-7|main-14||||| x 1</v>
      </c>
      <c r="D96" s="18">
        <f>Tiers!C97</f>
        <v>24.5</v>
      </c>
      <c r="E96" s="19">
        <f>Frequency!E98</f>
        <v>19</v>
      </c>
      <c r="F96" s="19">
        <f t="shared" si="51"/>
        <v>465.5</v>
      </c>
      <c r="G96" s="19">
        <f>IF(Tiers!D97&gt;1,'Data Analysis'!E96,0)</f>
        <v>0</v>
      </c>
      <c r="H96" s="19">
        <f t="shared" si="52"/>
        <v>0</v>
      </c>
      <c r="I96" s="19">
        <f>IF(AND(D96/Summary!$C$4&gt;0, D96/Summary!$C$4&lt;5),E96,0) * D96</f>
        <v>0</v>
      </c>
      <c r="J96" s="19">
        <f>IF(AND(D96/Summary!$C$4&gt;= 5, D96/Summary!$C$4&lt;10),E96,0) * D96</f>
        <v>0</v>
      </c>
      <c r="K96" s="19">
        <f>IF(AND(D96/Summary!$C$4&gt;=10, D96/Summary!$C$4&lt;25),E96,0)*D96</f>
        <v>465.5</v>
      </c>
      <c r="L96" s="19">
        <f>IF(D96/Summary!$C$4&gt;=25,E96,0)*D96</f>
        <v>0</v>
      </c>
      <c r="M96" s="27">
        <f>IF(AND(D96/Summary!$C$4&gt;0, D96/Summary!$C$4&lt;1),E96,0)</f>
        <v>0</v>
      </c>
      <c r="N96" s="27">
        <f t="shared" si="53"/>
        <v>0</v>
      </c>
      <c r="O96" s="27">
        <f>IF(D96/Summary!$C$4=1,1,0)*E96</f>
        <v>0</v>
      </c>
      <c r="P96" s="27">
        <f t="shared" si="54"/>
        <v>0</v>
      </c>
      <c r="Q96" s="27">
        <f>IF(AND(D96/Summary!$C$4&gt;1, D96/Summary!$C$4&lt;=2),1,0)*E96</f>
        <v>0</v>
      </c>
      <c r="R96" s="27">
        <f t="shared" si="55"/>
        <v>0</v>
      </c>
      <c r="S96" s="27">
        <f>IF(AND(D96/Summary!$C$4&gt;2,D96/Summary!$C$4&lt;=5),1,0)*E96</f>
        <v>0</v>
      </c>
      <c r="T96" s="27">
        <f t="shared" si="56"/>
        <v>0</v>
      </c>
      <c r="U96" s="27">
        <f>IF(AND(D96/Summary!$C$4&gt;5, D96/Summary!$C$4&lt;=10),1,0)*E96</f>
        <v>0</v>
      </c>
      <c r="V96" s="27">
        <f t="shared" si="57"/>
        <v>0</v>
      </c>
      <c r="W96" s="27">
        <f>IF(AND(D96/Summary!$C$4&gt;10, D96/Summary!$C$4&lt;=20),1,0)*E96</f>
        <v>0</v>
      </c>
      <c r="X96" s="27">
        <f t="shared" si="58"/>
        <v>0</v>
      </c>
      <c r="Y96" s="27">
        <f>IF(AND(D96/Summary!$C$4&gt;20, D96/Summary!$C$4&lt;=30),1,0)*E96</f>
        <v>19</v>
      </c>
      <c r="Z96" s="27">
        <f t="shared" si="59"/>
        <v>465.5</v>
      </c>
      <c r="AA96" s="27">
        <f>IF(AND(D96/Summary!$C$4&gt;30, D96/Summary!$C$4&lt;=50),1,0)*E96</f>
        <v>0</v>
      </c>
      <c r="AB96" s="27">
        <f t="shared" si="60"/>
        <v>0</v>
      </c>
      <c r="AC96" s="27">
        <f>IF(AND(D96/Summary!$C$4&gt;50, D96/Summary!$C$4&lt;=100),1,0)*E96</f>
        <v>0</v>
      </c>
      <c r="AD96" s="27">
        <f t="shared" si="61"/>
        <v>0</v>
      </c>
      <c r="AE96" s="27">
        <f>IF(D96/Summary!$C$4&gt;100,1,0)*E96</f>
        <v>0</v>
      </c>
      <c r="AF96" s="27">
        <f t="shared" si="62"/>
        <v>0</v>
      </c>
      <c r="AG96" s="19">
        <f t="shared" si="63"/>
        <v>0</v>
      </c>
      <c r="AH96" s="19">
        <f t="shared" si="64"/>
        <v>0</v>
      </c>
      <c r="AI96" s="19">
        <f t="shared" si="65"/>
        <v>0</v>
      </c>
      <c r="AJ96" s="27">
        <f t="shared" si="66"/>
        <v>1</v>
      </c>
      <c r="AK96" s="27">
        <f t="shared" si="67"/>
        <v>19</v>
      </c>
      <c r="AL96" s="27">
        <f t="shared" si="68"/>
        <v>465.5</v>
      </c>
      <c r="AM96">
        <f t="shared" si="69"/>
        <v>0</v>
      </c>
      <c r="AN96">
        <f t="shared" si="70"/>
        <v>0</v>
      </c>
      <c r="AO96">
        <f t="shared" si="71"/>
        <v>0</v>
      </c>
      <c r="AP96">
        <f t="shared" si="72"/>
        <v>0</v>
      </c>
      <c r="AQ96">
        <f t="shared" si="73"/>
        <v>0</v>
      </c>
      <c r="AR96">
        <f t="shared" si="74"/>
        <v>0</v>
      </c>
      <c r="AS96">
        <f t="shared" si="75"/>
        <v>0</v>
      </c>
      <c r="AT96">
        <f t="shared" si="76"/>
        <v>0</v>
      </c>
      <c r="AU96">
        <f t="shared" si="77"/>
        <v>0</v>
      </c>
      <c r="AV96">
        <f t="shared" si="78"/>
        <v>0</v>
      </c>
      <c r="AW96">
        <f t="shared" si="79"/>
        <v>0</v>
      </c>
      <c r="AX96">
        <f t="shared" si="80"/>
        <v>0</v>
      </c>
      <c r="AY96">
        <f t="shared" si="81"/>
        <v>0</v>
      </c>
      <c r="AZ96">
        <f t="shared" si="82"/>
        <v>0</v>
      </c>
      <c r="BA96">
        <f t="shared" si="83"/>
        <v>0</v>
      </c>
      <c r="BB96">
        <f t="shared" si="84"/>
        <v>0</v>
      </c>
      <c r="BC96">
        <f t="shared" si="85"/>
        <v>0</v>
      </c>
      <c r="BD96">
        <f t="shared" si="86"/>
        <v>0</v>
      </c>
      <c r="BE96">
        <f t="shared" si="87"/>
        <v>0</v>
      </c>
      <c r="BF96">
        <f t="shared" si="88"/>
        <v>0</v>
      </c>
      <c r="BG96">
        <f t="shared" si="89"/>
        <v>0</v>
      </c>
      <c r="BH96">
        <f t="shared" si="90"/>
        <v>0</v>
      </c>
      <c r="BI96">
        <f t="shared" si="91"/>
        <v>0</v>
      </c>
      <c r="BJ96">
        <f t="shared" si="92"/>
        <v>0</v>
      </c>
      <c r="BK96">
        <f t="shared" si="93"/>
        <v>0</v>
      </c>
      <c r="BL96">
        <v>0</v>
      </c>
      <c r="BM96" t="str">
        <f t="shared" si="98"/>
        <v>Big Win</v>
      </c>
      <c r="BN96" s="32" t="str">
        <f t="shared" si="99"/>
        <v>Combo Win</v>
      </c>
      <c r="BO96">
        <f>(D96/Summary!$C$4-Summary!$C$8)^2*E96</f>
        <v>10645.109100000001</v>
      </c>
      <c r="BP96">
        <f t="shared" si="94"/>
        <v>0</v>
      </c>
      <c r="BQ96">
        <f t="shared" si="95"/>
        <v>0</v>
      </c>
      <c r="BR96">
        <f t="shared" si="96"/>
        <v>0</v>
      </c>
      <c r="BS96">
        <f t="shared" si="97"/>
        <v>0</v>
      </c>
    </row>
    <row r="97" spans="2:71">
      <c r="B97" s="16">
        <f>Tiers!B98</f>
        <v>95</v>
      </c>
      <c r="C97" s="17" t="str">
        <f>Tiers!Y98</f>
        <v>main-0||||||||| x 20</v>
      </c>
      <c r="D97" s="18">
        <f>Tiers!C98</f>
        <v>2</v>
      </c>
      <c r="E97" s="19">
        <f>Frequency!E99</f>
        <v>2416</v>
      </c>
      <c r="F97" s="19">
        <f t="shared" si="51"/>
        <v>4832</v>
      </c>
      <c r="G97" s="19">
        <f>IF(Tiers!D98&gt;1,'Data Analysis'!E97,0)</f>
        <v>2416</v>
      </c>
      <c r="H97" s="19">
        <f t="shared" si="52"/>
        <v>4832</v>
      </c>
      <c r="I97" s="19">
        <f>IF(AND(D97/Summary!$C$4&gt;0, D97/Summary!$C$4&lt;5),E97,0) * D97</f>
        <v>4832</v>
      </c>
      <c r="J97" s="19">
        <f>IF(AND(D97/Summary!$C$4&gt;= 5, D97/Summary!$C$4&lt;10),E97,0) * D97</f>
        <v>0</v>
      </c>
      <c r="K97" s="19">
        <f>IF(AND(D97/Summary!$C$4&gt;=10, D97/Summary!$C$4&lt;25),E97,0)*D97</f>
        <v>0</v>
      </c>
      <c r="L97" s="19">
        <f>IF(D97/Summary!$C$4&gt;=25,E97,0)*D97</f>
        <v>0</v>
      </c>
      <c r="M97" s="27">
        <f>IF(AND(D97/Summary!$C$4&gt;0, D97/Summary!$C$4&lt;1),E97,0)</f>
        <v>0</v>
      </c>
      <c r="N97" s="27">
        <f t="shared" si="53"/>
        <v>0</v>
      </c>
      <c r="O97" s="27">
        <f>IF(D97/Summary!$C$4=1,1,0)*E97</f>
        <v>0</v>
      </c>
      <c r="P97" s="27">
        <f t="shared" si="54"/>
        <v>0</v>
      </c>
      <c r="Q97" s="27">
        <f>IF(AND(D97/Summary!$C$4&gt;1, D97/Summary!$C$4&lt;=2),1,0)*E97</f>
        <v>2416</v>
      </c>
      <c r="R97" s="27">
        <f t="shared" si="55"/>
        <v>4832</v>
      </c>
      <c r="S97" s="27">
        <f>IF(AND(D97/Summary!$C$4&gt;2,D97/Summary!$C$4&lt;=5),1,0)*E97</f>
        <v>0</v>
      </c>
      <c r="T97" s="27">
        <f t="shared" si="56"/>
        <v>0</v>
      </c>
      <c r="U97" s="27">
        <f>IF(AND(D97/Summary!$C$4&gt;5, D97/Summary!$C$4&lt;=10),1,0)*E97</f>
        <v>0</v>
      </c>
      <c r="V97" s="27">
        <f t="shared" si="57"/>
        <v>0</v>
      </c>
      <c r="W97" s="27">
        <f>IF(AND(D97/Summary!$C$4&gt;10, D97/Summary!$C$4&lt;=20),1,0)*E97</f>
        <v>0</v>
      </c>
      <c r="X97" s="27">
        <f t="shared" si="58"/>
        <v>0</v>
      </c>
      <c r="Y97" s="27">
        <f>IF(AND(D97/Summary!$C$4&gt;20, D97/Summary!$C$4&lt;=30),1,0)*E97</f>
        <v>0</v>
      </c>
      <c r="Z97" s="27">
        <f t="shared" si="59"/>
        <v>0</v>
      </c>
      <c r="AA97" s="27">
        <f>IF(AND(D97/Summary!$C$4&gt;30, D97/Summary!$C$4&lt;=50),1,0)*E97</f>
        <v>0</v>
      </c>
      <c r="AB97" s="27">
        <f t="shared" si="60"/>
        <v>0</v>
      </c>
      <c r="AC97" s="27">
        <f>IF(AND(D97/Summary!$C$4&gt;50, D97/Summary!$C$4&lt;=100),1,0)*E97</f>
        <v>0</v>
      </c>
      <c r="AD97" s="27">
        <f t="shared" si="61"/>
        <v>0</v>
      </c>
      <c r="AE97" s="27">
        <f>IF(D97/Summary!$C$4&gt;100,1,0)*E97</f>
        <v>0</v>
      </c>
      <c r="AF97" s="27">
        <f t="shared" si="62"/>
        <v>0</v>
      </c>
      <c r="AG97" s="19">
        <f t="shared" si="63"/>
        <v>0</v>
      </c>
      <c r="AH97" s="19">
        <f t="shared" si="64"/>
        <v>0</v>
      </c>
      <c r="AI97" s="19">
        <f t="shared" si="65"/>
        <v>0</v>
      </c>
      <c r="AJ97" s="27">
        <f t="shared" si="66"/>
        <v>0</v>
      </c>
      <c r="AK97" s="27">
        <f t="shared" si="67"/>
        <v>0</v>
      </c>
      <c r="AL97" s="27">
        <f t="shared" si="68"/>
        <v>0</v>
      </c>
      <c r="AM97">
        <f t="shared" si="69"/>
        <v>0</v>
      </c>
      <c r="AN97">
        <f t="shared" si="70"/>
        <v>0</v>
      </c>
      <c r="AO97">
        <f t="shared" si="71"/>
        <v>0</v>
      </c>
      <c r="AP97">
        <f t="shared" si="72"/>
        <v>0</v>
      </c>
      <c r="AQ97">
        <f t="shared" si="73"/>
        <v>0</v>
      </c>
      <c r="AR97">
        <f t="shared" si="74"/>
        <v>0</v>
      </c>
      <c r="AS97">
        <f t="shared" si="75"/>
        <v>0</v>
      </c>
      <c r="AT97">
        <f t="shared" si="76"/>
        <v>0</v>
      </c>
      <c r="AU97">
        <f t="shared" si="77"/>
        <v>0</v>
      </c>
      <c r="AV97">
        <f t="shared" si="78"/>
        <v>0</v>
      </c>
      <c r="AW97">
        <f t="shared" si="79"/>
        <v>0</v>
      </c>
      <c r="AX97">
        <f t="shared" si="80"/>
        <v>0</v>
      </c>
      <c r="AY97">
        <f t="shared" si="81"/>
        <v>0</v>
      </c>
      <c r="AZ97">
        <f t="shared" si="82"/>
        <v>0</v>
      </c>
      <c r="BA97">
        <f t="shared" si="83"/>
        <v>0</v>
      </c>
      <c r="BB97">
        <f t="shared" si="84"/>
        <v>0</v>
      </c>
      <c r="BC97">
        <f t="shared" si="85"/>
        <v>0</v>
      </c>
      <c r="BD97">
        <f t="shared" si="86"/>
        <v>0</v>
      </c>
      <c r="BE97">
        <f t="shared" si="87"/>
        <v>0</v>
      </c>
      <c r="BF97">
        <f t="shared" si="88"/>
        <v>0</v>
      </c>
      <c r="BG97">
        <f t="shared" si="89"/>
        <v>0</v>
      </c>
      <c r="BH97">
        <f t="shared" si="90"/>
        <v>0</v>
      </c>
      <c r="BI97">
        <f t="shared" si="91"/>
        <v>0</v>
      </c>
      <c r="BJ97">
        <f t="shared" si="92"/>
        <v>0</v>
      </c>
      <c r="BK97">
        <f t="shared" si="93"/>
        <v>0</v>
      </c>
      <c r="BL97">
        <v>0</v>
      </c>
      <c r="BM97" t="str">
        <f t="shared" si="98"/>
        <v>Standard Win</v>
      </c>
      <c r="BN97" s="32" t="str">
        <f t="shared" si="99"/>
        <v>Single Win</v>
      </c>
      <c r="BO97">
        <f>(D97/Summary!$C$4-Summary!$C$8)^2*E97</f>
        <v>3307.2623999999996</v>
      </c>
      <c r="BP97">
        <f t="shared" si="94"/>
        <v>0</v>
      </c>
      <c r="BQ97">
        <f t="shared" si="95"/>
        <v>0</v>
      </c>
      <c r="BR97">
        <f t="shared" si="96"/>
        <v>0</v>
      </c>
      <c r="BS97">
        <f t="shared" si="97"/>
        <v>0</v>
      </c>
    </row>
    <row r="98" spans="2:71">
      <c r="B98" s="16">
        <f>Tiers!B99</f>
        <v>96</v>
      </c>
      <c r="C98" s="17" t="str">
        <f>Tiers!Y99</f>
        <v>main-1||||||||| x 20</v>
      </c>
      <c r="D98" s="18">
        <f>Tiers!C99</f>
        <v>4</v>
      </c>
      <c r="E98" s="19">
        <f>Frequency!E100</f>
        <v>1800</v>
      </c>
      <c r="F98" s="19">
        <f t="shared" si="51"/>
        <v>7200</v>
      </c>
      <c r="G98" s="19">
        <f>IF(Tiers!D99&gt;1,'Data Analysis'!E98,0)</f>
        <v>1800</v>
      </c>
      <c r="H98" s="19">
        <f t="shared" si="52"/>
        <v>7200</v>
      </c>
      <c r="I98" s="19">
        <f>IF(AND(D98/Summary!$C$4&gt;0, D98/Summary!$C$4&lt;5),E98,0) * D98</f>
        <v>7200</v>
      </c>
      <c r="J98" s="19">
        <f>IF(AND(D98/Summary!$C$4&gt;= 5, D98/Summary!$C$4&lt;10),E98,0) * D98</f>
        <v>0</v>
      </c>
      <c r="K98" s="19">
        <f>IF(AND(D98/Summary!$C$4&gt;=10, D98/Summary!$C$4&lt;25),E98,0)*D98</f>
        <v>0</v>
      </c>
      <c r="L98" s="19">
        <f>IF(D98/Summary!$C$4&gt;=25,E98,0)*D98</f>
        <v>0</v>
      </c>
      <c r="M98" s="27">
        <f>IF(AND(D98/Summary!$C$4&gt;0, D98/Summary!$C$4&lt;1),E98,0)</f>
        <v>0</v>
      </c>
      <c r="N98" s="27">
        <f t="shared" si="53"/>
        <v>0</v>
      </c>
      <c r="O98" s="27">
        <f>IF(D98/Summary!$C$4=1,1,0)*E98</f>
        <v>0</v>
      </c>
      <c r="P98" s="27">
        <f t="shared" si="54"/>
        <v>0</v>
      </c>
      <c r="Q98" s="27">
        <f>IF(AND(D98/Summary!$C$4&gt;1, D98/Summary!$C$4&lt;=2),1,0)*E98</f>
        <v>0</v>
      </c>
      <c r="R98" s="27">
        <f t="shared" si="55"/>
        <v>0</v>
      </c>
      <c r="S98" s="27">
        <f>IF(AND(D98/Summary!$C$4&gt;2,D98/Summary!$C$4&lt;=5),1,0)*E98</f>
        <v>1800</v>
      </c>
      <c r="T98" s="27">
        <f t="shared" si="56"/>
        <v>7200</v>
      </c>
      <c r="U98" s="27">
        <f>IF(AND(D98/Summary!$C$4&gt;5, D98/Summary!$C$4&lt;=10),1,0)*E98</f>
        <v>0</v>
      </c>
      <c r="V98" s="27">
        <f t="shared" si="57"/>
        <v>0</v>
      </c>
      <c r="W98" s="27">
        <f>IF(AND(D98/Summary!$C$4&gt;10, D98/Summary!$C$4&lt;=20),1,0)*E98</f>
        <v>0</v>
      </c>
      <c r="X98" s="27">
        <f t="shared" si="58"/>
        <v>0</v>
      </c>
      <c r="Y98" s="27">
        <f>IF(AND(D98/Summary!$C$4&gt;20, D98/Summary!$C$4&lt;=30),1,0)*E98</f>
        <v>0</v>
      </c>
      <c r="Z98" s="27">
        <f t="shared" si="59"/>
        <v>0</v>
      </c>
      <c r="AA98" s="27">
        <f>IF(AND(D98/Summary!$C$4&gt;30, D98/Summary!$C$4&lt;=50),1,0)*E98</f>
        <v>0</v>
      </c>
      <c r="AB98" s="27">
        <f t="shared" si="60"/>
        <v>0</v>
      </c>
      <c r="AC98" s="27">
        <f>IF(AND(D98/Summary!$C$4&gt;50, D98/Summary!$C$4&lt;=100),1,0)*E98</f>
        <v>0</v>
      </c>
      <c r="AD98" s="27">
        <f t="shared" si="61"/>
        <v>0</v>
      </c>
      <c r="AE98" s="27">
        <f>IF(D98/Summary!$C$4&gt;100,1,0)*E98</f>
        <v>0</v>
      </c>
      <c r="AF98" s="27">
        <f t="shared" si="62"/>
        <v>0</v>
      </c>
      <c r="AG98" s="19">
        <f t="shared" si="63"/>
        <v>0</v>
      </c>
      <c r="AH98" s="19">
        <f t="shared" si="64"/>
        <v>0</v>
      </c>
      <c r="AI98" s="19">
        <f t="shared" si="65"/>
        <v>0</v>
      </c>
      <c r="AJ98" s="27">
        <f t="shared" si="66"/>
        <v>0</v>
      </c>
      <c r="AK98" s="27">
        <f t="shared" si="67"/>
        <v>0</v>
      </c>
      <c r="AL98" s="27">
        <f t="shared" si="68"/>
        <v>0</v>
      </c>
      <c r="AM98">
        <f t="shared" si="69"/>
        <v>0</v>
      </c>
      <c r="AN98">
        <f t="shared" si="70"/>
        <v>0</v>
      </c>
      <c r="AO98">
        <f t="shared" si="71"/>
        <v>0</v>
      </c>
      <c r="AP98">
        <f t="shared" si="72"/>
        <v>0</v>
      </c>
      <c r="AQ98">
        <f t="shared" si="73"/>
        <v>0</v>
      </c>
      <c r="AR98">
        <f t="shared" si="74"/>
        <v>0</v>
      </c>
      <c r="AS98">
        <f t="shared" si="75"/>
        <v>0</v>
      </c>
      <c r="AT98">
        <f t="shared" si="76"/>
        <v>0</v>
      </c>
      <c r="AU98">
        <f t="shared" si="77"/>
        <v>0</v>
      </c>
      <c r="AV98">
        <f t="shared" si="78"/>
        <v>0</v>
      </c>
      <c r="AW98">
        <f t="shared" si="79"/>
        <v>0</v>
      </c>
      <c r="AX98">
        <f t="shared" si="80"/>
        <v>0</v>
      </c>
      <c r="AY98">
        <f t="shared" si="81"/>
        <v>0</v>
      </c>
      <c r="AZ98">
        <f t="shared" si="82"/>
        <v>0</v>
      </c>
      <c r="BA98">
        <f t="shared" si="83"/>
        <v>0</v>
      </c>
      <c r="BB98">
        <f t="shared" si="84"/>
        <v>0</v>
      </c>
      <c r="BC98">
        <f t="shared" si="85"/>
        <v>0</v>
      </c>
      <c r="BD98">
        <f t="shared" si="86"/>
        <v>0</v>
      </c>
      <c r="BE98">
        <f t="shared" si="87"/>
        <v>0</v>
      </c>
      <c r="BF98">
        <f t="shared" si="88"/>
        <v>0</v>
      </c>
      <c r="BG98">
        <f t="shared" si="89"/>
        <v>0</v>
      </c>
      <c r="BH98">
        <f t="shared" si="90"/>
        <v>0</v>
      </c>
      <c r="BI98">
        <f t="shared" si="91"/>
        <v>0</v>
      </c>
      <c r="BJ98">
        <f t="shared" si="92"/>
        <v>0</v>
      </c>
      <c r="BK98">
        <f t="shared" si="93"/>
        <v>0</v>
      </c>
      <c r="BL98">
        <v>0</v>
      </c>
      <c r="BM98" t="str">
        <f t="shared" si="98"/>
        <v>Standard Win</v>
      </c>
      <c r="BN98" s="32" t="str">
        <f t="shared" si="99"/>
        <v>Single Win</v>
      </c>
      <c r="BO98">
        <f>(D98/Summary!$C$4-Summary!$C$8)^2*E98</f>
        <v>18088.02</v>
      </c>
      <c r="BP98">
        <f t="shared" si="94"/>
        <v>0</v>
      </c>
      <c r="BQ98">
        <f t="shared" si="95"/>
        <v>0</v>
      </c>
      <c r="BR98">
        <f t="shared" si="96"/>
        <v>0</v>
      </c>
      <c r="BS98">
        <f t="shared" si="97"/>
        <v>0</v>
      </c>
    </row>
    <row r="99" spans="2:71">
      <c r="B99" s="16">
        <f>Tiers!B100</f>
        <v>97</v>
      </c>
      <c r="C99" s="17" t="str">
        <f>Tiers!Y100</f>
        <v>main-2||||||||| x 20</v>
      </c>
      <c r="D99" s="18">
        <f>Tiers!C100</f>
        <v>10</v>
      </c>
      <c r="E99" s="19">
        <f>Frequency!E101</f>
        <v>1200</v>
      </c>
      <c r="F99" s="19">
        <f t="shared" si="51"/>
        <v>12000</v>
      </c>
      <c r="G99" s="19">
        <f>IF(Tiers!D100&gt;1,'Data Analysis'!E99,0)</f>
        <v>1200</v>
      </c>
      <c r="H99" s="19">
        <f t="shared" si="52"/>
        <v>12000</v>
      </c>
      <c r="I99" s="19">
        <f>IF(AND(D99/Summary!$C$4&gt;0, D99/Summary!$C$4&lt;5),E99,0) * D99</f>
        <v>0</v>
      </c>
      <c r="J99" s="19">
        <f>IF(AND(D99/Summary!$C$4&gt;= 5, D99/Summary!$C$4&lt;10),E99,0) * D99</f>
        <v>0</v>
      </c>
      <c r="K99" s="19">
        <f>IF(AND(D99/Summary!$C$4&gt;=10, D99/Summary!$C$4&lt;25),E99,0)*D99</f>
        <v>12000</v>
      </c>
      <c r="L99" s="19">
        <f>IF(D99/Summary!$C$4&gt;=25,E99,0)*D99</f>
        <v>0</v>
      </c>
      <c r="M99" s="27">
        <f>IF(AND(D99/Summary!$C$4&gt;0, D99/Summary!$C$4&lt;1),E99,0)</f>
        <v>0</v>
      </c>
      <c r="N99" s="27">
        <f t="shared" si="53"/>
        <v>0</v>
      </c>
      <c r="O99" s="27">
        <f>IF(D99/Summary!$C$4=1,1,0)*E99</f>
        <v>0</v>
      </c>
      <c r="P99" s="27">
        <f t="shared" si="54"/>
        <v>0</v>
      </c>
      <c r="Q99" s="27">
        <f>IF(AND(D99/Summary!$C$4&gt;1, D99/Summary!$C$4&lt;=2),1,0)*E99</f>
        <v>0</v>
      </c>
      <c r="R99" s="27">
        <f t="shared" si="55"/>
        <v>0</v>
      </c>
      <c r="S99" s="27">
        <f>IF(AND(D99/Summary!$C$4&gt;2,D99/Summary!$C$4&lt;=5),1,0)*E99</f>
        <v>0</v>
      </c>
      <c r="T99" s="27">
        <f t="shared" si="56"/>
        <v>0</v>
      </c>
      <c r="U99" s="27">
        <f>IF(AND(D99/Summary!$C$4&gt;5, D99/Summary!$C$4&lt;=10),1,0)*E99</f>
        <v>1200</v>
      </c>
      <c r="V99" s="27">
        <f t="shared" si="57"/>
        <v>12000</v>
      </c>
      <c r="W99" s="27">
        <f>IF(AND(D99/Summary!$C$4&gt;10, D99/Summary!$C$4&lt;=20),1,0)*E99</f>
        <v>0</v>
      </c>
      <c r="X99" s="27">
        <f t="shared" si="58"/>
        <v>0</v>
      </c>
      <c r="Y99" s="27">
        <f>IF(AND(D99/Summary!$C$4&gt;20, D99/Summary!$C$4&lt;=30),1,0)*E99</f>
        <v>0</v>
      </c>
      <c r="Z99" s="27">
        <f t="shared" si="59"/>
        <v>0</v>
      </c>
      <c r="AA99" s="27">
        <f>IF(AND(D99/Summary!$C$4&gt;30, D99/Summary!$C$4&lt;=50),1,0)*E99</f>
        <v>0</v>
      </c>
      <c r="AB99" s="27">
        <f t="shared" si="60"/>
        <v>0</v>
      </c>
      <c r="AC99" s="27">
        <f>IF(AND(D99/Summary!$C$4&gt;50, D99/Summary!$C$4&lt;=100),1,0)*E99</f>
        <v>0</v>
      </c>
      <c r="AD99" s="27">
        <f t="shared" si="61"/>
        <v>0</v>
      </c>
      <c r="AE99" s="27">
        <f>IF(D99/Summary!$C$4&gt;100,1,0)*E99</f>
        <v>0</v>
      </c>
      <c r="AF99" s="27">
        <f t="shared" si="62"/>
        <v>0</v>
      </c>
      <c r="AG99" s="19">
        <f t="shared" si="63"/>
        <v>0</v>
      </c>
      <c r="AH99" s="19">
        <f t="shared" si="64"/>
        <v>0</v>
      </c>
      <c r="AI99" s="19">
        <f t="shared" si="65"/>
        <v>0</v>
      </c>
      <c r="AJ99" s="27">
        <f t="shared" si="66"/>
        <v>0</v>
      </c>
      <c r="AK99" s="27">
        <f t="shared" si="67"/>
        <v>0</v>
      </c>
      <c r="AL99" s="27">
        <f t="shared" si="68"/>
        <v>0</v>
      </c>
      <c r="AM99">
        <f t="shared" si="69"/>
        <v>0</v>
      </c>
      <c r="AN99">
        <f t="shared" si="70"/>
        <v>0</v>
      </c>
      <c r="AO99">
        <f t="shared" si="71"/>
        <v>0</v>
      </c>
      <c r="AP99">
        <f t="shared" si="72"/>
        <v>0</v>
      </c>
      <c r="AQ99">
        <f t="shared" si="73"/>
        <v>0</v>
      </c>
      <c r="AR99">
        <f t="shared" si="74"/>
        <v>0</v>
      </c>
      <c r="AS99">
        <f t="shared" si="75"/>
        <v>0</v>
      </c>
      <c r="AT99">
        <f t="shared" si="76"/>
        <v>0</v>
      </c>
      <c r="AU99">
        <f t="shared" si="77"/>
        <v>0</v>
      </c>
      <c r="AV99">
        <f t="shared" si="78"/>
        <v>0</v>
      </c>
      <c r="AW99">
        <f t="shared" si="79"/>
        <v>0</v>
      </c>
      <c r="AX99">
        <f t="shared" si="80"/>
        <v>0</v>
      </c>
      <c r="AY99">
        <f t="shared" si="81"/>
        <v>0</v>
      </c>
      <c r="AZ99">
        <f t="shared" si="82"/>
        <v>0</v>
      </c>
      <c r="BA99">
        <f t="shared" si="83"/>
        <v>0</v>
      </c>
      <c r="BB99">
        <f t="shared" si="84"/>
        <v>0</v>
      </c>
      <c r="BC99">
        <f t="shared" si="85"/>
        <v>0</v>
      </c>
      <c r="BD99">
        <f t="shared" si="86"/>
        <v>0</v>
      </c>
      <c r="BE99">
        <f t="shared" si="87"/>
        <v>0</v>
      </c>
      <c r="BF99">
        <f t="shared" si="88"/>
        <v>0</v>
      </c>
      <c r="BG99">
        <f t="shared" si="89"/>
        <v>0</v>
      </c>
      <c r="BH99">
        <f t="shared" si="90"/>
        <v>0</v>
      </c>
      <c r="BI99">
        <f t="shared" si="91"/>
        <v>0</v>
      </c>
      <c r="BJ99">
        <f t="shared" si="92"/>
        <v>0</v>
      </c>
      <c r="BK99">
        <f t="shared" si="93"/>
        <v>0</v>
      </c>
      <c r="BL99">
        <v>0</v>
      </c>
      <c r="BM99" t="str">
        <f t="shared" ref="BM99:BM129" si="100">IF(D99 &lt; $D$367, $C$367,
IF(D99 = $D$368, $C$368,
IF(D99 &lt; $D$369, $C$369,
IF(D99 &lt; $D$370, $C$370,
IF(D99 &lt; $D$371, $C$371, $C$372)))))</f>
        <v>Big Win</v>
      </c>
      <c r="BN99" s="32" t="str">
        <f t="shared" ref="BN99:BN129" si="101">IF(AV99 &gt; 0,$C$376,
IF(AX99 &gt; 0,$C$377,
IF(AZ99 &gt; 0,$C$378,
IF(BB99 &gt; 0,$C$379,
IF(BD99 &gt; 0,$C$380,
IF(BF99 &gt; 0,$C$381,
IF(BH99 &gt; 0,$C$382,
IF(BJ99 &gt; 0,$C$383,
IF(ISNUMBER(SEARCH("|||||||||",C99)), $C$384,$C$385)))))))))</f>
        <v>Single Win</v>
      </c>
      <c r="BO99">
        <f>(D99/Summary!$C$4-Summary!$C$8)^2*E99</f>
        <v>100906.68</v>
      </c>
      <c r="BP99">
        <f t="shared" si="94"/>
        <v>0</v>
      </c>
      <c r="BQ99">
        <f t="shared" si="95"/>
        <v>0</v>
      </c>
      <c r="BR99">
        <f t="shared" si="96"/>
        <v>0</v>
      </c>
      <c r="BS99">
        <f t="shared" si="97"/>
        <v>0</v>
      </c>
    </row>
    <row r="100" spans="2:71">
      <c r="B100" s="16">
        <f>Tiers!B101</f>
        <v>98</v>
      </c>
      <c r="C100" s="17" t="str">
        <f>Tiers!Y101</f>
        <v>main-3||||||||| x 20</v>
      </c>
      <c r="D100" s="18">
        <f>Tiers!C101</f>
        <v>20</v>
      </c>
      <c r="E100" s="19">
        <f>Frequency!E102</f>
        <v>900</v>
      </c>
      <c r="F100" s="19">
        <f t="shared" si="51"/>
        <v>18000</v>
      </c>
      <c r="G100" s="19">
        <f>IF(Tiers!D101&gt;1,'Data Analysis'!E100,0)</f>
        <v>900</v>
      </c>
      <c r="H100" s="19">
        <f t="shared" si="52"/>
        <v>18000</v>
      </c>
      <c r="I100" s="19">
        <f>IF(AND(D100/Summary!$C$4&gt;0, D100/Summary!$C$4&lt;5),E100,0) * D100</f>
        <v>0</v>
      </c>
      <c r="J100" s="19">
        <f>IF(AND(D100/Summary!$C$4&gt;= 5, D100/Summary!$C$4&lt;10),E100,0) * D100</f>
        <v>0</v>
      </c>
      <c r="K100" s="19">
        <f>IF(AND(D100/Summary!$C$4&gt;=10, D100/Summary!$C$4&lt;25),E100,0)*D100</f>
        <v>18000</v>
      </c>
      <c r="L100" s="19">
        <f>IF(D100/Summary!$C$4&gt;=25,E100,0)*D100</f>
        <v>0</v>
      </c>
      <c r="M100" s="27">
        <f>IF(AND(D100/Summary!$C$4&gt;0, D100/Summary!$C$4&lt;1),E100,0)</f>
        <v>0</v>
      </c>
      <c r="N100" s="27">
        <f t="shared" si="53"/>
        <v>0</v>
      </c>
      <c r="O100" s="27">
        <f>IF(D100/Summary!$C$4=1,1,0)*E100</f>
        <v>0</v>
      </c>
      <c r="P100" s="27">
        <f t="shared" si="54"/>
        <v>0</v>
      </c>
      <c r="Q100" s="27">
        <f>IF(AND(D100/Summary!$C$4&gt;1, D100/Summary!$C$4&lt;=2),1,0)*E100</f>
        <v>0</v>
      </c>
      <c r="R100" s="27">
        <f t="shared" si="55"/>
        <v>0</v>
      </c>
      <c r="S100" s="27">
        <f>IF(AND(D100/Summary!$C$4&gt;2,D100/Summary!$C$4&lt;=5),1,0)*E100</f>
        <v>0</v>
      </c>
      <c r="T100" s="27">
        <f t="shared" si="56"/>
        <v>0</v>
      </c>
      <c r="U100" s="27">
        <f>IF(AND(D100/Summary!$C$4&gt;5, D100/Summary!$C$4&lt;=10),1,0)*E100</f>
        <v>0</v>
      </c>
      <c r="V100" s="27">
        <f t="shared" si="57"/>
        <v>0</v>
      </c>
      <c r="W100" s="27">
        <f>IF(AND(D100/Summary!$C$4&gt;10, D100/Summary!$C$4&lt;=20),1,0)*E100</f>
        <v>900</v>
      </c>
      <c r="X100" s="27">
        <f t="shared" si="58"/>
        <v>18000</v>
      </c>
      <c r="Y100" s="27">
        <f>IF(AND(D100/Summary!$C$4&gt;20, D100/Summary!$C$4&lt;=30),1,0)*E100</f>
        <v>0</v>
      </c>
      <c r="Z100" s="27">
        <f t="shared" si="59"/>
        <v>0</v>
      </c>
      <c r="AA100" s="27">
        <f>IF(AND(D100/Summary!$C$4&gt;30, D100/Summary!$C$4&lt;=50),1,0)*E100</f>
        <v>0</v>
      </c>
      <c r="AB100" s="27">
        <f t="shared" si="60"/>
        <v>0</v>
      </c>
      <c r="AC100" s="27">
        <f>IF(AND(D100/Summary!$C$4&gt;50, D100/Summary!$C$4&lt;=100),1,0)*E100</f>
        <v>0</v>
      </c>
      <c r="AD100" s="27">
        <f t="shared" si="61"/>
        <v>0</v>
      </c>
      <c r="AE100" s="27">
        <f>IF(D100/Summary!$C$4&gt;100,1,0)*E100</f>
        <v>0</v>
      </c>
      <c r="AF100" s="27">
        <f t="shared" si="62"/>
        <v>0</v>
      </c>
      <c r="AG100" s="19">
        <f t="shared" si="63"/>
        <v>0</v>
      </c>
      <c r="AH100" s="19">
        <f t="shared" si="64"/>
        <v>0</v>
      </c>
      <c r="AI100" s="19">
        <f t="shared" si="65"/>
        <v>0</v>
      </c>
      <c r="AJ100" s="27">
        <f t="shared" si="66"/>
        <v>0</v>
      </c>
      <c r="AK100" s="27">
        <f t="shared" si="67"/>
        <v>0</v>
      </c>
      <c r="AL100" s="27">
        <f t="shared" si="68"/>
        <v>0</v>
      </c>
      <c r="AM100">
        <f t="shared" si="69"/>
        <v>0</v>
      </c>
      <c r="AN100">
        <f t="shared" si="70"/>
        <v>0</v>
      </c>
      <c r="AO100">
        <f t="shared" si="71"/>
        <v>0</v>
      </c>
      <c r="AP100">
        <f t="shared" si="72"/>
        <v>0</v>
      </c>
      <c r="AQ100">
        <f t="shared" si="73"/>
        <v>0</v>
      </c>
      <c r="AR100">
        <f t="shared" si="74"/>
        <v>0</v>
      </c>
      <c r="AS100">
        <f t="shared" si="75"/>
        <v>0</v>
      </c>
      <c r="AT100">
        <f t="shared" si="76"/>
        <v>0</v>
      </c>
      <c r="AU100">
        <f t="shared" si="77"/>
        <v>0</v>
      </c>
      <c r="AV100">
        <f t="shared" si="78"/>
        <v>0</v>
      </c>
      <c r="AW100">
        <f t="shared" si="79"/>
        <v>0</v>
      </c>
      <c r="AX100">
        <f t="shared" si="80"/>
        <v>0</v>
      </c>
      <c r="AY100">
        <f t="shared" si="81"/>
        <v>0</v>
      </c>
      <c r="AZ100">
        <f t="shared" si="82"/>
        <v>0</v>
      </c>
      <c r="BA100">
        <f t="shared" si="83"/>
        <v>0</v>
      </c>
      <c r="BB100">
        <f t="shared" si="84"/>
        <v>0</v>
      </c>
      <c r="BC100">
        <f t="shared" si="85"/>
        <v>0</v>
      </c>
      <c r="BD100">
        <f t="shared" si="86"/>
        <v>0</v>
      </c>
      <c r="BE100">
        <f t="shared" si="87"/>
        <v>0</v>
      </c>
      <c r="BF100">
        <f t="shared" si="88"/>
        <v>0</v>
      </c>
      <c r="BG100">
        <f t="shared" si="89"/>
        <v>0</v>
      </c>
      <c r="BH100">
        <f t="shared" si="90"/>
        <v>0</v>
      </c>
      <c r="BI100">
        <f t="shared" si="91"/>
        <v>0</v>
      </c>
      <c r="BJ100">
        <f t="shared" si="92"/>
        <v>0</v>
      </c>
      <c r="BK100">
        <f t="shared" si="93"/>
        <v>0</v>
      </c>
      <c r="BL100">
        <v>0</v>
      </c>
      <c r="BM100" t="str">
        <f t="shared" si="100"/>
        <v>Big Win</v>
      </c>
      <c r="BN100" s="32" t="str">
        <f t="shared" si="101"/>
        <v>Single Win</v>
      </c>
      <c r="BO100">
        <f>(D100/Summary!$C$4-Summary!$C$8)^2*E100</f>
        <v>330740.01000000007</v>
      </c>
      <c r="BP100">
        <f t="shared" si="94"/>
        <v>0</v>
      </c>
      <c r="BQ100">
        <f t="shared" si="95"/>
        <v>0</v>
      </c>
      <c r="BR100">
        <f t="shared" si="96"/>
        <v>0</v>
      </c>
      <c r="BS100">
        <f t="shared" si="97"/>
        <v>0</v>
      </c>
    </row>
    <row r="101" spans="2:71">
      <c r="B101" s="16">
        <f>Tiers!B102</f>
        <v>99</v>
      </c>
      <c r="C101" s="17" t="str">
        <f>Tiers!Y102</f>
        <v>main-4||||||||| x 20</v>
      </c>
      <c r="D101" s="18">
        <f>Tiers!C102</f>
        <v>30</v>
      </c>
      <c r="E101" s="19">
        <f>Frequency!E103</f>
        <v>162</v>
      </c>
      <c r="F101" s="19">
        <f t="shared" si="51"/>
        <v>4860</v>
      </c>
      <c r="G101" s="19">
        <f>IF(Tiers!D102&gt;1,'Data Analysis'!E101,0)</f>
        <v>162</v>
      </c>
      <c r="H101" s="19">
        <f t="shared" si="52"/>
        <v>4860</v>
      </c>
      <c r="I101" s="19">
        <f>IF(AND(D101/Summary!$C$4&gt;0, D101/Summary!$C$4&lt;5),E101,0) * D101</f>
        <v>0</v>
      </c>
      <c r="J101" s="19">
        <f>IF(AND(D101/Summary!$C$4&gt;= 5, D101/Summary!$C$4&lt;10),E101,0) * D101</f>
        <v>0</v>
      </c>
      <c r="K101" s="19">
        <f>IF(AND(D101/Summary!$C$4&gt;=10, D101/Summary!$C$4&lt;25),E101,0)*D101</f>
        <v>0</v>
      </c>
      <c r="L101" s="19">
        <f>IF(D101/Summary!$C$4&gt;=25,E101,0)*D101</f>
        <v>4860</v>
      </c>
      <c r="M101" s="27">
        <f>IF(AND(D101/Summary!$C$4&gt;0, D101/Summary!$C$4&lt;1),E101,0)</f>
        <v>0</v>
      </c>
      <c r="N101" s="27">
        <f t="shared" si="53"/>
        <v>0</v>
      </c>
      <c r="O101" s="27">
        <f>IF(D101/Summary!$C$4=1,1,0)*E101</f>
        <v>0</v>
      </c>
      <c r="P101" s="27">
        <f t="shared" si="54"/>
        <v>0</v>
      </c>
      <c r="Q101" s="27">
        <f>IF(AND(D101/Summary!$C$4&gt;1, D101/Summary!$C$4&lt;=2),1,0)*E101</f>
        <v>0</v>
      </c>
      <c r="R101" s="27">
        <f t="shared" si="55"/>
        <v>0</v>
      </c>
      <c r="S101" s="27">
        <f>IF(AND(D101/Summary!$C$4&gt;2,D101/Summary!$C$4&lt;=5),1,0)*E101</f>
        <v>0</v>
      </c>
      <c r="T101" s="27">
        <f t="shared" si="56"/>
        <v>0</v>
      </c>
      <c r="U101" s="27">
        <f>IF(AND(D101/Summary!$C$4&gt;5, D101/Summary!$C$4&lt;=10),1,0)*E101</f>
        <v>0</v>
      </c>
      <c r="V101" s="27">
        <f t="shared" si="57"/>
        <v>0</v>
      </c>
      <c r="W101" s="27">
        <f>IF(AND(D101/Summary!$C$4&gt;10, D101/Summary!$C$4&lt;=20),1,0)*E101</f>
        <v>0</v>
      </c>
      <c r="X101" s="27">
        <f t="shared" si="58"/>
        <v>0</v>
      </c>
      <c r="Y101" s="27">
        <f>IF(AND(D101/Summary!$C$4&gt;20, D101/Summary!$C$4&lt;=30),1,0)*E101</f>
        <v>162</v>
      </c>
      <c r="Z101" s="27">
        <f t="shared" si="59"/>
        <v>4860</v>
      </c>
      <c r="AA101" s="27">
        <f>IF(AND(D101/Summary!$C$4&gt;30, D101/Summary!$C$4&lt;=50),1,0)*E101</f>
        <v>0</v>
      </c>
      <c r="AB101" s="27">
        <f t="shared" si="60"/>
        <v>0</v>
      </c>
      <c r="AC101" s="27">
        <f>IF(AND(D101/Summary!$C$4&gt;50, D101/Summary!$C$4&lt;=100),1,0)*E101</f>
        <v>0</v>
      </c>
      <c r="AD101" s="27">
        <f t="shared" si="61"/>
        <v>0</v>
      </c>
      <c r="AE101" s="27">
        <f>IF(D101/Summary!$C$4&gt;100,1,0)*E101</f>
        <v>0</v>
      </c>
      <c r="AF101" s="27">
        <f t="shared" si="62"/>
        <v>0</v>
      </c>
      <c r="AG101" s="19">
        <f t="shared" si="63"/>
        <v>0</v>
      </c>
      <c r="AH101" s="19">
        <f t="shared" si="64"/>
        <v>0</v>
      </c>
      <c r="AI101" s="19">
        <f t="shared" si="65"/>
        <v>0</v>
      </c>
      <c r="AJ101" s="27">
        <f t="shared" si="66"/>
        <v>0</v>
      </c>
      <c r="AK101" s="27">
        <f t="shared" si="67"/>
        <v>0</v>
      </c>
      <c r="AL101" s="27">
        <f t="shared" si="68"/>
        <v>0</v>
      </c>
      <c r="AM101">
        <f t="shared" si="69"/>
        <v>0</v>
      </c>
      <c r="AN101">
        <f t="shared" si="70"/>
        <v>0</v>
      </c>
      <c r="AO101">
        <f t="shared" si="71"/>
        <v>0</v>
      </c>
      <c r="AP101">
        <f t="shared" si="72"/>
        <v>0</v>
      </c>
      <c r="AQ101">
        <f t="shared" si="73"/>
        <v>0</v>
      </c>
      <c r="AR101">
        <f t="shared" si="74"/>
        <v>0</v>
      </c>
      <c r="AS101">
        <f t="shared" si="75"/>
        <v>0</v>
      </c>
      <c r="AT101">
        <f t="shared" si="76"/>
        <v>0</v>
      </c>
      <c r="AU101">
        <f t="shared" si="77"/>
        <v>0</v>
      </c>
      <c r="AV101">
        <f t="shared" si="78"/>
        <v>0</v>
      </c>
      <c r="AW101">
        <f t="shared" si="79"/>
        <v>0</v>
      </c>
      <c r="AX101">
        <f t="shared" si="80"/>
        <v>0</v>
      </c>
      <c r="AY101">
        <f t="shared" si="81"/>
        <v>0</v>
      </c>
      <c r="AZ101">
        <f t="shared" si="82"/>
        <v>0</v>
      </c>
      <c r="BA101">
        <f t="shared" si="83"/>
        <v>0</v>
      </c>
      <c r="BB101">
        <f t="shared" si="84"/>
        <v>0</v>
      </c>
      <c r="BC101">
        <f t="shared" si="85"/>
        <v>0</v>
      </c>
      <c r="BD101">
        <f t="shared" si="86"/>
        <v>0</v>
      </c>
      <c r="BE101">
        <f t="shared" si="87"/>
        <v>0</v>
      </c>
      <c r="BF101">
        <f t="shared" si="88"/>
        <v>0</v>
      </c>
      <c r="BG101">
        <f t="shared" si="89"/>
        <v>0</v>
      </c>
      <c r="BH101">
        <f t="shared" si="90"/>
        <v>0</v>
      </c>
      <c r="BI101">
        <f t="shared" si="91"/>
        <v>0</v>
      </c>
      <c r="BJ101">
        <f t="shared" si="92"/>
        <v>0</v>
      </c>
      <c r="BK101">
        <f t="shared" si="93"/>
        <v>0</v>
      </c>
      <c r="BL101">
        <v>0</v>
      </c>
      <c r="BM101" t="str">
        <f t="shared" si="100"/>
        <v>Big Win</v>
      </c>
      <c r="BN101" s="32" t="str">
        <f t="shared" si="101"/>
        <v>Single Win</v>
      </c>
      <c r="BO101">
        <f>(D101/Summary!$C$4-Summary!$C$8)^2*E101</f>
        <v>137844.00180000003</v>
      </c>
      <c r="BP101">
        <f t="shared" si="94"/>
        <v>0</v>
      </c>
      <c r="BQ101">
        <f t="shared" si="95"/>
        <v>0</v>
      </c>
      <c r="BR101">
        <f t="shared" si="96"/>
        <v>0</v>
      </c>
      <c r="BS101">
        <f t="shared" si="97"/>
        <v>0</v>
      </c>
    </row>
    <row r="102" spans="2:71">
      <c r="B102" s="16">
        <f>Tiers!B103</f>
        <v>100</v>
      </c>
      <c r="C102" s="17" t="str">
        <f>Tiers!Y103</f>
        <v>main-5||||||||| x 20</v>
      </c>
      <c r="D102" s="18">
        <f>Tiers!C103</f>
        <v>40</v>
      </c>
      <c r="E102" s="19">
        <f>Frequency!E104</f>
        <v>200</v>
      </c>
      <c r="F102" s="19">
        <f t="shared" si="51"/>
        <v>8000</v>
      </c>
      <c r="G102" s="19">
        <f>IF(Tiers!D103&gt;1,'Data Analysis'!E102,0)</f>
        <v>200</v>
      </c>
      <c r="H102" s="19">
        <f t="shared" si="52"/>
        <v>8000</v>
      </c>
      <c r="I102" s="19">
        <f>IF(AND(D102/Summary!$C$4&gt;0, D102/Summary!$C$4&lt;5),E102,0) * D102</f>
        <v>0</v>
      </c>
      <c r="J102" s="19">
        <f>IF(AND(D102/Summary!$C$4&gt;= 5, D102/Summary!$C$4&lt;10),E102,0) * D102</f>
        <v>0</v>
      </c>
      <c r="K102" s="19">
        <f>IF(AND(D102/Summary!$C$4&gt;=10, D102/Summary!$C$4&lt;25),E102,0)*D102</f>
        <v>0</v>
      </c>
      <c r="L102" s="19">
        <f>IF(D102/Summary!$C$4&gt;=25,E102,0)*D102</f>
        <v>8000</v>
      </c>
      <c r="M102" s="27">
        <f>IF(AND(D102/Summary!$C$4&gt;0, D102/Summary!$C$4&lt;1),E102,0)</f>
        <v>0</v>
      </c>
      <c r="N102" s="27">
        <f t="shared" si="53"/>
        <v>0</v>
      </c>
      <c r="O102" s="27">
        <f>IF(D102/Summary!$C$4=1,1,0)*E102</f>
        <v>0</v>
      </c>
      <c r="P102" s="27">
        <f t="shared" si="54"/>
        <v>0</v>
      </c>
      <c r="Q102" s="27">
        <f>IF(AND(D102/Summary!$C$4&gt;1, D102/Summary!$C$4&lt;=2),1,0)*E102</f>
        <v>0</v>
      </c>
      <c r="R102" s="27">
        <f t="shared" si="55"/>
        <v>0</v>
      </c>
      <c r="S102" s="27">
        <f>IF(AND(D102/Summary!$C$4&gt;2,D102/Summary!$C$4&lt;=5),1,0)*E102</f>
        <v>0</v>
      </c>
      <c r="T102" s="27">
        <f t="shared" si="56"/>
        <v>0</v>
      </c>
      <c r="U102" s="27">
        <f>IF(AND(D102/Summary!$C$4&gt;5, D102/Summary!$C$4&lt;=10),1,0)*E102</f>
        <v>0</v>
      </c>
      <c r="V102" s="27">
        <f t="shared" si="57"/>
        <v>0</v>
      </c>
      <c r="W102" s="27">
        <f>IF(AND(D102/Summary!$C$4&gt;10, D102/Summary!$C$4&lt;=20),1,0)*E102</f>
        <v>0</v>
      </c>
      <c r="X102" s="27">
        <f t="shared" si="58"/>
        <v>0</v>
      </c>
      <c r="Y102" s="27">
        <f>IF(AND(D102/Summary!$C$4&gt;20, D102/Summary!$C$4&lt;=30),1,0)*E102</f>
        <v>0</v>
      </c>
      <c r="Z102" s="27">
        <f t="shared" si="59"/>
        <v>0</v>
      </c>
      <c r="AA102" s="27">
        <f>IF(AND(D102/Summary!$C$4&gt;30, D102/Summary!$C$4&lt;=50),1,0)*E102</f>
        <v>200</v>
      </c>
      <c r="AB102" s="27">
        <f t="shared" si="60"/>
        <v>8000</v>
      </c>
      <c r="AC102" s="27">
        <f>IF(AND(D102/Summary!$C$4&gt;50, D102/Summary!$C$4&lt;=100),1,0)*E102</f>
        <v>0</v>
      </c>
      <c r="AD102" s="27">
        <f t="shared" si="61"/>
        <v>0</v>
      </c>
      <c r="AE102" s="27">
        <f>IF(D102/Summary!$C$4&gt;100,1,0)*E102</f>
        <v>0</v>
      </c>
      <c r="AF102" s="27">
        <f t="shared" si="62"/>
        <v>0</v>
      </c>
      <c r="AG102" s="19">
        <f t="shared" si="63"/>
        <v>0</v>
      </c>
      <c r="AH102" s="19">
        <f t="shared" si="64"/>
        <v>0</v>
      </c>
      <c r="AI102" s="19">
        <f t="shared" si="65"/>
        <v>0</v>
      </c>
      <c r="AJ102" s="27">
        <f t="shared" si="66"/>
        <v>0</v>
      </c>
      <c r="AK102" s="27">
        <f t="shared" si="67"/>
        <v>0</v>
      </c>
      <c r="AL102" s="27">
        <f t="shared" si="68"/>
        <v>0</v>
      </c>
      <c r="AM102">
        <f t="shared" si="69"/>
        <v>0</v>
      </c>
      <c r="AN102">
        <f t="shared" si="70"/>
        <v>0</v>
      </c>
      <c r="AO102">
        <f t="shared" si="71"/>
        <v>0</v>
      </c>
      <c r="AP102">
        <f t="shared" si="72"/>
        <v>0</v>
      </c>
      <c r="AQ102">
        <f t="shared" si="73"/>
        <v>0</v>
      </c>
      <c r="AR102">
        <f t="shared" si="74"/>
        <v>0</v>
      </c>
      <c r="AS102">
        <f t="shared" si="75"/>
        <v>0</v>
      </c>
      <c r="AT102">
        <f t="shared" si="76"/>
        <v>0</v>
      </c>
      <c r="AU102">
        <f t="shared" si="77"/>
        <v>0</v>
      </c>
      <c r="AV102">
        <f t="shared" si="78"/>
        <v>0</v>
      </c>
      <c r="AW102">
        <f t="shared" si="79"/>
        <v>0</v>
      </c>
      <c r="AX102">
        <f t="shared" si="80"/>
        <v>0</v>
      </c>
      <c r="AY102">
        <f t="shared" si="81"/>
        <v>0</v>
      </c>
      <c r="AZ102">
        <f t="shared" si="82"/>
        <v>0</v>
      </c>
      <c r="BA102">
        <f t="shared" si="83"/>
        <v>0</v>
      </c>
      <c r="BB102">
        <f t="shared" si="84"/>
        <v>0</v>
      </c>
      <c r="BC102">
        <f t="shared" si="85"/>
        <v>0</v>
      </c>
      <c r="BD102">
        <f t="shared" si="86"/>
        <v>0</v>
      </c>
      <c r="BE102">
        <f t="shared" si="87"/>
        <v>0</v>
      </c>
      <c r="BF102">
        <f t="shared" si="88"/>
        <v>0</v>
      </c>
      <c r="BG102">
        <f t="shared" si="89"/>
        <v>0</v>
      </c>
      <c r="BH102">
        <f t="shared" si="90"/>
        <v>0</v>
      </c>
      <c r="BI102">
        <f t="shared" si="91"/>
        <v>0</v>
      </c>
      <c r="BJ102">
        <f t="shared" si="92"/>
        <v>0</v>
      </c>
      <c r="BK102">
        <f t="shared" si="93"/>
        <v>0</v>
      </c>
      <c r="BL102">
        <v>0</v>
      </c>
      <c r="BM102" t="str">
        <f t="shared" si="100"/>
        <v>Big Win</v>
      </c>
      <c r="BN102" s="32" t="str">
        <f t="shared" si="101"/>
        <v>Single Win</v>
      </c>
      <c r="BO102">
        <f>(D102/Summary!$C$4-Summary!$C$8)^2*E102</f>
        <v>306857.78000000003</v>
      </c>
      <c r="BP102">
        <f t="shared" si="94"/>
        <v>0</v>
      </c>
      <c r="BQ102">
        <f t="shared" si="95"/>
        <v>0</v>
      </c>
      <c r="BR102">
        <f t="shared" si="96"/>
        <v>0</v>
      </c>
      <c r="BS102">
        <f t="shared" si="97"/>
        <v>0</v>
      </c>
    </row>
    <row r="103" spans="2:71">
      <c r="B103" s="16">
        <f>Tiers!B104</f>
        <v>101</v>
      </c>
      <c r="C103" s="17" t="str">
        <f>Tiers!Y104</f>
        <v>main-10||||||||| x 20</v>
      </c>
      <c r="D103" s="18">
        <f>Tiers!C104</f>
        <v>20</v>
      </c>
      <c r="E103" s="19">
        <f>Frequency!E105</f>
        <v>900</v>
      </c>
      <c r="F103" s="19">
        <f t="shared" si="51"/>
        <v>18000</v>
      </c>
      <c r="G103" s="19">
        <f>IF(Tiers!D104&gt;1,'Data Analysis'!E103,0)</f>
        <v>900</v>
      </c>
      <c r="H103" s="19">
        <f t="shared" si="52"/>
        <v>18000</v>
      </c>
      <c r="I103" s="19">
        <f>IF(AND(D103/Summary!$C$4&gt;0, D103/Summary!$C$4&lt;5),E103,0) * D103</f>
        <v>0</v>
      </c>
      <c r="J103" s="19">
        <f>IF(AND(D103/Summary!$C$4&gt;= 5, D103/Summary!$C$4&lt;10),E103,0) * D103</f>
        <v>0</v>
      </c>
      <c r="K103" s="19">
        <f>IF(AND(D103/Summary!$C$4&gt;=10, D103/Summary!$C$4&lt;25),E103,0)*D103</f>
        <v>18000</v>
      </c>
      <c r="L103" s="19">
        <f>IF(D103/Summary!$C$4&gt;=25,E103,0)*D103</f>
        <v>0</v>
      </c>
      <c r="M103" s="27">
        <f>IF(AND(D103/Summary!$C$4&gt;0, D103/Summary!$C$4&lt;1),E103,0)</f>
        <v>0</v>
      </c>
      <c r="N103" s="27">
        <f t="shared" si="53"/>
        <v>0</v>
      </c>
      <c r="O103" s="27">
        <f>IF(D103/Summary!$C$4=1,1,0)*E103</f>
        <v>0</v>
      </c>
      <c r="P103" s="27">
        <f t="shared" si="54"/>
        <v>0</v>
      </c>
      <c r="Q103" s="27">
        <f>IF(AND(D103/Summary!$C$4&gt;1, D103/Summary!$C$4&lt;=2),1,0)*E103</f>
        <v>0</v>
      </c>
      <c r="R103" s="27">
        <f t="shared" si="55"/>
        <v>0</v>
      </c>
      <c r="S103" s="27">
        <f>IF(AND(D103/Summary!$C$4&gt;2,D103/Summary!$C$4&lt;=5),1,0)*E103</f>
        <v>0</v>
      </c>
      <c r="T103" s="27">
        <f t="shared" si="56"/>
        <v>0</v>
      </c>
      <c r="U103" s="27">
        <f>IF(AND(D103/Summary!$C$4&gt;5, D103/Summary!$C$4&lt;=10),1,0)*E103</f>
        <v>0</v>
      </c>
      <c r="V103" s="27">
        <f t="shared" si="57"/>
        <v>0</v>
      </c>
      <c r="W103" s="27">
        <f>IF(AND(D103/Summary!$C$4&gt;10, D103/Summary!$C$4&lt;=20),1,0)*E103</f>
        <v>900</v>
      </c>
      <c r="X103" s="27">
        <f t="shared" si="58"/>
        <v>18000</v>
      </c>
      <c r="Y103" s="27">
        <f>IF(AND(D103/Summary!$C$4&gt;20, D103/Summary!$C$4&lt;=30),1,0)*E103</f>
        <v>0</v>
      </c>
      <c r="Z103" s="27">
        <f t="shared" si="59"/>
        <v>0</v>
      </c>
      <c r="AA103" s="27">
        <f>IF(AND(D103/Summary!$C$4&gt;30, D103/Summary!$C$4&lt;=50),1,0)*E103</f>
        <v>0</v>
      </c>
      <c r="AB103" s="27">
        <f t="shared" si="60"/>
        <v>0</v>
      </c>
      <c r="AC103" s="27">
        <f>IF(AND(D103/Summary!$C$4&gt;50, D103/Summary!$C$4&lt;=100),1,0)*E103</f>
        <v>0</v>
      </c>
      <c r="AD103" s="27">
        <f t="shared" si="61"/>
        <v>0</v>
      </c>
      <c r="AE103" s="27">
        <f>IF(D103/Summary!$C$4&gt;100,1,0)*E103</f>
        <v>0</v>
      </c>
      <c r="AF103" s="27">
        <f t="shared" si="62"/>
        <v>0</v>
      </c>
      <c r="AG103" s="19">
        <f t="shared" si="63"/>
        <v>0</v>
      </c>
      <c r="AH103" s="19">
        <f t="shared" si="64"/>
        <v>0</v>
      </c>
      <c r="AI103" s="19">
        <f t="shared" si="65"/>
        <v>0</v>
      </c>
      <c r="AJ103" s="27">
        <f t="shared" si="66"/>
        <v>0</v>
      </c>
      <c r="AK103" s="27">
        <f t="shared" si="67"/>
        <v>0</v>
      </c>
      <c r="AL103" s="27">
        <f t="shared" si="68"/>
        <v>0</v>
      </c>
      <c r="AM103">
        <f t="shared" si="69"/>
        <v>0</v>
      </c>
      <c r="AN103">
        <f t="shared" si="70"/>
        <v>0</v>
      </c>
      <c r="AO103">
        <f t="shared" si="71"/>
        <v>0</v>
      </c>
      <c r="AP103">
        <f t="shared" si="72"/>
        <v>0</v>
      </c>
      <c r="AQ103">
        <f t="shared" si="73"/>
        <v>0</v>
      </c>
      <c r="AR103">
        <f t="shared" si="74"/>
        <v>0</v>
      </c>
      <c r="AS103">
        <f t="shared" si="75"/>
        <v>0</v>
      </c>
      <c r="AT103">
        <f t="shared" si="76"/>
        <v>0</v>
      </c>
      <c r="AU103">
        <f t="shared" si="77"/>
        <v>0</v>
      </c>
      <c r="AV103">
        <f t="shared" si="78"/>
        <v>0</v>
      </c>
      <c r="AW103">
        <f t="shared" si="79"/>
        <v>0</v>
      </c>
      <c r="AX103">
        <f t="shared" si="80"/>
        <v>0</v>
      </c>
      <c r="AY103">
        <f t="shared" si="81"/>
        <v>0</v>
      </c>
      <c r="AZ103">
        <f t="shared" si="82"/>
        <v>0</v>
      </c>
      <c r="BA103">
        <f t="shared" si="83"/>
        <v>0</v>
      </c>
      <c r="BB103">
        <f t="shared" si="84"/>
        <v>0</v>
      </c>
      <c r="BC103">
        <f t="shared" si="85"/>
        <v>0</v>
      </c>
      <c r="BD103">
        <f t="shared" si="86"/>
        <v>0</v>
      </c>
      <c r="BE103">
        <f t="shared" si="87"/>
        <v>0</v>
      </c>
      <c r="BF103">
        <f t="shared" si="88"/>
        <v>0</v>
      </c>
      <c r="BG103">
        <f t="shared" si="89"/>
        <v>0</v>
      </c>
      <c r="BH103">
        <f t="shared" si="90"/>
        <v>0</v>
      </c>
      <c r="BI103">
        <f t="shared" si="91"/>
        <v>0</v>
      </c>
      <c r="BJ103">
        <f t="shared" si="92"/>
        <v>0</v>
      </c>
      <c r="BK103">
        <f t="shared" si="93"/>
        <v>0</v>
      </c>
      <c r="BL103">
        <v>0</v>
      </c>
      <c r="BM103" t="str">
        <f t="shared" si="100"/>
        <v>Big Win</v>
      </c>
      <c r="BN103" s="32" t="str">
        <f t="shared" si="101"/>
        <v>Single Win</v>
      </c>
      <c r="BO103">
        <f>(D103/Summary!$C$4-Summary!$C$8)^2*E103</f>
        <v>330740.01000000007</v>
      </c>
      <c r="BP103">
        <f t="shared" si="94"/>
        <v>0</v>
      </c>
      <c r="BQ103">
        <f t="shared" si="95"/>
        <v>0</v>
      </c>
      <c r="BR103">
        <f t="shared" si="96"/>
        <v>0</v>
      </c>
      <c r="BS103">
        <f t="shared" si="97"/>
        <v>0</v>
      </c>
    </row>
    <row r="104" spans="2:71">
      <c r="B104" s="16">
        <f>Tiers!B105</f>
        <v>102</v>
      </c>
      <c r="C104" s="17" t="str">
        <f>Tiers!Y105</f>
        <v>main-11||||||||| x 20</v>
      </c>
      <c r="D104" s="18">
        <f>Tiers!C105</f>
        <v>30</v>
      </c>
      <c r="E104" s="19">
        <f>Frequency!E106</f>
        <v>162</v>
      </c>
      <c r="F104" s="19">
        <f t="shared" si="51"/>
        <v>4860</v>
      </c>
      <c r="G104" s="19">
        <f>IF(Tiers!D105&gt;1,'Data Analysis'!E104,0)</f>
        <v>162</v>
      </c>
      <c r="H104" s="19">
        <f t="shared" si="52"/>
        <v>4860</v>
      </c>
      <c r="I104" s="19">
        <f>IF(AND(D104/Summary!$C$4&gt;0, D104/Summary!$C$4&lt;5),E104,0) * D104</f>
        <v>0</v>
      </c>
      <c r="J104" s="19">
        <f>IF(AND(D104/Summary!$C$4&gt;= 5, D104/Summary!$C$4&lt;10),E104,0) * D104</f>
        <v>0</v>
      </c>
      <c r="K104" s="19">
        <f>IF(AND(D104/Summary!$C$4&gt;=10, D104/Summary!$C$4&lt;25),E104,0)*D104</f>
        <v>0</v>
      </c>
      <c r="L104" s="19">
        <f>IF(D104/Summary!$C$4&gt;=25,E104,0)*D104</f>
        <v>4860</v>
      </c>
      <c r="M104" s="27">
        <f>IF(AND(D104/Summary!$C$4&gt;0, D104/Summary!$C$4&lt;1),E104,0)</f>
        <v>0</v>
      </c>
      <c r="N104" s="27">
        <f t="shared" si="53"/>
        <v>0</v>
      </c>
      <c r="O104" s="27">
        <f>IF(D104/Summary!$C$4=1,1,0)*E104</f>
        <v>0</v>
      </c>
      <c r="P104" s="27">
        <f t="shared" si="54"/>
        <v>0</v>
      </c>
      <c r="Q104" s="27">
        <f>IF(AND(D104/Summary!$C$4&gt;1, D104/Summary!$C$4&lt;=2),1,0)*E104</f>
        <v>0</v>
      </c>
      <c r="R104" s="27">
        <f t="shared" si="55"/>
        <v>0</v>
      </c>
      <c r="S104" s="27">
        <f>IF(AND(D104/Summary!$C$4&gt;2,D104/Summary!$C$4&lt;=5),1,0)*E104</f>
        <v>0</v>
      </c>
      <c r="T104" s="27">
        <f t="shared" si="56"/>
        <v>0</v>
      </c>
      <c r="U104" s="27">
        <f>IF(AND(D104/Summary!$C$4&gt;5, D104/Summary!$C$4&lt;=10),1,0)*E104</f>
        <v>0</v>
      </c>
      <c r="V104" s="27">
        <f t="shared" si="57"/>
        <v>0</v>
      </c>
      <c r="W104" s="27">
        <f>IF(AND(D104/Summary!$C$4&gt;10, D104/Summary!$C$4&lt;=20),1,0)*E104</f>
        <v>0</v>
      </c>
      <c r="X104" s="27">
        <f t="shared" si="58"/>
        <v>0</v>
      </c>
      <c r="Y104" s="27">
        <f>IF(AND(D104/Summary!$C$4&gt;20, D104/Summary!$C$4&lt;=30),1,0)*E104</f>
        <v>162</v>
      </c>
      <c r="Z104" s="27">
        <f t="shared" si="59"/>
        <v>4860</v>
      </c>
      <c r="AA104" s="27">
        <f>IF(AND(D104/Summary!$C$4&gt;30, D104/Summary!$C$4&lt;=50),1,0)*E104</f>
        <v>0</v>
      </c>
      <c r="AB104" s="27">
        <f t="shared" si="60"/>
        <v>0</v>
      </c>
      <c r="AC104" s="27">
        <f>IF(AND(D104/Summary!$C$4&gt;50, D104/Summary!$C$4&lt;=100),1,0)*E104</f>
        <v>0</v>
      </c>
      <c r="AD104" s="27">
        <f t="shared" si="61"/>
        <v>0</v>
      </c>
      <c r="AE104" s="27">
        <f>IF(D104/Summary!$C$4&gt;100,1,0)*E104</f>
        <v>0</v>
      </c>
      <c r="AF104" s="27">
        <f t="shared" si="62"/>
        <v>0</v>
      </c>
      <c r="AG104" s="19">
        <f t="shared" si="63"/>
        <v>0</v>
      </c>
      <c r="AH104" s="19">
        <f t="shared" si="64"/>
        <v>0</v>
      </c>
      <c r="AI104" s="19">
        <f t="shared" si="65"/>
        <v>0</v>
      </c>
      <c r="AJ104" s="27">
        <f t="shared" si="66"/>
        <v>0</v>
      </c>
      <c r="AK104" s="27">
        <f t="shared" si="67"/>
        <v>0</v>
      </c>
      <c r="AL104" s="27">
        <f t="shared" si="68"/>
        <v>0</v>
      </c>
      <c r="AM104">
        <f t="shared" si="69"/>
        <v>0</v>
      </c>
      <c r="AN104">
        <f t="shared" si="70"/>
        <v>0</v>
      </c>
      <c r="AO104">
        <f t="shared" si="71"/>
        <v>0</v>
      </c>
      <c r="AP104">
        <f t="shared" si="72"/>
        <v>0</v>
      </c>
      <c r="AQ104">
        <f t="shared" si="73"/>
        <v>0</v>
      </c>
      <c r="AR104">
        <f t="shared" si="74"/>
        <v>0</v>
      </c>
      <c r="AS104">
        <f t="shared" si="75"/>
        <v>0</v>
      </c>
      <c r="AT104">
        <f t="shared" si="76"/>
        <v>0</v>
      </c>
      <c r="AU104">
        <f t="shared" si="77"/>
        <v>0</v>
      </c>
      <c r="AV104">
        <f t="shared" si="78"/>
        <v>0</v>
      </c>
      <c r="AW104">
        <f t="shared" si="79"/>
        <v>0</v>
      </c>
      <c r="AX104">
        <f t="shared" si="80"/>
        <v>0</v>
      </c>
      <c r="AY104">
        <f t="shared" si="81"/>
        <v>0</v>
      </c>
      <c r="AZ104">
        <f t="shared" si="82"/>
        <v>0</v>
      </c>
      <c r="BA104">
        <f t="shared" si="83"/>
        <v>0</v>
      </c>
      <c r="BB104">
        <f t="shared" si="84"/>
        <v>0</v>
      </c>
      <c r="BC104">
        <f t="shared" si="85"/>
        <v>0</v>
      </c>
      <c r="BD104">
        <f t="shared" si="86"/>
        <v>0</v>
      </c>
      <c r="BE104">
        <f t="shared" si="87"/>
        <v>0</v>
      </c>
      <c r="BF104">
        <f t="shared" si="88"/>
        <v>0</v>
      </c>
      <c r="BG104">
        <f t="shared" si="89"/>
        <v>0</v>
      </c>
      <c r="BH104">
        <f t="shared" si="90"/>
        <v>0</v>
      </c>
      <c r="BI104">
        <f t="shared" si="91"/>
        <v>0</v>
      </c>
      <c r="BJ104">
        <f t="shared" si="92"/>
        <v>0</v>
      </c>
      <c r="BK104">
        <f t="shared" si="93"/>
        <v>0</v>
      </c>
      <c r="BL104">
        <v>0</v>
      </c>
      <c r="BM104" t="str">
        <f t="shared" si="100"/>
        <v>Big Win</v>
      </c>
      <c r="BN104" s="32" t="str">
        <f t="shared" si="101"/>
        <v>Single Win</v>
      </c>
      <c r="BO104">
        <f>(D104/Summary!$C$4-Summary!$C$8)^2*E104</f>
        <v>137844.00180000003</v>
      </c>
      <c r="BP104">
        <f t="shared" si="94"/>
        <v>0</v>
      </c>
      <c r="BQ104">
        <f t="shared" si="95"/>
        <v>0</v>
      </c>
      <c r="BR104">
        <f t="shared" si="96"/>
        <v>0</v>
      </c>
      <c r="BS104">
        <f t="shared" si="97"/>
        <v>0</v>
      </c>
    </row>
    <row r="105" spans="2:71">
      <c r="B105" s="16">
        <f>Tiers!B106</f>
        <v>103</v>
      </c>
      <c r="C105" s="17" t="str">
        <f>Tiers!Y106</f>
        <v>main-12||||||||| x 20</v>
      </c>
      <c r="D105" s="18">
        <f>Tiers!C106</f>
        <v>40</v>
      </c>
      <c r="E105" s="19">
        <f>Frequency!E107</f>
        <v>12</v>
      </c>
      <c r="F105" s="19">
        <f t="shared" si="51"/>
        <v>480</v>
      </c>
      <c r="G105" s="19">
        <f>IF(Tiers!D106&gt;1,'Data Analysis'!E105,0)</f>
        <v>12</v>
      </c>
      <c r="H105" s="19">
        <f t="shared" si="52"/>
        <v>480</v>
      </c>
      <c r="I105" s="19">
        <f>IF(AND(D105/Summary!$C$4&gt;0, D105/Summary!$C$4&lt;5),E105,0) * D105</f>
        <v>0</v>
      </c>
      <c r="J105" s="19">
        <f>IF(AND(D105/Summary!$C$4&gt;= 5, D105/Summary!$C$4&lt;10),E105,0) * D105</f>
        <v>0</v>
      </c>
      <c r="K105" s="19">
        <f>IF(AND(D105/Summary!$C$4&gt;=10, D105/Summary!$C$4&lt;25),E105,0)*D105</f>
        <v>0</v>
      </c>
      <c r="L105" s="19">
        <f>IF(D105/Summary!$C$4&gt;=25,E105,0)*D105</f>
        <v>480</v>
      </c>
      <c r="M105" s="27">
        <f>IF(AND(D105/Summary!$C$4&gt;0, D105/Summary!$C$4&lt;1),E105,0)</f>
        <v>0</v>
      </c>
      <c r="N105" s="27">
        <f t="shared" si="53"/>
        <v>0</v>
      </c>
      <c r="O105" s="27">
        <f>IF(D105/Summary!$C$4=1,1,0)*E105</f>
        <v>0</v>
      </c>
      <c r="P105" s="27">
        <f t="shared" si="54"/>
        <v>0</v>
      </c>
      <c r="Q105" s="27">
        <f>IF(AND(D105/Summary!$C$4&gt;1, D105/Summary!$C$4&lt;=2),1,0)*E105</f>
        <v>0</v>
      </c>
      <c r="R105" s="27">
        <f t="shared" si="55"/>
        <v>0</v>
      </c>
      <c r="S105" s="27">
        <f>IF(AND(D105/Summary!$C$4&gt;2,D105/Summary!$C$4&lt;=5),1,0)*E105</f>
        <v>0</v>
      </c>
      <c r="T105" s="27">
        <f t="shared" si="56"/>
        <v>0</v>
      </c>
      <c r="U105" s="27">
        <f>IF(AND(D105/Summary!$C$4&gt;5, D105/Summary!$C$4&lt;=10),1,0)*E105</f>
        <v>0</v>
      </c>
      <c r="V105" s="27">
        <f t="shared" si="57"/>
        <v>0</v>
      </c>
      <c r="W105" s="27">
        <f>IF(AND(D105/Summary!$C$4&gt;10, D105/Summary!$C$4&lt;=20),1,0)*E105</f>
        <v>0</v>
      </c>
      <c r="X105" s="27">
        <f t="shared" si="58"/>
        <v>0</v>
      </c>
      <c r="Y105" s="27">
        <f>IF(AND(D105/Summary!$C$4&gt;20, D105/Summary!$C$4&lt;=30),1,0)*E105</f>
        <v>0</v>
      </c>
      <c r="Z105" s="27">
        <f t="shared" si="59"/>
        <v>0</v>
      </c>
      <c r="AA105" s="27">
        <f>IF(AND(D105/Summary!$C$4&gt;30, D105/Summary!$C$4&lt;=50),1,0)*E105</f>
        <v>12</v>
      </c>
      <c r="AB105" s="27">
        <f t="shared" si="60"/>
        <v>480</v>
      </c>
      <c r="AC105" s="27">
        <f>IF(AND(D105/Summary!$C$4&gt;50, D105/Summary!$C$4&lt;=100),1,0)*E105</f>
        <v>0</v>
      </c>
      <c r="AD105" s="27">
        <f t="shared" si="61"/>
        <v>0</v>
      </c>
      <c r="AE105" s="27">
        <f>IF(D105/Summary!$C$4&gt;100,1,0)*E105</f>
        <v>0</v>
      </c>
      <c r="AF105" s="27">
        <f t="shared" si="62"/>
        <v>0</v>
      </c>
      <c r="AG105" s="19">
        <f t="shared" si="63"/>
        <v>0</v>
      </c>
      <c r="AH105" s="19">
        <f t="shared" si="64"/>
        <v>0</v>
      </c>
      <c r="AI105" s="19">
        <f t="shared" si="65"/>
        <v>0</v>
      </c>
      <c r="AJ105" s="27">
        <f t="shared" si="66"/>
        <v>0</v>
      </c>
      <c r="AK105" s="27">
        <f t="shared" si="67"/>
        <v>0</v>
      </c>
      <c r="AL105" s="27">
        <f t="shared" si="68"/>
        <v>0</v>
      </c>
      <c r="AM105">
        <f t="shared" si="69"/>
        <v>0</v>
      </c>
      <c r="AN105">
        <f t="shared" si="70"/>
        <v>0</v>
      </c>
      <c r="AO105">
        <f t="shared" si="71"/>
        <v>0</v>
      </c>
      <c r="AP105">
        <f t="shared" si="72"/>
        <v>0</v>
      </c>
      <c r="AQ105">
        <f t="shared" si="73"/>
        <v>0</v>
      </c>
      <c r="AR105">
        <f t="shared" si="74"/>
        <v>0</v>
      </c>
      <c r="AS105">
        <f t="shared" si="75"/>
        <v>0</v>
      </c>
      <c r="AT105">
        <f t="shared" si="76"/>
        <v>0</v>
      </c>
      <c r="AU105">
        <f t="shared" si="77"/>
        <v>0</v>
      </c>
      <c r="AV105">
        <f t="shared" si="78"/>
        <v>0</v>
      </c>
      <c r="AW105">
        <f t="shared" si="79"/>
        <v>0</v>
      </c>
      <c r="AX105">
        <f t="shared" si="80"/>
        <v>0</v>
      </c>
      <c r="AY105">
        <f t="shared" si="81"/>
        <v>0</v>
      </c>
      <c r="AZ105">
        <f t="shared" si="82"/>
        <v>0</v>
      </c>
      <c r="BA105">
        <f t="shared" si="83"/>
        <v>0</v>
      </c>
      <c r="BB105">
        <f t="shared" si="84"/>
        <v>0</v>
      </c>
      <c r="BC105">
        <f t="shared" si="85"/>
        <v>0</v>
      </c>
      <c r="BD105">
        <f t="shared" si="86"/>
        <v>0</v>
      </c>
      <c r="BE105">
        <f t="shared" si="87"/>
        <v>0</v>
      </c>
      <c r="BF105">
        <f t="shared" si="88"/>
        <v>0</v>
      </c>
      <c r="BG105">
        <f t="shared" si="89"/>
        <v>0</v>
      </c>
      <c r="BH105">
        <f t="shared" si="90"/>
        <v>0</v>
      </c>
      <c r="BI105">
        <f t="shared" si="91"/>
        <v>0</v>
      </c>
      <c r="BJ105">
        <f t="shared" si="92"/>
        <v>0</v>
      </c>
      <c r="BK105">
        <f t="shared" si="93"/>
        <v>0</v>
      </c>
      <c r="BL105">
        <v>0</v>
      </c>
      <c r="BM105" t="str">
        <f t="shared" si="100"/>
        <v>Big Win</v>
      </c>
      <c r="BN105" s="32" t="str">
        <f t="shared" si="101"/>
        <v>Single Win</v>
      </c>
      <c r="BO105">
        <f>(D105/Summary!$C$4-Summary!$C$8)^2*E105</f>
        <v>18411.466800000002</v>
      </c>
      <c r="BP105">
        <f t="shared" si="94"/>
        <v>0</v>
      </c>
      <c r="BQ105">
        <f t="shared" si="95"/>
        <v>0</v>
      </c>
      <c r="BR105">
        <f t="shared" si="96"/>
        <v>0</v>
      </c>
      <c r="BS105">
        <f t="shared" si="97"/>
        <v>0</v>
      </c>
    </row>
    <row r="106" spans="2:71">
      <c r="B106" s="16">
        <f>Tiers!B107</f>
        <v>104</v>
      </c>
      <c r="C106" s="17" t="str">
        <f>Tiers!Y107</f>
        <v>main-13||||||||| x 20</v>
      </c>
      <c r="D106" s="18">
        <f>Tiers!C107</f>
        <v>100</v>
      </c>
      <c r="E106" s="19">
        <f>Frequency!E108</f>
        <v>2</v>
      </c>
      <c r="F106" s="19">
        <f t="shared" si="51"/>
        <v>200</v>
      </c>
      <c r="G106" s="19">
        <f>IF(Tiers!D107&gt;1,'Data Analysis'!E106,0)</f>
        <v>2</v>
      </c>
      <c r="H106" s="19">
        <f t="shared" si="52"/>
        <v>200</v>
      </c>
      <c r="I106" s="19">
        <f>IF(AND(D106/Summary!$C$4&gt;0, D106/Summary!$C$4&lt;5),E106,0) * D106</f>
        <v>0</v>
      </c>
      <c r="J106" s="19">
        <f>IF(AND(D106/Summary!$C$4&gt;= 5, D106/Summary!$C$4&lt;10),E106,0) * D106</f>
        <v>0</v>
      </c>
      <c r="K106" s="19">
        <f>IF(AND(D106/Summary!$C$4&gt;=10, D106/Summary!$C$4&lt;25),E106,0)*D106</f>
        <v>0</v>
      </c>
      <c r="L106" s="19">
        <f>IF(D106/Summary!$C$4&gt;=25,E106,0)*D106</f>
        <v>200</v>
      </c>
      <c r="M106" s="27">
        <f>IF(AND(D106/Summary!$C$4&gt;0, D106/Summary!$C$4&lt;1),E106,0)</f>
        <v>0</v>
      </c>
      <c r="N106" s="27">
        <f t="shared" si="53"/>
        <v>0</v>
      </c>
      <c r="O106" s="27">
        <f>IF(D106/Summary!$C$4=1,1,0)*E106</f>
        <v>0</v>
      </c>
      <c r="P106" s="27">
        <f t="shared" si="54"/>
        <v>0</v>
      </c>
      <c r="Q106" s="27">
        <f>IF(AND(D106/Summary!$C$4&gt;1, D106/Summary!$C$4&lt;=2),1,0)*E106</f>
        <v>0</v>
      </c>
      <c r="R106" s="27">
        <f t="shared" si="55"/>
        <v>0</v>
      </c>
      <c r="S106" s="27">
        <f>IF(AND(D106/Summary!$C$4&gt;2,D106/Summary!$C$4&lt;=5),1,0)*E106</f>
        <v>0</v>
      </c>
      <c r="T106" s="27">
        <f t="shared" si="56"/>
        <v>0</v>
      </c>
      <c r="U106" s="27">
        <f>IF(AND(D106/Summary!$C$4&gt;5, D106/Summary!$C$4&lt;=10),1,0)*E106</f>
        <v>0</v>
      </c>
      <c r="V106" s="27">
        <f t="shared" si="57"/>
        <v>0</v>
      </c>
      <c r="W106" s="27">
        <f>IF(AND(D106/Summary!$C$4&gt;10, D106/Summary!$C$4&lt;=20),1,0)*E106</f>
        <v>0</v>
      </c>
      <c r="X106" s="27">
        <f t="shared" si="58"/>
        <v>0</v>
      </c>
      <c r="Y106" s="27">
        <f>IF(AND(D106/Summary!$C$4&gt;20, D106/Summary!$C$4&lt;=30),1,0)*E106</f>
        <v>0</v>
      </c>
      <c r="Z106" s="27">
        <f t="shared" si="59"/>
        <v>0</v>
      </c>
      <c r="AA106" s="27">
        <f>IF(AND(D106/Summary!$C$4&gt;30, D106/Summary!$C$4&lt;=50),1,0)*E106</f>
        <v>0</v>
      </c>
      <c r="AB106" s="27">
        <f t="shared" si="60"/>
        <v>0</v>
      </c>
      <c r="AC106" s="27">
        <f>IF(AND(D106/Summary!$C$4&gt;50, D106/Summary!$C$4&lt;=100),1,0)*E106</f>
        <v>2</v>
      </c>
      <c r="AD106" s="27">
        <f t="shared" si="61"/>
        <v>200</v>
      </c>
      <c r="AE106" s="27">
        <f>IF(D106/Summary!$C$4&gt;100,1,0)*E106</f>
        <v>0</v>
      </c>
      <c r="AF106" s="27">
        <f t="shared" si="62"/>
        <v>0</v>
      </c>
      <c r="AG106" s="19">
        <f t="shared" si="63"/>
        <v>0</v>
      </c>
      <c r="AH106" s="19">
        <f t="shared" si="64"/>
        <v>0</v>
      </c>
      <c r="AI106" s="19">
        <f t="shared" si="65"/>
        <v>0</v>
      </c>
      <c r="AJ106" s="27">
        <f t="shared" si="66"/>
        <v>0</v>
      </c>
      <c r="AK106" s="27">
        <f t="shared" si="67"/>
        <v>0</v>
      </c>
      <c r="AL106" s="27">
        <f t="shared" si="68"/>
        <v>0</v>
      </c>
      <c r="AM106">
        <f t="shared" si="69"/>
        <v>0</v>
      </c>
      <c r="AN106">
        <f t="shared" si="70"/>
        <v>0</v>
      </c>
      <c r="AO106">
        <f t="shared" si="71"/>
        <v>0</v>
      </c>
      <c r="AP106">
        <f t="shared" si="72"/>
        <v>0</v>
      </c>
      <c r="AQ106">
        <f t="shared" si="73"/>
        <v>0</v>
      </c>
      <c r="AR106">
        <f t="shared" si="74"/>
        <v>0</v>
      </c>
      <c r="AS106">
        <f t="shared" si="75"/>
        <v>0</v>
      </c>
      <c r="AT106">
        <f t="shared" si="76"/>
        <v>0</v>
      </c>
      <c r="AU106">
        <f t="shared" si="77"/>
        <v>0</v>
      </c>
      <c r="AV106">
        <f t="shared" si="78"/>
        <v>0</v>
      </c>
      <c r="AW106">
        <f t="shared" si="79"/>
        <v>0</v>
      </c>
      <c r="AX106">
        <f t="shared" si="80"/>
        <v>0</v>
      </c>
      <c r="AY106">
        <f t="shared" si="81"/>
        <v>0</v>
      </c>
      <c r="AZ106">
        <f t="shared" si="82"/>
        <v>0</v>
      </c>
      <c r="BA106">
        <f t="shared" si="83"/>
        <v>0</v>
      </c>
      <c r="BB106">
        <f t="shared" si="84"/>
        <v>0</v>
      </c>
      <c r="BC106">
        <f t="shared" si="85"/>
        <v>0</v>
      </c>
      <c r="BD106">
        <f t="shared" si="86"/>
        <v>0</v>
      </c>
      <c r="BE106">
        <f t="shared" si="87"/>
        <v>0</v>
      </c>
      <c r="BF106">
        <f t="shared" si="88"/>
        <v>0</v>
      </c>
      <c r="BG106">
        <f t="shared" si="89"/>
        <v>0</v>
      </c>
      <c r="BH106">
        <f t="shared" si="90"/>
        <v>0</v>
      </c>
      <c r="BI106">
        <f t="shared" si="91"/>
        <v>0</v>
      </c>
      <c r="BJ106">
        <f t="shared" si="92"/>
        <v>0</v>
      </c>
      <c r="BK106">
        <f t="shared" si="93"/>
        <v>0</v>
      </c>
      <c r="BL106">
        <v>0</v>
      </c>
      <c r="BM106" t="str">
        <f t="shared" si="100"/>
        <v>Huge Win</v>
      </c>
      <c r="BN106" s="32" t="str">
        <f t="shared" si="101"/>
        <v>Single Win</v>
      </c>
      <c r="BO106">
        <f>(D106/Summary!$C$4-Summary!$C$8)^2*E106</f>
        <v>19669.377800000002</v>
      </c>
      <c r="BP106">
        <f t="shared" si="94"/>
        <v>0</v>
      </c>
      <c r="BQ106">
        <f t="shared" si="95"/>
        <v>0</v>
      </c>
      <c r="BR106">
        <f t="shared" si="96"/>
        <v>0</v>
      </c>
      <c r="BS106">
        <f t="shared" si="97"/>
        <v>0</v>
      </c>
    </row>
    <row r="107" spans="2:71">
      <c r="B107" s="16">
        <f>Tiers!B108</f>
        <v>105</v>
      </c>
      <c r="C107" s="17" t="str">
        <f>Tiers!Y108</f>
        <v>main-20||||||||| x 20</v>
      </c>
      <c r="D107" s="18">
        <f>Tiers!C108</f>
        <v>30</v>
      </c>
      <c r="E107" s="19">
        <f>Frequency!E109</f>
        <v>162</v>
      </c>
      <c r="F107" s="19">
        <f t="shared" si="51"/>
        <v>4860</v>
      </c>
      <c r="G107" s="19">
        <f>IF(Tiers!D108&gt;1,'Data Analysis'!E107,0)</f>
        <v>162</v>
      </c>
      <c r="H107" s="19">
        <f t="shared" si="52"/>
        <v>4860</v>
      </c>
      <c r="I107" s="19">
        <f>IF(AND(D107/Summary!$C$4&gt;0, D107/Summary!$C$4&lt;5),E107,0) * D107</f>
        <v>0</v>
      </c>
      <c r="J107" s="19">
        <f>IF(AND(D107/Summary!$C$4&gt;= 5, D107/Summary!$C$4&lt;10),E107,0) * D107</f>
        <v>0</v>
      </c>
      <c r="K107" s="19">
        <f>IF(AND(D107/Summary!$C$4&gt;=10, D107/Summary!$C$4&lt;25),E107,0)*D107</f>
        <v>0</v>
      </c>
      <c r="L107" s="19">
        <f>IF(D107/Summary!$C$4&gt;=25,E107,0)*D107</f>
        <v>4860</v>
      </c>
      <c r="M107" s="27">
        <f>IF(AND(D107/Summary!$C$4&gt;0, D107/Summary!$C$4&lt;1),E107,0)</f>
        <v>0</v>
      </c>
      <c r="N107" s="27">
        <f t="shared" si="53"/>
        <v>0</v>
      </c>
      <c r="O107" s="27">
        <f>IF(D107/Summary!$C$4=1,1,0)*E107</f>
        <v>0</v>
      </c>
      <c r="P107" s="27">
        <f t="shared" si="54"/>
        <v>0</v>
      </c>
      <c r="Q107" s="27">
        <f>IF(AND(D107/Summary!$C$4&gt;1, D107/Summary!$C$4&lt;=2),1,0)*E107</f>
        <v>0</v>
      </c>
      <c r="R107" s="27">
        <f t="shared" si="55"/>
        <v>0</v>
      </c>
      <c r="S107" s="27">
        <f>IF(AND(D107/Summary!$C$4&gt;2,D107/Summary!$C$4&lt;=5),1,0)*E107</f>
        <v>0</v>
      </c>
      <c r="T107" s="27">
        <f t="shared" si="56"/>
        <v>0</v>
      </c>
      <c r="U107" s="27">
        <f>IF(AND(D107/Summary!$C$4&gt;5, D107/Summary!$C$4&lt;=10),1,0)*E107</f>
        <v>0</v>
      </c>
      <c r="V107" s="27">
        <f t="shared" si="57"/>
        <v>0</v>
      </c>
      <c r="W107" s="27">
        <f>IF(AND(D107/Summary!$C$4&gt;10, D107/Summary!$C$4&lt;=20),1,0)*E107</f>
        <v>0</v>
      </c>
      <c r="X107" s="27">
        <f t="shared" si="58"/>
        <v>0</v>
      </c>
      <c r="Y107" s="27">
        <f>IF(AND(D107/Summary!$C$4&gt;20, D107/Summary!$C$4&lt;=30),1,0)*E107</f>
        <v>162</v>
      </c>
      <c r="Z107" s="27">
        <f t="shared" si="59"/>
        <v>4860</v>
      </c>
      <c r="AA107" s="27">
        <f>IF(AND(D107/Summary!$C$4&gt;30, D107/Summary!$C$4&lt;=50),1,0)*E107</f>
        <v>0</v>
      </c>
      <c r="AB107" s="27">
        <f t="shared" si="60"/>
        <v>0</v>
      </c>
      <c r="AC107" s="27">
        <f>IF(AND(D107/Summary!$C$4&gt;50, D107/Summary!$C$4&lt;=100),1,0)*E107</f>
        <v>0</v>
      </c>
      <c r="AD107" s="27">
        <f t="shared" si="61"/>
        <v>0</v>
      </c>
      <c r="AE107" s="27">
        <f>IF(D107/Summary!$C$4&gt;100,1,0)*E107</f>
        <v>0</v>
      </c>
      <c r="AF107" s="27">
        <f t="shared" si="62"/>
        <v>0</v>
      </c>
      <c r="AG107" s="19">
        <f t="shared" si="63"/>
        <v>0</v>
      </c>
      <c r="AH107" s="19">
        <f t="shared" si="64"/>
        <v>0</v>
      </c>
      <c r="AI107" s="19">
        <f t="shared" si="65"/>
        <v>0</v>
      </c>
      <c r="AJ107" s="27">
        <f t="shared" si="66"/>
        <v>0</v>
      </c>
      <c r="AK107" s="27">
        <f t="shared" si="67"/>
        <v>0</v>
      </c>
      <c r="AL107" s="27">
        <f t="shared" si="68"/>
        <v>0</v>
      </c>
      <c r="AM107">
        <f t="shared" si="69"/>
        <v>0</v>
      </c>
      <c r="AN107">
        <f t="shared" si="70"/>
        <v>0</v>
      </c>
      <c r="AO107">
        <f t="shared" si="71"/>
        <v>0</v>
      </c>
      <c r="AP107">
        <f t="shared" si="72"/>
        <v>0</v>
      </c>
      <c r="AQ107">
        <f t="shared" si="73"/>
        <v>0</v>
      </c>
      <c r="AR107">
        <f t="shared" si="74"/>
        <v>0</v>
      </c>
      <c r="AS107">
        <f t="shared" si="75"/>
        <v>0</v>
      </c>
      <c r="AT107">
        <f t="shared" si="76"/>
        <v>0</v>
      </c>
      <c r="AU107">
        <f t="shared" si="77"/>
        <v>0</v>
      </c>
      <c r="AV107">
        <f t="shared" si="78"/>
        <v>0</v>
      </c>
      <c r="AW107">
        <f t="shared" si="79"/>
        <v>0</v>
      </c>
      <c r="AX107">
        <f t="shared" si="80"/>
        <v>0</v>
      </c>
      <c r="AY107">
        <f t="shared" si="81"/>
        <v>0</v>
      </c>
      <c r="AZ107">
        <f t="shared" si="82"/>
        <v>0</v>
      </c>
      <c r="BA107">
        <f t="shared" si="83"/>
        <v>0</v>
      </c>
      <c r="BB107">
        <f t="shared" si="84"/>
        <v>0</v>
      </c>
      <c r="BC107">
        <f t="shared" si="85"/>
        <v>0</v>
      </c>
      <c r="BD107">
        <f t="shared" si="86"/>
        <v>0</v>
      </c>
      <c r="BE107">
        <f t="shared" si="87"/>
        <v>0</v>
      </c>
      <c r="BF107">
        <f t="shared" si="88"/>
        <v>0</v>
      </c>
      <c r="BG107">
        <f t="shared" si="89"/>
        <v>0</v>
      </c>
      <c r="BH107">
        <f t="shared" si="90"/>
        <v>0</v>
      </c>
      <c r="BI107">
        <f t="shared" si="91"/>
        <v>0</v>
      </c>
      <c r="BJ107">
        <f t="shared" si="92"/>
        <v>0</v>
      </c>
      <c r="BK107">
        <f t="shared" si="93"/>
        <v>0</v>
      </c>
      <c r="BL107">
        <v>0</v>
      </c>
      <c r="BM107" t="str">
        <f t="shared" si="100"/>
        <v>Big Win</v>
      </c>
      <c r="BN107" s="32" t="str">
        <f t="shared" si="101"/>
        <v>Single Win</v>
      </c>
      <c r="BO107">
        <f>(D107/Summary!$C$4-Summary!$C$8)^2*E107</f>
        <v>137844.00180000003</v>
      </c>
      <c r="BP107">
        <f t="shared" si="94"/>
        <v>0</v>
      </c>
      <c r="BQ107">
        <f t="shared" si="95"/>
        <v>0</v>
      </c>
      <c r="BR107">
        <f t="shared" si="96"/>
        <v>0</v>
      </c>
      <c r="BS107">
        <f t="shared" si="97"/>
        <v>0</v>
      </c>
    </row>
    <row r="108" spans="2:71">
      <c r="B108" s="16">
        <f>Tiers!B109</f>
        <v>106</v>
      </c>
      <c r="C108" s="17" t="str">
        <f>Tiers!Y109</f>
        <v>main-21||||||||| x 20</v>
      </c>
      <c r="D108" s="18">
        <f>Tiers!C109</f>
        <v>40</v>
      </c>
      <c r="E108" s="19">
        <f>Frequency!E110</f>
        <v>24</v>
      </c>
      <c r="F108" s="19">
        <f t="shared" si="51"/>
        <v>960</v>
      </c>
      <c r="G108" s="19">
        <f>IF(Tiers!D109&gt;1,'Data Analysis'!E108,0)</f>
        <v>24</v>
      </c>
      <c r="H108" s="19">
        <f t="shared" si="52"/>
        <v>960</v>
      </c>
      <c r="I108" s="19">
        <f>IF(AND(D108/Summary!$C$4&gt;0, D108/Summary!$C$4&lt;5),E108,0) * D108</f>
        <v>0</v>
      </c>
      <c r="J108" s="19">
        <f>IF(AND(D108/Summary!$C$4&gt;= 5, D108/Summary!$C$4&lt;10),E108,0) * D108</f>
        <v>0</v>
      </c>
      <c r="K108" s="19">
        <f>IF(AND(D108/Summary!$C$4&gt;=10, D108/Summary!$C$4&lt;25),E108,0)*D108</f>
        <v>0</v>
      </c>
      <c r="L108" s="19">
        <f>IF(D108/Summary!$C$4&gt;=25,E108,0)*D108</f>
        <v>960</v>
      </c>
      <c r="M108" s="27">
        <f>IF(AND(D108/Summary!$C$4&gt;0, D108/Summary!$C$4&lt;1),E108,0)</f>
        <v>0</v>
      </c>
      <c r="N108" s="27">
        <f t="shared" si="53"/>
        <v>0</v>
      </c>
      <c r="O108" s="27">
        <f>IF(D108/Summary!$C$4=1,1,0)*E108</f>
        <v>0</v>
      </c>
      <c r="P108" s="27">
        <f t="shared" si="54"/>
        <v>0</v>
      </c>
      <c r="Q108" s="27">
        <f>IF(AND(D108/Summary!$C$4&gt;1, D108/Summary!$C$4&lt;=2),1,0)*E108</f>
        <v>0</v>
      </c>
      <c r="R108" s="27">
        <f t="shared" si="55"/>
        <v>0</v>
      </c>
      <c r="S108" s="27">
        <f>IF(AND(D108/Summary!$C$4&gt;2,D108/Summary!$C$4&lt;=5),1,0)*E108</f>
        <v>0</v>
      </c>
      <c r="T108" s="27">
        <f t="shared" si="56"/>
        <v>0</v>
      </c>
      <c r="U108" s="27">
        <f>IF(AND(D108/Summary!$C$4&gt;5, D108/Summary!$C$4&lt;=10),1,0)*E108</f>
        <v>0</v>
      </c>
      <c r="V108" s="27">
        <f t="shared" si="57"/>
        <v>0</v>
      </c>
      <c r="W108" s="27">
        <f>IF(AND(D108/Summary!$C$4&gt;10, D108/Summary!$C$4&lt;=20),1,0)*E108</f>
        <v>0</v>
      </c>
      <c r="X108" s="27">
        <f t="shared" si="58"/>
        <v>0</v>
      </c>
      <c r="Y108" s="27">
        <f>IF(AND(D108/Summary!$C$4&gt;20, D108/Summary!$C$4&lt;=30),1,0)*E108</f>
        <v>0</v>
      </c>
      <c r="Z108" s="27">
        <f t="shared" si="59"/>
        <v>0</v>
      </c>
      <c r="AA108" s="27">
        <f>IF(AND(D108/Summary!$C$4&gt;30, D108/Summary!$C$4&lt;=50),1,0)*E108</f>
        <v>24</v>
      </c>
      <c r="AB108" s="27">
        <f t="shared" si="60"/>
        <v>960</v>
      </c>
      <c r="AC108" s="27">
        <f>IF(AND(D108/Summary!$C$4&gt;50, D108/Summary!$C$4&lt;=100),1,0)*E108</f>
        <v>0</v>
      </c>
      <c r="AD108" s="27">
        <f t="shared" si="61"/>
        <v>0</v>
      </c>
      <c r="AE108" s="27">
        <f>IF(D108/Summary!$C$4&gt;100,1,0)*E108</f>
        <v>0</v>
      </c>
      <c r="AF108" s="27">
        <f t="shared" si="62"/>
        <v>0</v>
      </c>
      <c r="AG108" s="19">
        <f t="shared" si="63"/>
        <v>0</v>
      </c>
      <c r="AH108" s="19">
        <f t="shared" si="64"/>
        <v>0</v>
      </c>
      <c r="AI108" s="19">
        <f t="shared" si="65"/>
        <v>0</v>
      </c>
      <c r="AJ108" s="27">
        <f t="shared" si="66"/>
        <v>0</v>
      </c>
      <c r="AK108" s="27">
        <f t="shared" si="67"/>
        <v>0</v>
      </c>
      <c r="AL108" s="27">
        <f t="shared" si="68"/>
        <v>0</v>
      </c>
      <c r="AM108">
        <f t="shared" si="69"/>
        <v>0</v>
      </c>
      <c r="AN108">
        <f t="shared" si="70"/>
        <v>0</v>
      </c>
      <c r="AO108">
        <f t="shared" si="71"/>
        <v>0</v>
      </c>
      <c r="AP108">
        <f t="shared" si="72"/>
        <v>0</v>
      </c>
      <c r="AQ108">
        <f t="shared" si="73"/>
        <v>0</v>
      </c>
      <c r="AR108">
        <f t="shared" si="74"/>
        <v>0</v>
      </c>
      <c r="AS108">
        <f t="shared" si="75"/>
        <v>0</v>
      </c>
      <c r="AT108">
        <f t="shared" si="76"/>
        <v>0</v>
      </c>
      <c r="AU108">
        <f t="shared" si="77"/>
        <v>0</v>
      </c>
      <c r="AV108">
        <f t="shared" si="78"/>
        <v>0</v>
      </c>
      <c r="AW108">
        <f t="shared" si="79"/>
        <v>0</v>
      </c>
      <c r="AX108">
        <f t="shared" si="80"/>
        <v>0</v>
      </c>
      <c r="AY108">
        <f t="shared" si="81"/>
        <v>0</v>
      </c>
      <c r="AZ108">
        <f t="shared" si="82"/>
        <v>0</v>
      </c>
      <c r="BA108">
        <f t="shared" si="83"/>
        <v>0</v>
      </c>
      <c r="BB108">
        <f t="shared" si="84"/>
        <v>0</v>
      </c>
      <c r="BC108">
        <f t="shared" si="85"/>
        <v>0</v>
      </c>
      <c r="BD108">
        <f t="shared" si="86"/>
        <v>0</v>
      </c>
      <c r="BE108">
        <f t="shared" si="87"/>
        <v>0</v>
      </c>
      <c r="BF108">
        <f t="shared" si="88"/>
        <v>0</v>
      </c>
      <c r="BG108">
        <f t="shared" si="89"/>
        <v>0</v>
      </c>
      <c r="BH108">
        <f t="shared" si="90"/>
        <v>0</v>
      </c>
      <c r="BI108">
        <f t="shared" si="91"/>
        <v>0</v>
      </c>
      <c r="BJ108">
        <f t="shared" si="92"/>
        <v>0</v>
      </c>
      <c r="BK108">
        <f t="shared" si="93"/>
        <v>0</v>
      </c>
      <c r="BL108">
        <v>0</v>
      </c>
      <c r="BM108" t="str">
        <f t="shared" si="100"/>
        <v>Big Win</v>
      </c>
      <c r="BN108" s="32" t="str">
        <f t="shared" si="101"/>
        <v>Single Win</v>
      </c>
      <c r="BO108">
        <f>(D108/Summary!$C$4-Summary!$C$8)^2*E108</f>
        <v>36822.933600000004</v>
      </c>
      <c r="BP108">
        <f t="shared" si="94"/>
        <v>0</v>
      </c>
      <c r="BQ108">
        <f t="shared" si="95"/>
        <v>0</v>
      </c>
      <c r="BR108">
        <f t="shared" si="96"/>
        <v>0</v>
      </c>
      <c r="BS108">
        <f t="shared" si="97"/>
        <v>0</v>
      </c>
    </row>
    <row r="109" spans="2:71">
      <c r="B109" s="16">
        <f>Tiers!B110</f>
        <v>107</v>
      </c>
      <c r="C109" s="17" t="str">
        <f>Tiers!Y110</f>
        <v>main-30||||||||| x 20</v>
      </c>
      <c r="D109" s="18">
        <f>Tiers!C110</f>
        <v>40</v>
      </c>
      <c r="E109" s="19">
        <f>Frequency!E111</f>
        <v>24</v>
      </c>
      <c r="F109" s="19">
        <f t="shared" si="51"/>
        <v>960</v>
      </c>
      <c r="G109" s="19">
        <f>IF(Tiers!D110&gt;1,'Data Analysis'!E109,0)</f>
        <v>24</v>
      </c>
      <c r="H109" s="19">
        <f t="shared" si="52"/>
        <v>960</v>
      </c>
      <c r="I109" s="19">
        <f>IF(AND(D109/Summary!$C$4&gt;0, D109/Summary!$C$4&lt;5),E109,0) * D109</f>
        <v>0</v>
      </c>
      <c r="J109" s="19">
        <f>IF(AND(D109/Summary!$C$4&gt;= 5, D109/Summary!$C$4&lt;10),E109,0) * D109</f>
        <v>0</v>
      </c>
      <c r="K109" s="19">
        <f>IF(AND(D109/Summary!$C$4&gt;=10, D109/Summary!$C$4&lt;25),E109,0)*D109</f>
        <v>0</v>
      </c>
      <c r="L109" s="19">
        <f>IF(D109/Summary!$C$4&gt;=25,E109,0)*D109</f>
        <v>960</v>
      </c>
      <c r="M109" s="27">
        <f>IF(AND(D109/Summary!$C$4&gt;0, D109/Summary!$C$4&lt;1),E109,0)</f>
        <v>0</v>
      </c>
      <c r="N109" s="27">
        <f t="shared" si="53"/>
        <v>0</v>
      </c>
      <c r="O109" s="27">
        <f>IF(D109/Summary!$C$4=1,1,0)*E109</f>
        <v>0</v>
      </c>
      <c r="P109" s="27">
        <f t="shared" si="54"/>
        <v>0</v>
      </c>
      <c r="Q109" s="27">
        <f>IF(AND(D109/Summary!$C$4&gt;1, D109/Summary!$C$4&lt;=2),1,0)*E109</f>
        <v>0</v>
      </c>
      <c r="R109" s="27">
        <f t="shared" si="55"/>
        <v>0</v>
      </c>
      <c r="S109" s="27">
        <f>IF(AND(D109/Summary!$C$4&gt;2,D109/Summary!$C$4&lt;=5),1,0)*E109</f>
        <v>0</v>
      </c>
      <c r="T109" s="27">
        <f t="shared" si="56"/>
        <v>0</v>
      </c>
      <c r="U109" s="27">
        <f>IF(AND(D109/Summary!$C$4&gt;5, D109/Summary!$C$4&lt;=10),1,0)*E109</f>
        <v>0</v>
      </c>
      <c r="V109" s="27">
        <f t="shared" si="57"/>
        <v>0</v>
      </c>
      <c r="W109" s="27">
        <f>IF(AND(D109/Summary!$C$4&gt;10, D109/Summary!$C$4&lt;=20),1,0)*E109</f>
        <v>0</v>
      </c>
      <c r="X109" s="27">
        <f t="shared" si="58"/>
        <v>0</v>
      </c>
      <c r="Y109" s="27">
        <f>IF(AND(D109/Summary!$C$4&gt;20, D109/Summary!$C$4&lt;=30),1,0)*E109</f>
        <v>0</v>
      </c>
      <c r="Z109" s="27">
        <f t="shared" si="59"/>
        <v>0</v>
      </c>
      <c r="AA109" s="27">
        <f>IF(AND(D109/Summary!$C$4&gt;30, D109/Summary!$C$4&lt;=50),1,0)*E109</f>
        <v>24</v>
      </c>
      <c r="AB109" s="27">
        <f t="shared" si="60"/>
        <v>960</v>
      </c>
      <c r="AC109" s="27">
        <f>IF(AND(D109/Summary!$C$4&gt;50, D109/Summary!$C$4&lt;=100),1,0)*E109</f>
        <v>0</v>
      </c>
      <c r="AD109" s="27">
        <f t="shared" si="61"/>
        <v>0</v>
      </c>
      <c r="AE109" s="27">
        <f>IF(D109/Summary!$C$4&gt;100,1,0)*E109</f>
        <v>0</v>
      </c>
      <c r="AF109" s="27">
        <f t="shared" si="62"/>
        <v>0</v>
      </c>
      <c r="AG109" s="19">
        <f t="shared" si="63"/>
        <v>0</v>
      </c>
      <c r="AH109" s="19">
        <f t="shared" si="64"/>
        <v>0</v>
      </c>
      <c r="AI109" s="19">
        <f t="shared" si="65"/>
        <v>0</v>
      </c>
      <c r="AJ109" s="27">
        <f t="shared" si="66"/>
        <v>0</v>
      </c>
      <c r="AK109" s="27">
        <f t="shared" si="67"/>
        <v>0</v>
      </c>
      <c r="AL109" s="27">
        <f t="shared" si="68"/>
        <v>0</v>
      </c>
      <c r="AM109">
        <f t="shared" si="69"/>
        <v>0</v>
      </c>
      <c r="AN109">
        <f t="shared" si="70"/>
        <v>0</v>
      </c>
      <c r="AO109">
        <f t="shared" si="71"/>
        <v>0</v>
      </c>
      <c r="AP109">
        <f t="shared" si="72"/>
        <v>0</v>
      </c>
      <c r="AQ109">
        <f t="shared" si="73"/>
        <v>0</v>
      </c>
      <c r="AR109">
        <f t="shared" si="74"/>
        <v>0</v>
      </c>
      <c r="AS109">
        <f t="shared" si="75"/>
        <v>0</v>
      </c>
      <c r="AT109">
        <f t="shared" si="76"/>
        <v>0</v>
      </c>
      <c r="AU109">
        <f t="shared" si="77"/>
        <v>0</v>
      </c>
      <c r="AV109">
        <f t="shared" si="78"/>
        <v>0</v>
      </c>
      <c r="AW109">
        <f t="shared" si="79"/>
        <v>0</v>
      </c>
      <c r="AX109">
        <f t="shared" si="80"/>
        <v>0</v>
      </c>
      <c r="AY109">
        <f t="shared" si="81"/>
        <v>0</v>
      </c>
      <c r="AZ109">
        <f t="shared" si="82"/>
        <v>0</v>
      </c>
      <c r="BA109">
        <f t="shared" si="83"/>
        <v>0</v>
      </c>
      <c r="BB109">
        <f t="shared" si="84"/>
        <v>0</v>
      </c>
      <c r="BC109">
        <f t="shared" si="85"/>
        <v>0</v>
      </c>
      <c r="BD109">
        <f t="shared" si="86"/>
        <v>0</v>
      </c>
      <c r="BE109">
        <f t="shared" si="87"/>
        <v>0</v>
      </c>
      <c r="BF109">
        <f t="shared" si="88"/>
        <v>0</v>
      </c>
      <c r="BG109">
        <f t="shared" si="89"/>
        <v>0</v>
      </c>
      <c r="BH109">
        <f t="shared" si="90"/>
        <v>0</v>
      </c>
      <c r="BI109">
        <f t="shared" si="91"/>
        <v>0</v>
      </c>
      <c r="BJ109">
        <f t="shared" si="92"/>
        <v>0</v>
      </c>
      <c r="BK109">
        <f t="shared" si="93"/>
        <v>0</v>
      </c>
      <c r="BL109">
        <v>0</v>
      </c>
      <c r="BM109" t="str">
        <f t="shared" si="100"/>
        <v>Big Win</v>
      </c>
      <c r="BN109" s="32" t="str">
        <f t="shared" si="101"/>
        <v>Single Win</v>
      </c>
      <c r="BO109">
        <f>(D109/Summary!$C$4-Summary!$C$8)^2*E109</f>
        <v>36822.933600000004</v>
      </c>
      <c r="BP109">
        <f t="shared" si="94"/>
        <v>0</v>
      </c>
      <c r="BQ109">
        <f t="shared" si="95"/>
        <v>0</v>
      </c>
      <c r="BR109">
        <f t="shared" si="96"/>
        <v>0</v>
      </c>
      <c r="BS109">
        <f t="shared" si="97"/>
        <v>0</v>
      </c>
    </row>
    <row r="110" spans="2:71">
      <c r="B110" s="16">
        <f>Tiers!B111</f>
        <v>108</v>
      </c>
      <c r="C110" s="17" t="str">
        <f>Tiers!Y111</f>
        <v>main-0|main-0|||||||| x 20</v>
      </c>
      <c r="D110" s="18">
        <f>Tiers!C111</f>
        <v>4</v>
      </c>
      <c r="E110" s="19">
        <f>Frequency!E112</f>
        <v>1800</v>
      </c>
      <c r="F110" s="19">
        <f t="shared" si="51"/>
        <v>7200</v>
      </c>
      <c r="G110" s="19">
        <f>IF(Tiers!D111&gt;1,'Data Analysis'!E110,0)</f>
        <v>1800</v>
      </c>
      <c r="H110" s="19">
        <f t="shared" si="52"/>
        <v>7200</v>
      </c>
      <c r="I110" s="19">
        <f>IF(AND(D110/Summary!$C$4&gt;0, D110/Summary!$C$4&lt;5),E110,0) * D110</f>
        <v>7200</v>
      </c>
      <c r="J110" s="19">
        <f>IF(AND(D110/Summary!$C$4&gt;= 5, D110/Summary!$C$4&lt;10),E110,0) * D110</f>
        <v>0</v>
      </c>
      <c r="K110" s="19">
        <f>IF(AND(D110/Summary!$C$4&gt;=10, D110/Summary!$C$4&lt;25),E110,0)*D110</f>
        <v>0</v>
      </c>
      <c r="L110" s="19">
        <f>IF(D110/Summary!$C$4&gt;=25,E110,0)*D110</f>
        <v>0</v>
      </c>
      <c r="M110" s="27">
        <f>IF(AND(D110/Summary!$C$4&gt;0, D110/Summary!$C$4&lt;1),E110,0)</f>
        <v>0</v>
      </c>
      <c r="N110" s="27">
        <f t="shared" si="53"/>
        <v>0</v>
      </c>
      <c r="O110" s="27">
        <f>IF(D110/Summary!$C$4=1,1,0)*E110</f>
        <v>0</v>
      </c>
      <c r="P110" s="27">
        <f t="shared" si="54"/>
        <v>0</v>
      </c>
      <c r="Q110" s="27">
        <f>IF(AND(D110/Summary!$C$4&gt;1, D110/Summary!$C$4&lt;=2),1,0)*E110</f>
        <v>0</v>
      </c>
      <c r="R110" s="27">
        <f t="shared" si="55"/>
        <v>0</v>
      </c>
      <c r="S110" s="27">
        <f>IF(AND(D110/Summary!$C$4&gt;2,D110/Summary!$C$4&lt;=5),1,0)*E110</f>
        <v>1800</v>
      </c>
      <c r="T110" s="27">
        <f t="shared" si="56"/>
        <v>7200</v>
      </c>
      <c r="U110" s="27">
        <f>IF(AND(D110/Summary!$C$4&gt;5, D110/Summary!$C$4&lt;=10),1,0)*E110</f>
        <v>0</v>
      </c>
      <c r="V110" s="27">
        <f t="shared" si="57"/>
        <v>0</v>
      </c>
      <c r="W110" s="27">
        <f>IF(AND(D110/Summary!$C$4&gt;10, D110/Summary!$C$4&lt;=20),1,0)*E110</f>
        <v>0</v>
      </c>
      <c r="X110" s="27">
        <f t="shared" si="58"/>
        <v>0</v>
      </c>
      <c r="Y110" s="27">
        <f>IF(AND(D110/Summary!$C$4&gt;20, D110/Summary!$C$4&lt;=30),1,0)*E110</f>
        <v>0</v>
      </c>
      <c r="Z110" s="27">
        <f t="shared" si="59"/>
        <v>0</v>
      </c>
      <c r="AA110" s="27">
        <f>IF(AND(D110/Summary!$C$4&gt;30, D110/Summary!$C$4&lt;=50),1,0)*E110</f>
        <v>0</v>
      </c>
      <c r="AB110" s="27">
        <f t="shared" si="60"/>
        <v>0</v>
      </c>
      <c r="AC110" s="27">
        <f>IF(AND(D110/Summary!$C$4&gt;50, D110/Summary!$C$4&lt;=100),1,0)*E110</f>
        <v>0</v>
      </c>
      <c r="AD110" s="27">
        <f t="shared" si="61"/>
        <v>0</v>
      </c>
      <c r="AE110" s="27">
        <f>IF(D110/Summary!$C$4&gt;100,1,0)*E110</f>
        <v>0</v>
      </c>
      <c r="AF110" s="27">
        <f t="shared" si="62"/>
        <v>0</v>
      </c>
      <c r="AG110" s="19">
        <f t="shared" si="63"/>
        <v>0</v>
      </c>
      <c r="AH110" s="19">
        <f t="shared" si="64"/>
        <v>0</v>
      </c>
      <c r="AI110" s="19">
        <f t="shared" si="65"/>
        <v>0</v>
      </c>
      <c r="AJ110" s="27">
        <f t="shared" si="66"/>
        <v>1</v>
      </c>
      <c r="AK110" s="27">
        <f t="shared" si="67"/>
        <v>1800</v>
      </c>
      <c r="AL110" s="27">
        <f t="shared" si="68"/>
        <v>7200</v>
      </c>
      <c r="AM110">
        <f t="shared" si="69"/>
        <v>0</v>
      </c>
      <c r="AN110">
        <f t="shared" si="70"/>
        <v>0</v>
      </c>
      <c r="AO110">
        <f t="shared" si="71"/>
        <v>0</v>
      </c>
      <c r="AP110">
        <f t="shared" si="72"/>
        <v>0</v>
      </c>
      <c r="AQ110">
        <f t="shared" si="73"/>
        <v>0</v>
      </c>
      <c r="AR110">
        <f t="shared" si="74"/>
        <v>0</v>
      </c>
      <c r="AS110">
        <f t="shared" si="75"/>
        <v>0</v>
      </c>
      <c r="AT110">
        <f t="shared" si="76"/>
        <v>0</v>
      </c>
      <c r="AU110">
        <f t="shared" si="77"/>
        <v>0</v>
      </c>
      <c r="AV110">
        <f t="shared" si="78"/>
        <v>0</v>
      </c>
      <c r="AW110">
        <f t="shared" si="79"/>
        <v>0</v>
      </c>
      <c r="AX110">
        <f t="shared" si="80"/>
        <v>0</v>
      </c>
      <c r="AY110">
        <f t="shared" si="81"/>
        <v>0</v>
      </c>
      <c r="AZ110">
        <f t="shared" si="82"/>
        <v>0</v>
      </c>
      <c r="BA110">
        <f t="shared" si="83"/>
        <v>0</v>
      </c>
      <c r="BB110">
        <f t="shared" si="84"/>
        <v>0</v>
      </c>
      <c r="BC110">
        <f t="shared" si="85"/>
        <v>0</v>
      </c>
      <c r="BD110">
        <f t="shared" si="86"/>
        <v>0</v>
      </c>
      <c r="BE110">
        <f t="shared" si="87"/>
        <v>0</v>
      </c>
      <c r="BF110">
        <f t="shared" si="88"/>
        <v>0</v>
      </c>
      <c r="BG110">
        <f t="shared" si="89"/>
        <v>0</v>
      </c>
      <c r="BH110">
        <f t="shared" si="90"/>
        <v>0</v>
      </c>
      <c r="BI110">
        <f t="shared" si="91"/>
        <v>0</v>
      </c>
      <c r="BJ110">
        <f t="shared" si="92"/>
        <v>0</v>
      </c>
      <c r="BK110">
        <f t="shared" si="93"/>
        <v>0</v>
      </c>
      <c r="BL110">
        <v>0</v>
      </c>
      <c r="BM110" t="str">
        <f t="shared" si="100"/>
        <v>Standard Win</v>
      </c>
      <c r="BN110" s="32" t="str">
        <f t="shared" si="101"/>
        <v>Combo Win</v>
      </c>
      <c r="BO110">
        <f>(D110/Summary!$C$4-Summary!$C$8)^2*E110</f>
        <v>18088.02</v>
      </c>
      <c r="BP110">
        <f t="shared" si="94"/>
        <v>0</v>
      </c>
      <c r="BQ110">
        <f t="shared" si="95"/>
        <v>0</v>
      </c>
      <c r="BR110">
        <f t="shared" si="96"/>
        <v>0</v>
      </c>
      <c r="BS110">
        <f t="shared" si="97"/>
        <v>0</v>
      </c>
    </row>
    <row r="111" spans="2:71">
      <c r="B111" s="16">
        <f>Tiers!B112</f>
        <v>109</v>
      </c>
      <c r="C111" s="17" t="str">
        <f>Tiers!Y112</f>
        <v>main-0|main-1|||||||| x 20</v>
      </c>
      <c r="D111" s="18">
        <f>Tiers!C112</f>
        <v>6.0000000000000009</v>
      </c>
      <c r="E111" s="19">
        <f>Frequency!E113</f>
        <v>1500</v>
      </c>
      <c r="F111" s="19">
        <f t="shared" si="51"/>
        <v>9000.0000000000018</v>
      </c>
      <c r="G111" s="19">
        <f>IF(Tiers!D112&gt;1,'Data Analysis'!E111,0)</f>
        <v>1500</v>
      </c>
      <c r="H111" s="19">
        <f t="shared" si="52"/>
        <v>9000.0000000000018</v>
      </c>
      <c r="I111" s="19">
        <f>IF(AND(D111/Summary!$C$4&gt;0, D111/Summary!$C$4&lt;5),E111,0) * D111</f>
        <v>0</v>
      </c>
      <c r="J111" s="19">
        <f>IF(AND(D111/Summary!$C$4&gt;= 5, D111/Summary!$C$4&lt;10),E111,0) * D111</f>
        <v>9000.0000000000018</v>
      </c>
      <c r="K111" s="19">
        <f>IF(AND(D111/Summary!$C$4&gt;=10, D111/Summary!$C$4&lt;25),E111,0)*D111</f>
        <v>0</v>
      </c>
      <c r="L111" s="19">
        <f>IF(D111/Summary!$C$4&gt;=25,E111,0)*D111</f>
        <v>0</v>
      </c>
      <c r="M111" s="27">
        <f>IF(AND(D111/Summary!$C$4&gt;0, D111/Summary!$C$4&lt;1),E111,0)</f>
        <v>0</v>
      </c>
      <c r="N111" s="27">
        <f t="shared" si="53"/>
        <v>0</v>
      </c>
      <c r="O111" s="27">
        <f>IF(D111/Summary!$C$4=1,1,0)*E111</f>
        <v>0</v>
      </c>
      <c r="P111" s="27">
        <f t="shared" si="54"/>
        <v>0</v>
      </c>
      <c r="Q111" s="27">
        <f>IF(AND(D111/Summary!$C$4&gt;1, D111/Summary!$C$4&lt;=2),1,0)*E111</f>
        <v>0</v>
      </c>
      <c r="R111" s="27">
        <f t="shared" si="55"/>
        <v>0</v>
      </c>
      <c r="S111" s="27">
        <f>IF(AND(D111/Summary!$C$4&gt;2,D111/Summary!$C$4&lt;=5),1,0)*E111</f>
        <v>0</v>
      </c>
      <c r="T111" s="27">
        <f t="shared" si="56"/>
        <v>0</v>
      </c>
      <c r="U111" s="27">
        <f>IF(AND(D111/Summary!$C$4&gt;5, D111/Summary!$C$4&lt;=10),1,0)*E111</f>
        <v>1500</v>
      </c>
      <c r="V111" s="27">
        <f t="shared" si="57"/>
        <v>9000.0000000000018</v>
      </c>
      <c r="W111" s="27">
        <f>IF(AND(D111/Summary!$C$4&gt;10, D111/Summary!$C$4&lt;=20),1,0)*E111</f>
        <v>0</v>
      </c>
      <c r="X111" s="27">
        <f t="shared" si="58"/>
        <v>0</v>
      </c>
      <c r="Y111" s="27">
        <f>IF(AND(D111/Summary!$C$4&gt;20, D111/Summary!$C$4&lt;=30),1,0)*E111</f>
        <v>0</v>
      </c>
      <c r="Z111" s="27">
        <f t="shared" si="59"/>
        <v>0</v>
      </c>
      <c r="AA111" s="27">
        <f>IF(AND(D111/Summary!$C$4&gt;30, D111/Summary!$C$4&lt;=50),1,0)*E111</f>
        <v>0</v>
      </c>
      <c r="AB111" s="27">
        <f t="shared" si="60"/>
        <v>0</v>
      </c>
      <c r="AC111" s="27">
        <f>IF(AND(D111/Summary!$C$4&gt;50, D111/Summary!$C$4&lt;=100),1,0)*E111</f>
        <v>0</v>
      </c>
      <c r="AD111" s="27">
        <f t="shared" si="61"/>
        <v>0</v>
      </c>
      <c r="AE111" s="27">
        <f>IF(D111/Summary!$C$4&gt;100,1,0)*E111</f>
        <v>0</v>
      </c>
      <c r="AF111" s="27">
        <f t="shared" si="62"/>
        <v>0</v>
      </c>
      <c r="AG111" s="19">
        <f t="shared" si="63"/>
        <v>0</v>
      </c>
      <c r="AH111" s="19">
        <f t="shared" si="64"/>
        <v>0</v>
      </c>
      <c r="AI111" s="19">
        <f t="shared" si="65"/>
        <v>0</v>
      </c>
      <c r="AJ111" s="27">
        <f t="shared" si="66"/>
        <v>1</v>
      </c>
      <c r="AK111" s="27">
        <f t="shared" si="67"/>
        <v>1500</v>
      </c>
      <c r="AL111" s="27">
        <f t="shared" si="68"/>
        <v>9000.0000000000018</v>
      </c>
      <c r="AM111">
        <f t="shared" si="69"/>
        <v>0</v>
      </c>
      <c r="AN111">
        <f t="shared" si="70"/>
        <v>0</v>
      </c>
      <c r="AO111">
        <f t="shared" si="71"/>
        <v>0</v>
      </c>
      <c r="AP111">
        <f t="shared" si="72"/>
        <v>0</v>
      </c>
      <c r="AQ111">
        <f t="shared" si="73"/>
        <v>0</v>
      </c>
      <c r="AR111">
        <f t="shared" si="74"/>
        <v>0</v>
      </c>
      <c r="AS111">
        <f t="shared" si="75"/>
        <v>0</v>
      </c>
      <c r="AT111">
        <f t="shared" si="76"/>
        <v>0</v>
      </c>
      <c r="AU111">
        <f t="shared" si="77"/>
        <v>0</v>
      </c>
      <c r="AV111">
        <f t="shared" si="78"/>
        <v>0</v>
      </c>
      <c r="AW111">
        <f t="shared" si="79"/>
        <v>0</v>
      </c>
      <c r="AX111">
        <f t="shared" si="80"/>
        <v>0</v>
      </c>
      <c r="AY111">
        <f t="shared" si="81"/>
        <v>0</v>
      </c>
      <c r="AZ111">
        <f t="shared" si="82"/>
        <v>0</v>
      </c>
      <c r="BA111">
        <f t="shared" si="83"/>
        <v>0</v>
      </c>
      <c r="BB111">
        <f t="shared" si="84"/>
        <v>0</v>
      </c>
      <c r="BC111">
        <f t="shared" si="85"/>
        <v>0</v>
      </c>
      <c r="BD111">
        <f t="shared" si="86"/>
        <v>0</v>
      </c>
      <c r="BE111">
        <f t="shared" si="87"/>
        <v>0</v>
      </c>
      <c r="BF111">
        <f t="shared" si="88"/>
        <v>0</v>
      </c>
      <c r="BG111">
        <f t="shared" si="89"/>
        <v>0</v>
      </c>
      <c r="BH111">
        <f t="shared" si="90"/>
        <v>0</v>
      </c>
      <c r="BI111">
        <f t="shared" si="91"/>
        <v>0</v>
      </c>
      <c r="BJ111">
        <f t="shared" si="92"/>
        <v>0</v>
      </c>
      <c r="BK111">
        <f t="shared" si="93"/>
        <v>0</v>
      </c>
      <c r="BL111">
        <v>0</v>
      </c>
      <c r="BM111" t="str">
        <f t="shared" si="100"/>
        <v>Standard Win</v>
      </c>
      <c r="BN111" s="32" t="str">
        <f t="shared" si="101"/>
        <v>Combo Win</v>
      </c>
      <c r="BO111">
        <f>(D111/Summary!$C$4-Summary!$C$8)^2*E111</f>
        <v>40093.350000000013</v>
      </c>
      <c r="BP111">
        <f t="shared" si="94"/>
        <v>0</v>
      </c>
      <c r="BQ111">
        <f t="shared" si="95"/>
        <v>0</v>
      </c>
      <c r="BR111">
        <f t="shared" si="96"/>
        <v>0</v>
      </c>
      <c r="BS111">
        <f t="shared" si="97"/>
        <v>0</v>
      </c>
    </row>
    <row r="112" spans="2:71">
      <c r="B112" s="16">
        <f>Tiers!B113</f>
        <v>110</v>
      </c>
      <c r="C112" s="17" t="str">
        <f>Tiers!Y113</f>
        <v>main-1|main-1|||||||| x 20</v>
      </c>
      <c r="D112" s="18">
        <f>Tiers!C113</f>
        <v>8</v>
      </c>
      <c r="E112" s="19">
        <f>Frequency!E114</f>
        <v>1200</v>
      </c>
      <c r="F112" s="19">
        <f t="shared" si="51"/>
        <v>9600</v>
      </c>
      <c r="G112" s="19">
        <f>IF(Tiers!D113&gt;1,'Data Analysis'!E112,0)</f>
        <v>1200</v>
      </c>
      <c r="H112" s="19">
        <f t="shared" si="52"/>
        <v>9600</v>
      </c>
      <c r="I112" s="19">
        <f>IF(AND(D112/Summary!$C$4&gt;0, D112/Summary!$C$4&lt;5),E112,0) * D112</f>
        <v>0</v>
      </c>
      <c r="J112" s="19">
        <f>IF(AND(D112/Summary!$C$4&gt;= 5, D112/Summary!$C$4&lt;10),E112,0) * D112</f>
        <v>9600</v>
      </c>
      <c r="K112" s="19">
        <f>IF(AND(D112/Summary!$C$4&gt;=10, D112/Summary!$C$4&lt;25),E112,0)*D112</f>
        <v>0</v>
      </c>
      <c r="L112" s="19">
        <f>IF(D112/Summary!$C$4&gt;=25,E112,0)*D112</f>
        <v>0</v>
      </c>
      <c r="M112" s="27">
        <f>IF(AND(D112/Summary!$C$4&gt;0, D112/Summary!$C$4&lt;1),E112,0)</f>
        <v>0</v>
      </c>
      <c r="N112" s="27">
        <f t="shared" si="53"/>
        <v>0</v>
      </c>
      <c r="O112" s="27">
        <f>IF(D112/Summary!$C$4=1,1,0)*E112</f>
        <v>0</v>
      </c>
      <c r="P112" s="27">
        <f t="shared" si="54"/>
        <v>0</v>
      </c>
      <c r="Q112" s="27">
        <f>IF(AND(D112/Summary!$C$4&gt;1, D112/Summary!$C$4&lt;=2),1,0)*E112</f>
        <v>0</v>
      </c>
      <c r="R112" s="27">
        <f t="shared" si="55"/>
        <v>0</v>
      </c>
      <c r="S112" s="27">
        <f>IF(AND(D112/Summary!$C$4&gt;2,D112/Summary!$C$4&lt;=5),1,0)*E112</f>
        <v>0</v>
      </c>
      <c r="T112" s="27">
        <f t="shared" si="56"/>
        <v>0</v>
      </c>
      <c r="U112" s="27">
        <f>IF(AND(D112/Summary!$C$4&gt;5, D112/Summary!$C$4&lt;=10),1,0)*E112</f>
        <v>1200</v>
      </c>
      <c r="V112" s="27">
        <f t="shared" si="57"/>
        <v>9600</v>
      </c>
      <c r="W112" s="27">
        <f>IF(AND(D112/Summary!$C$4&gt;10, D112/Summary!$C$4&lt;=20),1,0)*E112</f>
        <v>0</v>
      </c>
      <c r="X112" s="27">
        <f t="shared" si="58"/>
        <v>0</v>
      </c>
      <c r="Y112" s="27">
        <f>IF(AND(D112/Summary!$C$4&gt;20, D112/Summary!$C$4&lt;=30),1,0)*E112</f>
        <v>0</v>
      </c>
      <c r="Z112" s="27">
        <f t="shared" si="59"/>
        <v>0</v>
      </c>
      <c r="AA112" s="27">
        <f>IF(AND(D112/Summary!$C$4&gt;30, D112/Summary!$C$4&lt;=50),1,0)*E112</f>
        <v>0</v>
      </c>
      <c r="AB112" s="27">
        <f t="shared" si="60"/>
        <v>0</v>
      </c>
      <c r="AC112" s="27">
        <f>IF(AND(D112/Summary!$C$4&gt;50, D112/Summary!$C$4&lt;=100),1,0)*E112</f>
        <v>0</v>
      </c>
      <c r="AD112" s="27">
        <f t="shared" si="61"/>
        <v>0</v>
      </c>
      <c r="AE112" s="27">
        <f>IF(D112/Summary!$C$4&gt;100,1,0)*E112</f>
        <v>0</v>
      </c>
      <c r="AF112" s="27">
        <f t="shared" si="62"/>
        <v>0</v>
      </c>
      <c r="AG112" s="19">
        <f t="shared" si="63"/>
        <v>0</v>
      </c>
      <c r="AH112" s="19">
        <f t="shared" si="64"/>
        <v>0</v>
      </c>
      <c r="AI112" s="19">
        <f t="shared" si="65"/>
        <v>0</v>
      </c>
      <c r="AJ112" s="27">
        <f t="shared" si="66"/>
        <v>1</v>
      </c>
      <c r="AK112" s="27">
        <f t="shared" si="67"/>
        <v>1200</v>
      </c>
      <c r="AL112" s="27">
        <f t="shared" si="68"/>
        <v>9600</v>
      </c>
      <c r="AM112">
        <f t="shared" si="69"/>
        <v>0</v>
      </c>
      <c r="AN112">
        <f t="shared" si="70"/>
        <v>0</v>
      </c>
      <c r="AO112">
        <f t="shared" si="71"/>
        <v>0</v>
      </c>
      <c r="AP112">
        <f t="shared" si="72"/>
        <v>0</v>
      </c>
      <c r="AQ112">
        <f t="shared" si="73"/>
        <v>0</v>
      </c>
      <c r="AR112">
        <f t="shared" si="74"/>
        <v>0</v>
      </c>
      <c r="AS112">
        <f t="shared" si="75"/>
        <v>0</v>
      </c>
      <c r="AT112">
        <f t="shared" si="76"/>
        <v>0</v>
      </c>
      <c r="AU112">
        <f t="shared" si="77"/>
        <v>0</v>
      </c>
      <c r="AV112">
        <f t="shared" si="78"/>
        <v>0</v>
      </c>
      <c r="AW112">
        <f t="shared" si="79"/>
        <v>0</v>
      </c>
      <c r="AX112">
        <f t="shared" si="80"/>
        <v>0</v>
      </c>
      <c r="AY112">
        <f t="shared" si="81"/>
        <v>0</v>
      </c>
      <c r="AZ112">
        <f t="shared" si="82"/>
        <v>0</v>
      </c>
      <c r="BA112">
        <f t="shared" si="83"/>
        <v>0</v>
      </c>
      <c r="BB112">
        <f t="shared" si="84"/>
        <v>0</v>
      </c>
      <c r="BC112">
        <f t="shared" si="85"/>
        <v>0</v>
      </c>
      <c r="BD112">
        <f t="shared" si="86"/>
        <v>0</v>
      </c>
      <c r="BE112">
        <f t="shared" si="87"/>
        <v>0</v>
      </c>
      <c r="BF112">
        <f t="shared" si="88"/>
        <v>0</v>
      </c>
      <c r="BG112">
        <f t="shared" si="89"/>
        <v>0</v>
      </c>
      <c r="BH112">
        <f t="shared" si="90"/>
        <v>0</v>
      </c>
      <c r="BI112">
        <f t="shared" si="91"/>
        <v>0</v>
      </c>
      <c r="BJ112">
        <f t="shared" si="92"/>
        <v>0</v>
      </c>
      <c r="BK112">
        <f t="shared" si="93"/>
        <v>0</v>
      </c>
      <c r="BL112">
        <v>0</v>
      </c>
      <c r="BM112" t="str">
        <f t="shared" si="100"/>
        <v>Standard Win</v>
      </c>
      <c r="BN112" s="32" t="str">
        <f t="shared" si="101"/>
        <v>Combo Win</v>
      </c>
      <c r="BO112">
        <f>(D112/Summary!$C$4-Summary!$C$8)^2*E112</f>
        <v>61690.679999999993</v>
      </c>
      <c r="BP112">
        <f t="shared" si="94"/>
        <v>0</v>
      </c>
      <c r="BQ112">
        <f t="shared" si="95"/>
        <v>0</v>
      </c>
      <c r="BR112">
        <f t="shared" si="96"/>
        <v>0</v>
      </c>
      <c r="BS112">
        <f t="shared" si="97"/>
        <v>0</v>
      </c>
    </row>
    <row r="113" spans="2:71">
      <c r="B113" s="16">
        <f>Tiers!B114</f>
        <v>111</v>
      </c>
      <c r="C113" s="17" t="str">
        <f>Tiers!Y114</f>
        <v>main-0|main-2|||||||| x 20</v>
      </c>
      <c r="D113" s="18">
        <f>Tiers!C114</f>
        <v>12</v>
      </c>
      <c r="E113" s="19">
        <f>Frequency!E115</f>
        <v>900</v>
      </c>
      <c r="F113" s="19">
        <f t="shared" si="51"/>
        <v>10800</v>
      </c>
      <c r="G113" s="19">
        <f>IF(Tiers!D114&gt;1,'Data Analysis'!E113,0)</f>
        <v>900</v>
      </c>
      <c r="H113" s="19">
        <f t="shared" si="52"/>
        <v>10800</v>
      </c>
      <c r="I113" s="19">
        <f>IF(AND(D113/Summary!$C$4&gt;0, D113/Summary!$C$4&lt;5),E113,0) * D113</f>
        <v>0</v>
      </c>
      <c r="J113" s="19">
        <f>IF(AND(D113/Summary!$C$4&gt;= 5, D113/Summary!$C$4&lt;10),E113,0) * D113</f>
        <v>0</v>
      </c>
      <c r="K113" s="19">
        <f>IF(AND(D113/Summary!$C$4&gt;=10, D113/Summary!$C$4&lt;25),E113,0)*D113</f>
        <v>10800</v>
      </c>
      <c r="L113" s="19">
        <f>IF(D113/Summary!$C$4&gt;=25,E113,0)*D113</f>
        <v>0</v>
      </c>
      <c r="M113" s="27">
        <f>IF(AND(D113/Summary!$C$4&gt;0, D113/Summary!$C$4&lt;1),E113,0)</f>
        <v>0</v>
      </c>
      <c r="N113" s="27">
        <f t="shared" si="53"/>
        <v>0</v>
      </c>
      <c r="O113" s="27">
        <f>IF(D113/Summary!$C$4=1,1,0)*E113</f>
        <v>0</v>
      </c>
      <c r="P113" s="27">
        <f t="shared" si="54"/>
        <v>0</v>
      </c>
      <c r="Q113" s="27">
        <f>IF(AND(D113/Summary!$C$4&gt;1, D113/Summary!$C$4&lt;=2),1,0)*E113</f>
        <v>0</v>
      </c>
      <c r="R113" s="27">
        <f t="shared" si="55"/>
        <v>0</v>
      </c>
      <c r="S113" s="27">
        <f>IF(AND(D113/Summary!$C$4&gt;2,D113/Summary!$C$4&lt;=5),1,0)*E113</f>
        <v>0</v>
      </c>
      <c r="T113" s="27">
        <f t="shared" si="56"/>
        <v>0</v>
      </c>
      <c r="U113" s="27">
        <f>IF(AND(D113/Summary!$C$4&gt;5, D113/Summary!$C$4&lt;=10),1,0)*E113</f>
        <v>0</v>
      </c>
      <c r="V113" s="27">
        <f t="shared" si="57"/>
        <v>0</v>
      </c>
      <c r="W113" s="27">
        <f>IF(AND(D113/Summary!$C$4&gt;10, D113/Summary!$C$4&lt;=20),1,0)*E113</f>
        <v>900</v>
      </c>
      <c r="X113" s="27">
        <f t="shared" si="58"/>
        <v>10800</v>
      </c>
      <c r="Y113" s="27">
        <f>IF(AND(D113/Summary!$C$4&gt;20, D113/Summary!$C$4&lt;=30),1,0)*E113</f>
        <v>0</v>
      </c>
      <c r="Z113" s="27">
        <f t="shared" si="59"/>
        <v>0</v>
      </c>
      <c r="AA113" s="27">
        <f>IF(AND(D113/Summary!$C$4&gt;30, D113/Summary!$C$4&lt;=50),1,0)*E113</f>
        <v>0</v>
      </c>
      <c r="AB113" s="27">
        <f t="shared" si="60"/>
        <v>0</v>
      </c>
      <c r="AC113" s="27">
        <f>IF(AND(D113/Summary!$C$4&gt;50, D113/Summary!$C$4&lt;=100),1,0)*E113</f>
        <v>0</v>
      </c>
      <c r="AD113" s="27">
        <f t="shared" si="61"/>
        <v>0</v>
      </c>
      <c r="AE113" s="27">
        <f>IF(D113/Summary!$C$4&gt;100,1,0)*E113</f>
        <v>0</v>
      </c>
      <c r="AF113" s="27">
        <f t="shared" si="62"/>
        <v>0</v>
      </c>
      <c r="AG113" s="19">
        <f t="shared" si="63"/>
        <v>0</v>
      </c>
      <c r="AH113" s="19">
        <f t="shared" si="64"/>
        <v>0</v>
      </c>
      <c r="AI113" s="19">
        <f t="shared" si="65"/>
        <v>0</v>
      </c>
      <c r="AJ113" s="27">
        <f t="shared" si="66"/>
        <v>1</v>
      </c>
      <c r="AK113" s="27">
        <f t="shared" si="67"/>
        <v>900</v>
      </c>
      <c r="AL113" s="27">
        <f t="shared" si="68"/>
        <v>10800</v>
      </c>
      <c r="AM113">
        <f t="shared" si="69"/>
        <v>0</v>
      </c>
      <c r="AN113">
        <f t="shared" si="70"/>
        <v>0</v>
      </c>
      <c r="AO113">
        <f t="shared" si="71"/>
        <v>0</v>
      </c>
      <c r="AP113">
        <f t="shared" si="72"/>
        <v>0</v>
      </c>
      <c r="AQ113">
        <f t="shared" si="73"/>
        <v>0</v>
      </c>
      <c r="AR113">
        <f t="shared" si="74"/>
        <v>0</v>
      </c>
      <c r="AS113">
        <f t="shared" si="75"/>
        <v>0</v>
      </c>
      <c r="AT113">
        <f t="shared" si="76"/>
        <v>0</v>
      </c>
      <c r="AU113">
        <f t="shared" si="77"/>
        <v>0</v>
      </c>
      <c r="AV113">
        <f t="shared" si="78"/>
        <v>0</v>
      </c>
      <c r="AW113">
        <f t="shared" si="79"/>
        <v>0</v>
      </c>
      <c r="AX113">
        <f t="shared" si="80"/>
        <v>0</v>
      </c>
      <c r="AY113">
        <f t="shared" si="81"/>
        <v>0</v>
      </c>
      <c r="AZ113">
        <f t="shared" si="82"/>
        <v>0</v>
      </c>
      <c r="BA113">
        <f t="shared" si="83"/>
        <v>0</v>
      </c>
      <c r="BB113">
        <f t="shared" si="84"/>
        <v>0</v>
      </c>
      <c r="BC113">
        <f t="shared" si="85"/>
        <v>0</v>
      </c>
      <c r="BD113">
        <f t="shared" si="86"/>
        <v>0</v>
      </c>
      <c r="BE113">
        <f t="shared" si="87"/>
        <v>0</v>
      </c>
      <c r="BF113">
        <f t="shared" si="88"/>
        <v>0</v>
      </c>
      <c r="BG113">
        <f t="shared" si="89"/>
        <v>0</v>
      </c>
      <c r="BH113">
        <f t="shared" si="90"/>
        <v>0</v>
      </c>
      <c r="BI113">
        <f t="shared" si="91"/>
        <v>0</v>
      </c>
      <c r="BJ113">
        <f t="shared" si="92"/>
        <v>0</v>
      </c>
      <c r="BK113">
        <f t="shared" si="93"/>
        <v>0</v>
      </c>
      <c r="BL113">
        <v>0</v>
      </c>
      <c r="BM113" t="str">
        <f t="shared" si="100"/>
        <v>Big Win</v>
      </c>
      <c r="BN113" s="32" t="str">
        <f t="shared" si="101"/>
        <v>Combo Win</v>
      </c>
      <c r="BO113">
        <f>(D113/Summary!$C$4-Summary!$C$8)^2*E113</f>
        <v>112292.01</v>
      </c>
      <c r="BP113">
        <f t="shared" si="94"/>
        <v>0</v>
      </c>
      <c r="BQ113">
        <f t="shared" si="95"/>
        <v>0</v>
      </c>
      <c r="BR113">
        <f t="shared" si="96"/>
        <v>0</v>
      </c>
      <c r="BS113">
        <f t="shared" si="97"/>
        <v>0</v>
      </c>
    </row>
    <row r="114" spans="2:71">
      <c r="B114" s="16">
        <f>Tiers!B115</f>
        <v>112</v>
      </c>
      <c r="C114" s="17" t="str">
        <f>Tiers!Y115</f>
        <v>main-0|main-3|||||||| x 20</v>
      </c>
      <c r="D114" s="18">
        <f>Tiers!C115</f>
        <v>22</v>
      </c>
      <c r="E114" s="19">
        <f>Frequency!E116</f>
        <v>900</v>
      </c>
      <c r="F114" s="19">
        <f t="shared" si="51"/>
        <v>19800</v>
      </c>
      <c r="G114" s="19">
        <f>IF(Tiers!D115&gt;1,'Data Analysis'!E114,0)</f>
        <v>900</v>
      </c>
      <c r="H114" s="19">
        <f t="shared" si="52"/>
        <v>19800</v>
      </c>
      <c r="I114" s="19">
        <f>IF(AND(D114/Summary!$C$4&gt;0, D114/Summary!$C$4&lt;5),E114,0) * D114</f>
        <v>0</v>
      </c>
      <c r="J114" s="19">
        <f>IF(AND(D114/Summary!$C$4&gt;= 5, D114/Summary!$C$4&lt;10),E114,0) * D114</f>
        <v>0</v>
      </c>
      <c r="K114" s="19">
        <f>IF(AND(D114/Summary!$C$4&gt;=10, D114/Summary!$C$4&lt;25),E114,0)*D114</f>
        <v>19800</v>
      </c>
      <c r="L114" s="19">
        <f>IF(D114/Summary!$C$4&gt;=25,E114,0)*D114</f>
        <v>0</v>
      </c>
      <c r="M114" s="27">
        <f>IF(AND(D114/Summary!$C$4&gt;0, D114/Summary!$C$4&lt;1),E114,0)</f>
        <v>0</v>
      </c>
      <c r="N114" s="27">
        <f t="shared" si="53"/>
        <v>0</v>
      </c>
      <c r="O114" s="27">
        <f>IF(D114/Summary!$C$4=1,1,0)*E114</f>
        <v>0</v>
      </c>
      <c r="P114" s="27">
        <f t="shared" si="54"/>
        <v>0</v>
      </c>
      <c r="Q114" s="27">
        <f>IF(AND(D114/Summary!$C$4&gt;1, D114/Summary!$C$4&lt;=2),1,0)*E114</f>
        <v>0</v>
      </c>
      <c r="R114" s="27">
        <f t="shared" si="55"/>
        <v>0</v>
      </c>
      <c r="S114" s="27">
        <f>IF(AND(D114/Summary!$C$4&gt;2,D114/Summary!$C$4&lt;=5),1,0)*E114</f>
        <v>0</v>
      </c>
      <c r="T114" s="27">
        <f t="shared" si="56"/>
        <v>0</v>
      </c>
      <c r="U114" s="27">
        <f>IF(AND(D114/Summary!$C$4&gt;5, D114/Summary!$C$4&lt;=10),1,0)*E114</f>
        <v>0</v>
      </c>
      <c r="V114" s="27">
        <f t="shared" si="57"/>
        <v>0</v>
      </c>
      <c r="W114" s="27">
        <f>IF(AND(D114/Summary!$C$4&gt;10, D114/Summary!$C$4&lt;=20),1,0)*E114</f>
        <v>0</v>
      </c>
      <c r="X114" s="27">
        <f t="shared" si="58"/>
        <v>0</v>
      </c>
      <c r="Y114" s="27">
        <f>IF(AND(D114/Summary!$C$4&gt;20, D114/Summary!$C$4&lt;=30),1,0)*E114</f>
        <v>900</v>
      </c>
      <c r="Z114" s="27">
        <f t="shared" si="59"/>
        <v>19800</v>
      </c>
      <c r="AA114" s="27">
        <f>IF(AND(D114/Summary!$C$4&gt;30, D114/Summary!$C$4&lt;=50),1,0)*E114</f>
        <v>0</v>
      </c>
      <c r="AB114" s="27">
        <f t="shared" si="60"/>
        <v>0</v>
      </c>
      <c r="AC114" s="27">
        <f>IF(AND(D114/Summary!$C$4&gt;50, D114/Summary!$C$4&lt;=100),1,0)*E114</f>
        <v>0</v>
      </c>
      <c r="AD114" s="27">
        <f t="shared" si="61"/>
        <v>0</v>
      </c>
      <c r="AE114" s="27">
        <f>IF(D114/Summary!$C$4&gt;100,1,0)*E114</f>
        <v>0</v>
      </c>
      <c r="AF114" s="27">
        <f t="shared" si="62"/>
        <v>0</v>
      </c>
      <c r="AG114" s="19">
        <f t="shared" si="63"/>
        <v>0</v>
      </c>
      <c r="AH114" s="19">
        <f t="shared" si="64"/>
        <v>0</v>
      </c>
      <c r="AI114" s="19">
        <f t="shared" si="65"/>
        <v>0</v>
      </c>
      <c r="AJ114" s="27">
        <f t="shared" si="66"/>
        <v>1</v>
      </c>
      <c r="AK114" s="27">
        <f t="shared" si="67"/>
        <v>900</v>
      </c>
      <c r="AL114" s="27">
        <f t="shared" si="68"/>
        <v>19800</v>
      </c>
      <c r="AM114">
        <f t="shared" si="69"/>
        <v>0</v>
      </c>
      <c r="AN114">
        <f t="shared" si="70"/>
        <v>0</v>
      </c>
      <c r="AO114">
        <f t="shared" si="71"/>
        <v>0</v>
      </c>
      <c r="AP114">
        <f t="shared" si="72"/>
        <v>0</v>
      </c>
      <c r="AQ114">
        <f t="shared" si="73"/>
        <v>0</v>
      </c>
      <c r="AR114">
        <f t="shared" si="74"/>
        <v>0</v>
      </c>
      <c r="AS114">
        <f t="shared" si="75"/>
        <v>0</v>
      </c>
      <c r="AT114">
        <f t="shared" si="76"/>
        <v>0</v>
      </c>
      <c r="AU114">
        <f t="shared" si="77"/>
        <v>0</v>
      </c>
      <c r="AV114">
        <f t="shared" si="78"/>
        <v>0</v>
      </c>
      <c r="AW114">
        <f t="shared" si="79"/>
        <v>0</v>
      </c>
      <c r="AX114">
        <f t="shared" si="80"/>
        <v>0</v>
      </c>
      <c r="AY114">
        <f t="shared" si="81"/>
        <v>0</v>
      </c>
      <c r="AZ114">
        <f t="shared" si="82"/>
        <v>0</v>
      </c>
      <c r="BA114">
        <f t="shared" si="83"/>
        <v>0</v>
      </c>
      <c r="BB114">
        <f t="shared" si="84"/>
        <v>0</v>
      </c>
      <c r="BC114">
        <f t="shared" si="85"/>
        <v>0</v>
      </c>
      <c r="BD114">
        <f t="shared" si="86"/>
        <v>0</v>
      </c>
      <c r="BE114">
        <f t="shared" si="87"/>
        <v>0</v>
      </c>
      <c r="BF114">
        <f t="shared" si="88"/>
        <v>0</v>
      </c>
      <c r="BG114">
        <f t="shared" si="89"/>
        <v>0</v>
      </c>
      <c r="BH114">
        <f t="shared" si="90"/>
        <v>0</v>
      </c>
      <c r="BI114">
        <f t="shared" si="91"/>
        <v>0</v>
      </c>
      <c r="BJ114">
        <f t="shared" si="92"/>
        <v>0</v>
      </c>
      <c r="BK114">
        <f t="shared" si="93"/>
        <v>0</v>
      </c>
      <c r="BL114">
        <v>0</v>
      </c>
      <c r="BM114" t="str">
        <f t="shared" si="100"/>
        <v>Big Win</v>
      </c>
      <c r="BN114" s="32" t="str">
        <f t="shared" si="101"/>
        <v>Combo Win</v>
      </c>
      <c r="BO114">
        <f>(D114/Summary!$C$4-Summary!$C$8)^2*E114</f>
        <v>403352.01000000007</v>
      </c>
      <c r="BP114">
        <f t="shared" si="94"/>
        <v>0</v>
      </c>
      <c r="BQ114">
        <f t="shared" si="95"/>
        <v>0</v>
      </c>
      <c r="BR114">
        <f t="shared" si="96"/>
        <v>0</v>
      </c>
      <c r="BS114">
        <f t="shared" si="97"/>
        <v>0</v>
      </c>
    </row>
    <row r="115" spans="2:71">
      <c r="B115" s="16">
        <f>Tiers!B116</f>
        <v>113</v>
      </c>
      <c r="C115" s="17" t="str">
        <f>Tiers!Y116</f>
        <v>main-0|main-4|||||||| x 20</v>
      </c>
      <c r="D115" s="18">
        <f>Tiers!C116</f>
        <v>32</v>
      </c>
      <c r="E115" s="19">
        <f>Frequency!E117</f>
        <v>300</v>
      </c>
      <c r="F115" s="19">
        <f t="shared" si="51"/>
        <v>9600</v>
      </c>
      <c r="G115" s="19">
        <f>IF(Tiers!D116&gt;1,'Data Analysis'!E115,0)</f>
        <v>300</v>
      </c>
      <c r="H115" s="19">
        <f t="shared" si="52"/>
        <v>9600</v>
      </c>
      <c r="I115" s="19">
        <f>IF(AND(D115/Summary!$C$4&gt;0, D115/Summary!$C$4&lt;5),E115,0) * D115</f>
        <v>0</v>
      </c>
      <c r="J115" s="19">
        <f>IF(AND(D115/Summary!$C$4&gt;= 5, D115/Summary!$C$4&lt;10),E115,0) * D115</f>
        <v>0</v>
      </c>
      <c r="K115" s="19">
        <f>IF(AND(D115/Summary!$C$4&gt;=10, D115/Summary!$C$4&lt;25),E115,0)*D115</f>
        <v>0</v>
      </c>
      <c r="L115" s="19">
        <f>IF(D115/Summary!$C$4&gt;=25,E115,0)*D115</f>
        <v>9600</v>
      </c>
      <c r="M115" s="27">
        <f>IF(AND(D115/Summary!$C$4&gt;0, D115/Summary!$C$4&lt;1),E115,0)</f>
        <v>0</v>
      </c>
      <c r="N115" s="27">
        <f t="shared" si="53"/>
        <v>0</v>
      </c>
      <c r="O115" s="27">
        <f>IF(D115/Summary!$C$4=1,1,0)*E115</f>
        <v>0</v>
      </c>
      <c r="P115" s="27">
        <f t="shared" si="54"/>
        <v>0</v>
      </c>
      <c r="Q115" s="27">
        <f>IF(AND(D115/Summary!$C$4&gt;1, D115/Summary!$C$4&lt;=2),1,0)*E115</f>
        <v>0</v>
      </c>
      <c r="R115" s="27">
        <f t="shared" si="55"/>
        <v>0</v>
      </c>
      <c r="S115" s="27">
        <f>IF(AND(D115/Summary!$C$4&gt;2,D115/Summary!$C$4&lt;=5),1,0)*E115</f>
        <v>0</v>
      </c>
      <c r="T115" s="27">
        <f t="shared" si="56"/>
        <v>0</v>
      </c>
      <c r="U115" s="27">
        <f>IF(AND(D115/Summary!$C$4&gt;5, D115/Summary!$C$4&lt;=10),1,0)*E115</f>
        <v>0</v>
      </c>
      <c r="V115" s="27">
        <f t="shared" si="57"/>
        <v>0</v>
      </c>
      <c r="W115" s="27">
        <f>IF(AND(D115/Summary!$C$4&gt;10, D115/Summary!$C$4&lt;=20),1,0)*E115</f>
        <v>0</v>
      </c>
      <c r="X115" s="27">
        <f t="shared" si="58"/>
        <v>0</v>
      </c>
      <c r="Y115" s="27">
        <f>IF(AND(D115/Summary!$C$4&gt;20, D115/Summary!$C$4&lt;=30),1,0)*E115</f>
        <v>0</v>
      </c>
      <c r="Z115" s="27">
        <f t="shared" si="59"/>
        <v>0</v>
      </c>
      <c r="AA115" s="27">
        <f>IF(AND(D115/Summary!$C$4&gt;30, D115/Summary!$C$4&lt;=50),1,0)*E115</f>
        <v>300</v>
      </c>
      <c r="AB115" s="27">
        <f t="shared" si="60"/>
        <v>9600</v>
      </c>
      <c r="AC115" s="27">
        <f>IF(AND(D115/Summary!$C$4&gt;50, D115/Summary!$C$4&lt;=100),1,0)*E115</f>
        <v>0</v>
      </c>
      <c r="AD115" s="27">
        <f t="shared" si="61"/>
        <v>0</v>
      </c>
      <c r="AE115" s="27">
        <f>IF(D115/Summary!$C$4&gt;100,1,0)*E115</f>
        <v>0</v>
      </c>
      <c r="AF115" s="27">
        <f t="shared" si="62"/>
        <v>0</v>
      </c>
      <c r="AG115" s="19">
        <f t="shared" si="63"/>
        <v>0</v>
      </c>
      <c r="AH115" s="19">
        <f t="shared" si="64"/>
        <v>0</v>
      </c>
      <c r="AI115" s="19">
        <f t="shared" si="65"/>
        <v>0</v>
      </c>
      <c r="AJ115" s="27">
        <f t="shared" si="66"/>
        <v>1</v>
      </c>
      <c r="AK115" s="27">
        <f t="shared" si="67"/>
        <v>300</v>
      </c>
      <c r="AL115" s="27">
        <f t="shared" si="68"/>
        <v>9600</v>
      </c>
      <c r="AM115">
        <f t="shared" si="69"/>
        <v>0</v>
      </c>
      <c r="AN115">
        <f t="shared" si="70"/>
        <v>0</v>
      </c>
      <c r="AO115">
        <f t="shared" si="71"/>
        <v>0</v>
      </c>
      <c r="AP115">
        <f t="shared" si="72"/>
        <v>0</v>
      </c>
      <c r="AQ115">
        <f t="shared" si="73"/>
        <v>0</v>
      </c>
      <c r="AR115">
        <f t="shared" si="74"/>
        <v>0</v>
      </c>
      <c r="AS115">
        <f t="shared" si="75"/>
        <v>0</v>
      </c>
      <c r="AT115">
        <f t="shared" si="76"/>
        <v>0</v>
      </c>
      <c r="AU115">
        <f t="shared" si="77"/>
        <v>0</v>
      </c>
      <c r="AV115">
        <f t="shared" si="78"/>
        <v>0</v>
      </c>
      <c r="AW115">
        <f t="shared" si="79"/>
        <v>0</v>
      </c>
      <c r="AX115">
        <f t="shared" si="80"/>
        <v>0</v>
      </c>
      <c r="AY115">
        <f t="shared" si="81"/>
        <v>0</v>
      </c>
      <c r="AZ115">
        <f t="shared" si="82"/>
        <v>0</v>
      </c>
      <c r="BA115">
        <f t="shared" si="83"/>
        <v>0</v>
      </c>
      <c r="BB115">
        <f t="shared" si="84"/>
        <v>0</v>
      </c>
      <c r="BC115">
        <f t="shared" si="85"/>
        <v>0</v>
      </c>
      <c r="BD115">
        <f t="shared" si="86"/>
        <v>0</v>
      </c>
      <c r="BE115">
        <f t="shared" si="87"/>
        <v>0</v>
      </c>
      <c r="BF115">
        <f t="shared" si="88"/>
        <v>0</v>
      </c>
      <c r="BG115">
        <f t="shared" si="89"/>
        <v>0</v>
      </c>
      <c r="BH115">
        <f t="shared" si="90"/>
        <v>0</v>
      </c>
      <c r="BI115">
        <f t="shared" si="91"/>
        <v>0</v>
      </c>
      <c r="BJ115">
        <f t="shared" si="92"/>
        <v>0</v>
      </c>
      <c r="BK115">
        <f t="shared" si="93"/>
        <v>0</v>
      </c>
      <c r="BL115">
        <v>0</v>
      </c>
      <c r="BM115" t="str">
        <f t="shared" si="100"/>
        <v>Big Win</v>
      </c>
      <c r="BN115" s="32" t="str">
        <f t="shared" si="101"/>
        <v>Combo Win</v>
      </c>
      <c r="BO115">
        <f>(D115/Summary!$C$4-Summary!$C$8)^2*E115</f>
        <v>291470.67000000004</v>
      </c>
      <c r="BP115">
        <f t="shared" si="94"/>
        <v>0</v>
      </c>
      <c r="BQ115">
        <f t="shared" si="95"/>
        <v>0</v>
      </c>
      <c r="BR115">
        <f t="shared" si="96"/>
        <v>0</v>
      </c>
      <c r="BS115">
        <f t="shared" si="97"/>
        <v>0</v>
      </c>
    </row>
    <row r="116" spans="2:71">
      <c r="B116" s="16">
        <f>Tiers!B117</f>
        <v>114</v>
      </c>
      <c r="C116" s="17" t="str">
        <f>Tiers!Y117</f>
        <v>main-2|main-20|||||||| x 20</v>
      </c>
      <c r="D116" s="18">
        <f>Tiers!C117</f>
        <v>40</v>
      </c>
      <c r="E116" s="19">
        <f>Frequency!E118</f>
        <v>12</v>
      </c>
      <c r="F116" s="19">
        <f t="shared" si="51"/>
        <v>480</v>
      </c>
      <c r="G116" s="19">
        <f>IF(Tiers!D117&gt;1,'Data Analysis'!E116,0)</f>
        <v>12</v>
      </c>
      <c r="H116" s="19">
        <f t="shared" si="52"/>
        <v>480</v>
      </c>
      <c r="I116" s="19">
        <f>IF(AND(D116/Summary!$C$4&gt;0, D116/Summary!$C$4&lt;5),E116,0) * D116</f>
        <v>0</v>
      </c>
      <c r="J116" s="19">
        <f>IF(AND(D116/Summary!$C$4&gt;= 5, D116/Summary!$C$4&lt;10),E116,0) * D116</f>
        <v>0</v>
      </c>
      <c r="K116" s="19">
        <f>IF(AND(D116/Summary!$C$4&gt;=10, D116/Summary!$C$4&lt;25),E116,0)*D116</f>
        <v>0</v>
      </c>
      <c r="L116" s="19">
        <f>IF(D116/Summary!$C$4&gt;=25,E116,0)*D116</f>
        <v>480</v>
      </c>
      <c r="M116" s="27">
        <f>IF(AND(D116/Summary!$C$4&gt;0, D116/Summary!$C$4&lt;1),E116,0)</f>
        <v>0</v>
      </c>
      <c r="N116" s="27">
        <f t="shared" si="53"/>
        <v>0</v>
      </c>
      <c r="O116" s="27">
        <f>IF(D116/Summary!$C$4=1,1,0)*E116</f>
        <v>0</v>
      </c>
      <c r="P116" s="27">
        <f t="shared" si="54"/>
        <v>0</v>
      </c>
      <c r="Q116" s="27">
        <f>IF(AND(D116/Summary!$C$4&gt;1, D116/Summary!$C$4&lt;=2),1,0)*E116</f>
        <v>0</v>
      </c>
      <c r="R116" s="27">
        <f t="shared" si="55"/>
        <v>0</v>
      </c>
      <c r="S116" s="27">
        <f>IF(AND(D116/Summary!$C$4&gt;2,D116/Summary!$C$4&lt;=5),1,0)*E116</f>
        <v>0</v>
      </c>
      <c r="T116" s="27">
        <f t="shared" si="56"/>
        <v>0</v>
      </c>
      <c r="U116" s="27">
        <f>IF(AND(D116/Summary!$C$4&gt;5, D116/Summary!$C$4&lt;=10),1,0)*E116</f>
        <v>0</v>
      </c>
      <c r="V116" s="27">
        <f t="shared" si="57"/>
        <v>0</v>
      </c>
      <c r="W116" s="27">
        <f>IF(AND(D116/Summary!$C$4&gt;10, D116/Summary!$C$4&lt;=20),1,0)*E116</f>
        <v>0</v>
      </c>
      <c r="X116" s="27">
        <f t="shared" si="58"/>
        <v>0</v>
      </c>
      <c r="Y116" s="27">
        <f>IF(AND(D116/Summary!$C$4&gt;20, D116/Summary!$C$4&lt;=30),1,0)*E116</f>
        <v>0</v>
      </c>
      <c r="Z116" s="27">
        <f t="shared" si="59"/>
        <v>0</v>
      </c>
      <c r="AA116" s="27">
        <f>IF(AND(D116/Summary!$C$4&gt;30, D116/Summary!$C$4&lt;=50),1,0)*E116</f>
        <v>12</v>
      </c>
      <c r="AB116" s="27">
        <f t="shared" si="60"/>
        <v>480</v>
      </c>
      <c r="AC116" s="27">
        <f>IF(AND(D116/Summary!$C$4&gt;50, D116/Summary!$C$4&lt;=100),1,0)*E116</f>
        <v>0</v>
      </c>
      <c r="AD116" s="27">
        <f t="shared" si="61"/>
        <v>0</v>
      </c>
      <c r="AE116" s="27">
        <f>IF(D116/Summary!$C$4&gt;100,1,0)*E116</f>
        <v>0</v>
      </c>
      <c r="AF116" s="27">
        <f t="shared" si="62"/>
        <v>0</v>
      </c>
      <c r="AG116" s="19">
        <f t="shared" si="63"/>
        <v>0</v>
      </c>
      <c r="AH116" s="19">
        <f t="shared" si="64"/>
        <v>0</v>
      </c>
      <c r="AI116" s="19">
        <f t="shared" si="65"/>
        <v>0</v>
      </c>
      <c r="AJ116" s="27">
        <f t="shared" si="66"/>
        <v>1</v>
      </c>
      <c r="AK116" s="27">
        <f t="shared" si="67"/>
        <v>12</v>
      </c>
      <c r="AL116" s="27">
        <f t="shared" si="68"/>
        <v>480</v>
      </c>
      <c r="AM116">
        <f t="shared" si="69"/>
        <v>0</v>
      </c>
      <c r="AN116">
        <f t="shared" si="70"/>
        <v>0</v>
      </c>
      <c r="AO116">
        <f t="shared" si="71"/>
        <v>0</v>
      </c>
      <c r="AP116">
        <f t="shared" si="72"/>
        <v>0</v>
      </c>
      <c r="AQ116">
        <f t="shared" si="73"/>
        <v>0</v>
      </c>
      <c r="AR116">
        <f t="shared" si="74"/>
        <v>0</v>
      </c>
      <c r="AS116">
        <f t="shared" si="75"/>
        <v>0</v>
      </c>
      <c r="AT116">
        <f t="shared" si="76"/>
        <v>0</v>
      </c>
      <c r="AU116">
        <f t="shared" si="77"/>
        <v>0</v>
      </c>
      <c r="AV116">
        <f t="shared" si="78"/>
        <v>0</v>
      </c>
      <c r="AW116">
        <f t="shared" si="79"/>
        <v>0</v>
      </c>
      <c r="AX116">
        <f t="shared" si="80"/>
        <v>0</v>
      </c>
      <c r="AY116">
        <f t="shared" si="81"/>
        <v>0</v>
      </c>
      <c r="AZ116">
        <f t="shared" si="82"/>
        <v>0</v>
      </c>
      <c r="BA116">
        <f t="shared" si="83"/>
        <v>0</v>
      </c>
      <c r="BB116">
        <f t="shared" si="84"/>
        <v>0</v>
      </c>
      <c r="BC116">
        <f t="shared" si="85"/>
        <v>0</v>
      </c>
      <c r="BD116">
        <f t="shared" si="86"/>
        <v>0</v>
      </c>
      <c r="BE116">
        <f t="shared" si="87"/>
        <v>0</v>
      </c>
      <c r="BF116">
        <f t="shared" si="88"/>
        <v>0</v>
      </c>
      <c r="BG116">
        <f t="shared" si="89"/>
        <v>0</v>
      </c>
      <c r="BH116">
        <f t="shared" si="90"/>
        <v>0</v>
      </c>
      <c r="BI116">
        <f t="shared" si="91"/>
        <v>0</v>
      </c>
      <c r="BJ116">
        <f t="shared" si="92"/>
        <v>0</v>
      </c>
      <c r="BK116">
        <f t="shared" si="93"/>
        <v>0</v>
      </c>
      <c r="BL116">
        <v>0</v>
      </c>
      <c r="BM116" t="str">
        <f t="shared" si="100"/>
        <v>Big Win</v>
      </c>
      <c r="BN116" s="32" t="str">
        <f t="shared" si="101"/>
        <v>Combo Win</v>
      </c>
      <c r="BO116">
        <f>(D116/Summary!$C$4-Summary!$C$8)^2*E116</f>
        <v>18411.466800000002</v>
      </c>
      <c r="BP116">
        <f t="shared" si="94"/>
        <v>0</v>
      </c>
      <c r="BQ116">
        <f t="shared" si="95"/>
        <v>0</v>
      </c>
      <c r="BR116">
        <f t="shared" si="96"/>
        <v>0</v>
      </c>
      <c r="BS116">
        <f t="shared" si="97"/>
        <v>0</v>
      </c>
    </row>
    <row r="117" spans="2:71">
      <c r="B117" s="16">
        <f>Tiers!B118</f>
        <v>115</v>
      </c>
      <c r="C117" s="17" t="str">
        <f>Tiers!Y118</f>
        <v>main-4|main-4|||||||| x 20</v>
      </c>
      <c r="D117" s="18">
        <f>Tiers!C118</f>
        <v>60</v>
      </c>
      <c r="E117" s="19">
        <f>Frequency!E119</f>
        <v>8</v>
      </c>
      <c r="F117" s="19">
        <f t="shared" si="51"/>
        <v>480</v>
      </c>
      <c r="G117" s="19">
        <f>IF(Tiers!D118&gt;1,'Data Analysis'!E117,0)</f>
        <v>8</v>
      </c>
      <c r="H117" s="19">
        <f t="shared" si="52"/>
        <v>480</v>
      </c>
      <c r="I117" s="19">
        <f>IF(AND(D117/Summary!$C$4&gt;0, D117/Summary!$C$4&lt;5),E117,0) * D117</f>
        <v>0</v>
      </c>
      <c r="J117" s="19">
        <f>IF(AND(D117/Summary!$C$4&gt;= 5, D117/Summary!$C$4&lt;10),E117,0) * D117</f>
        <v>0</v>
      </c>
      <c r="K117" s="19">
        <f>IF(AND(D117/Summary!$C$4&gt;=10, D117/Summary!$C$4&lt;25),E117,0)*D117</f>
        <v>0</v>
      </c>
      <c r="L117" s="19">
        <f>IF(D117/Summary!$C$4&gt;=25,E117,0)*D117</f>
        <v>480</v>
      </c>
      <c r="M117" s="27">
        <f>IF(AND(D117/Summary!$C$4&gt;0, D117/Summary!$C$4&lt;1),E117,0)</f>
        <v>0</v>
      </c>
      <c r="N117" s="27">
        <f t="shared" si="53"/>
        <v>0</v>
      </c>
      <c r="O117" s="27">
        <f>IF(D117/Summary!$C$4=1,1,0)*E117</f>
        <v>0</v>
      </c>
      <c r="P117" s="27">
        <f t="shared" si="54"/>
        <v>0</v>
      </c>
      <c r="Q117" s="27">
        <f>IF(AND(D117/Summary!$C$4&gt;1, D117/Summary!$C$4&lt;=2),1,0)*E117</f>
        <v>0</v>
      </c>
      <c r="R117" s="27">
        <f t="shared" si="55"/>
        <v>0</v>
      </c>
      <c r="S117" s="27">
        <f>IF(AND(D117/Summary!$C$4&gt;2,D117/Summary!$C$4&lt;=5),1,0)*E117</f>
        <v>0</v>
      </c>
      <c r="T117" s="27">
        <f t="shared" si="56"/>
        <v>0</v>
      </c>
      <c r="U117" s="27">
        <f>IF(AND(D117/Summary!$C$4&gt;5, D117/Summary!$C$4&lt;=10),1,0)*E117</f>
        <v>0</v>
      </c>
      <c r="V117" s="27">
        <f t="shared" si="57"/>
        <v>0</v>
      </c>
      <c r="W117" s="27">
        <f>IF(AND(D117/Summary!$C$4&gt;10, D117/Summary!$C$4&lt;=20),1,0)*E117</f>
        <v>0</v>
      </c>
      <c r="X117" s="27">
        <f t="shared" si="58"/>
        <v>0</v>
      </c>
      <c r="Y117" s="27">
        <f>IF(AND(D117/Summary!$C$4&gt;20, D117/Summary!$C$4&lt;=30),1,0)*E117</f>
        <v>0</v>
      </c>
      <c r="Z117" s="27">
        <f t="shared" si="59"/>
        <v>0</v>
      </c>
      <c r="AA117" s="27">
        <f>IF(AND(D117/Summary!$C$4&gt;30, D117/Summary!$C$4&lt;=50),1,0)*E117</f>
        <v>0</v>
      </c>
      <c r="AB117" s="27">
        <f t="shared" si="60"/>
        <v>0</v>
      </c>
      <c r="AC117" s="27">
        <f>IF(AND(D117/Summary!$C$4&gt;50, D117/Summary!$C$4&lt;=100),1,0)*E117</f>
        <v>8</v>
      </c>
      <c r="AD117" s="27">
        <f t="shared" si="61"/>
        <v>480</v>
      </c>
      <c r="AE117" s="27">
        <f>IF(D117/Summary!$C$4&gt;100,1,0)*E117</f>
        <v>0</v>
      </c>
      <c r="AF117" s="27">
        <f t="shared" si="62"/>
        <v>0</v>
      </c>
      <c r="AG117" s="19">
        <f t="shared" si="63"/>
        <v>0</v>
      </c>
      <c r="AH117" s="19">
        <f t="shared" si="64"/>
        <v>0</v>
      </c>
      <c r="AI117" s="19">
        <f t="shared" si="65"/>
        <v>0</v>
      </c>
      <c r="AJ117" s="27">
        <f t="shared" si="66"/>
        <v>1</v>
      </c>
      <c r="AK117" s="27">
        <f t="shared" si="67"/>
        <v>8</v>
      </c>
      <c r="AL117" s="27">
        <f t="shared" si="68"/>
        <v>480</v>
      </c>
      <c r="AM117">
        <f t="shared" si="69"/>
        <v>0</v>
      </c>
      <c r="AN117">
        <f t="shared" si="70"/>
        <v>0</v>
      </c>
      <c r="AO117">
        <f t="shared" si="71"/>
        <v>0</v>
      </c>
      <c r="AP117">
        <f t="shared" si="72"/>
        <v>0</v>
      </c>
      <c r="AQ117">
        <f t="shared" si="73"/>
        <v>0</v>
      </c>
      <c r="AR117">
        <f t="shared" si="74"/>
        <v>0</v>
      </c>
      <c r="AS117">
        <f t="shared" si="75"/>
        <v>0</v>
      </c>
      <c r="AT117">
        <f t="shared" si="76"/>
        <v>0</v>
      </c>
      <c r="AU117">
        <f t="shared" si="77"/>
        <v>0</v>
      </c>
      <c r="AV117">
        <f t="shared" si="78"/>
        <v>0</v>
      </c>
      <c r="AW117">
        <f t="shared" si="79"/>
        <v>0</v>
      </c>
      <c r="AX117">
        <f t="shared" si="80"/>
        <v>0</v>
      </c>
      <c r="AY117">
        <f t="shared" si="81"/>
        <v>0</v>
      </c>
      <c r="AZ117">
        <f t="shared" si="82"/>
        <v>0</v>
      </c>
      <c r="BA117">
        <f t="shared" si="83"/>
        <v>0</v>
      </c>
      <c r="BB117">
        <f t="shared" si="84"/>
        <v>0</v>
      </c>
      <c r="BC117">
        <f t="shared" si="85"/>
        <v>0</v>
      </c>
      <c r="BD117">
        <f t="shared" si="86"/>
        <v>0</v>
      </c>
      <c r="BE117">
        <f t="shared" si="87"/>
        <v>0</v>
      </c>
      <c r="BF117">
        <f t="shared" si="88"/>
        <v>0</v>
      </c>
      <c r="BG117">
        <f t="shared" si="89"/>
        <v>0</v>
      </c>
      <c r="BH117">
        <f t="shared" si="90"/>
        <v>0</v>
      </c>
      <c r="BI117">
        <f t="shared" si="91"/>
        <v>0</v>
      </c>
      <c r="BJ117">
        <f t="shared" si="92"/>
        <v>0</v>
      </c>
      <c r="BK117">
        <f t="shared" si="93"/>
        <v>0</v>
      </c>
      <c r="BL117">
        <v>0</v>
      </c>
      <c r="BM117" t="str">
        <f t="shared" si="100"/>
        <v>Huge Win</v>
      </c>
      <c r="BN117" s="32" t="str">
        <f t="shared" si="101"/>
        <v>Combo Win</v>
      </c>
      <c r="BO117">
        <f>(D117/Summary!$C$4-Summary!$C$8)^2*E117</f>
        <v>28008.711200000002</v>
      </c>
      <c r="BP117">
        <f t="shared" si="94"/>
        <v>0</v>
      </c>
      <c r="BQ117">
        <f t="shared" si="95"/>
        <v>0</v>
      </c>
      <c r="BR117">
        <f t="shared" si="96"/>
        <v>0</v>
      </c>
      <c r="BS117">
        <f t="shared" si="97"/>
        <v>0</v>
      </c>
    </row>
    <row r="118" spans="2:71">
      <c r="B118" s="16">
        <f>Tiers!B119</f>
        <v>116</v>
      </c>
      <c r="C118" s="17" t="str">
        <f>Tiers!Y119</f>
        <v>main-4|main-11|||||||| x 20</v>
      </c>
      <c r="D118" s="18">
        <f>Tiers!C119</f>
        <v>60</v>
      </c>
      <c r="E118" s="19">
        <f>Frequency!E120</f>
        <v>8</v>
      </c>
      <c r="F118" s="19">
        <f t="shared" si="51"/>
        <v>480</v>
      </c>
      <c r="G118" s="19">
        <f>IF(Tiers!D119&gt;1,'Data Analysis'!E118,0)</f>
        <v>8</v>
      </c>
      <c r="H118" s="19">
        <f t="shared" si="52"/>
        <v>480</v>
      </c>
      <c r="I118" s="19">
        <f>IF(AND(D118/Summary!$C$4&gt;0, D118/Summary!$C$4&lt;5),E118,0) * D118</f>
        <v>0</v>
      </c>
      <c r="J118" s="19">
        <f>IF(AND(D118/Summary!$C$4&gt;= 5, D118/Summary!$C$4&lt;10),E118,0) * D118</f>
        <v>0</v>
      </c>
      <c r="K118" s="19">
        <f>IF(AND(D118/Summary!$C$4&gt;=10, D118/Summary!$C$4&lt;25),E118,0)*D118</f>
        <v>0</v>
      </c>
      <c r="L118" s="19">
        <f>IF(D118/Summary!$C$4&gt;=25,E118,0)*D118</f>
        <v>480</v>
      </c>
      <c r="M118" s="27">
        <f>IF(AND(D118/Summary!$C$4&gt;0, D118/Summary!$C$4&lt;1),E118,0)</f>
        <v>0</v>
      </c>
      <c r="N118" s="27">
        <f t="shared" si="53"/>
        <v>0</v>
      </c>
      <c r="O118" s="27">
        <f>IF(D118/Summary!$C$4=1,1,0)*E118</f>
        <v>0</v>
      </c>
      <c r="P118" s="27">
        <f t="shared" si="54"/>
        <v>0</v>
      </c>
      <c r="Q118" s="27">
        <f>IF(AND(D118/Summary!$C$4&gt;1, D118/Summary!$C$4&lt;=2),1,0)*E118</f>
        <v>0</v>
      </c>
      <c r="R118" s="27">
        <f t="shared" si="55"/>
        <v>0</v>
      </c>
      <c r="S118" s="27">
        <f>IF(AND(D118/Summary!$C$4&gt;2,D118/Summary!$C$4&lt;=5),1,0)*E118</f>
        <v>0</v>
      </c>
      <c r="T118" s="27">
        <f t="shared" si="56"/>
        <v>0</v>
      </c>
      <c r="U118" s="27">
        <f>IF(AND(D118/Summary!$C$4&gt;5, D118/Summary!$C$4&lt;=10),1,0)*E118</f>
        <v>0</v>
      </c>
      <c r="V118" s="27">
        <f t="shared" si="57"/>
        <v>0</v>
      </c>
      <c r="W118" s="27">
        <f>IF(AND(D118/Summary!$C$4&gt;10, D118/Summary!$C$4&lt;=20),1,0)*E118</f>
        <v>0</v>
      </c>
      <c r="X118" s="27">
        <f t="shared" si="58"/>
        <v>0</v>
      </c>
      <c r="Y118" s="27">
        <f>IF(AND(D118/Summary!$C$4&gt;20, D118/Summary!$C$4&lt;=30),1,0)*E118</f>
        <v>0</v>
      </c>
      <c r="Z118" s="27">
        <f t="shared" si="59"/>
        <v>0</v>
      </c>
      <c r="AA118" s="27">
        <f>IF(AND(D118/Summary!$C$4&gt;30, D118/Summary!$C$4&lt;=50),1,0)*E118</f>
        <v>0</v>
      </c>
      <c r="AB118" s="27">
        <f t="shared" si="60"/>
        <v>0</v>
      </c>
      <c r="AC118" s="27">
        <f>IF(AND(D118/Summary!$C$4&gt;50, D118/Summary!$C$4&lt;=100),1,0)*E118</f>
        <v>8</v>
      </c>
      <c r="AD118" s="27">
        <f t="shared" si="61"/>
        <v>480</v>
      </c>
      <c r="AE118" s="27">
        <f>IF(D118/Summary!$C$4&gt;100,1,0)*E118</f>
        <v>0</v>
      </c>
      <c r="AF118" s="27">
        <f t="shared" si="62"/>
        <v>0</v>
      </c>
      <c r="AG118" s="19">
        <f t="shared" si="63"/>
        <v>0</v>
      </c>
      <c r="AH118" s="19">
        <f t="shared" si="64"/>
        <v>0</v>
      </c>
      <c r="AI118" s="19">
        <f t="shared" si="65"/>
        <v>0</v>
      </c>
      <c r="AJ118" s="27">
        <f t="shared" si="66"/>
        <v>1</v>
      </c>
      <c r="AK118" s="27">
        <f t="shared" si="67"/>
        <v>8</v>
      </c>
      <c r="AL118" s="27">
        <f t="shared" si="68"/>
        <v>480</v>
      </c>
      <c r="AM118">
        <f t="shared" si="69"/>
        <v>0</v>
      </c>
      <c r="AN118">
        <f t="shared" si="70"/>
        <v>0</v>
      </c>
      <c r="AO118">
        <f t="shared" si="71"/>
        <v>0</v>
      </c>
      <c r="AP118">
        <f t="shared" si="72"/>
        <v>0</v>
      </c>
      <c r="AQ118">
        <f t="shared" si="73"/>
        <v>0</v>
      </c>
      <c r="AR118">
        <f t="shared" si="74"/>
        <v>0</v>
      </c>
      <c r="AS118">
        <f t="shared" si="75"/>
        <v>0</v>
      </c>
      <c r="AT118">
        <f t="shared" si="76"/>
        <v>0</v>
      </c>
      <c r="AU118">
        <f t="shared" si="77"/>
        <v>0</v>
      </c>
      <c r="AV118">
        <f t="shared" si="78"/>
        <v>0</v>
      </c>
      <c r="AW118">
        <f t="shared" si="79"/>
        <v>0</v>
      </c>
      <c r="AX118">
        <f t="shared" si="80"/>
        <v>0</v>
      </c>
      <c r="AY118">
        <f t="shared" si="81"/>
        <v>0</v>
      </c>
      <c r="AZ118">
        <f t="shared" si="82"/>
        <v>0</v>
      </c>
      <c r="BA118">
        <f t="shared" si="83"/>
        <v>0</v>
      </c>
      <c r="BB118">
        <f t="shared" si="84"/>
        <v>0</v>
      </c>
      <c r="BC118">
        <f t="shared" si="85"/>
        <v>0</v>
      </c>
      <c r="BD118">
        <f t="shared" si="86"/>
        <v>0</v>
      </c>
      <c r="BE118">
        <f t="shared" si="87"/>
        <v>0</v>
      </c>
      <c r="BF118">
        <f t="shared" si="88"/>
        <v>0</v>
      </c>
      <c r="BG118">
        <f t="shared" si="89"/>
        <v>0</v>
      </c>
      <c r="BH118">
        <f t="shared" si="90"/>
        <v>0</v>
      </c>
      <c r="BI118">
        <f t="shared" si="91"/>
        <v>0</v>
      </c>
      <c r="BJ118">
        <f t="shared" si="92"/>
        <v>0</v>
      </c>
      <c r="BK118">
        <f t="shared" si="93"/>
        <v>0</v>
      </c>
      <c r="BL118">
        <v>0</v>
      </c>
      <c r="BM118" t="str">
        <f t="shared" si="100"/>
        <v>Huge Win</v>
      </c>
      <c r="BN118" s="32" t="str">
        <f t="shared" si="101"/>
        <v>Combo Win</v>
      </c>
      <c r="BO118">
        <f>(D118/Summary!$C$4-Summary!$C$8)^2*E118</f>
        <v>28008.711200000002</v>
      </c>
      <c r="BP118">
        <f t="shared" si="94"/>
        <v>0</v>
      </c>
      <c r="BQ118">
        <f t="shared" si="95"/>
        <v>0</v>
      </c>
      <c r="BR118">
        <f t="shared" si="96"/>
        <v>0</v>
      </c>
      <c r="BS118">
        <f t="shared" si="97"/>
        <v>0</v>
      </c>
    </row>
    <row r="119" spans="2:71">
      <c r="B119" s="16">
        <f>Tiers!B120</f>
        <v>117</v>
      </c>
      <c r="C119" s="17" t="str">
        <f>Tiers!Y120</f>
        <v>main-10|main-30|||||||| x 20</v>
      </c>
      <c r="D119" s="18">
        <f>Tiers!C120</f>
        <v>60</v>
      </c>
      <c r="E119" s="19">
        <f>Frequency!E121</f>
        <v>8</v>
      </c>
      <c r="F119" s="19">
        <f t="shared" si="51"/>
        <v>480</v>
      </c>
      <c r="G119" s="19">
        <f>IF(Tiers!D120&gt;1,'Data Analysis'!E119,0)</f>
        <v>8</v>
      </c>
      <c r="H119" s="19">
        <f t="shared" si="52"/>
        <v>480</v>
      </c>
      <c r="I119" s="19">
        <f>IF(AND(D119/Summary!$C$4&gt;0, D119/Summary!$C$4&lt;5),E119,0) * D119</f>
        <v>0</v>
      </c>
      <c r="J119" s="19">
        <f>IF(AND(D119/Summary!$C$4&gt;= 5, D119/Summary!$C$4&lt;10),E119,0) * D119</f>
        <v>0</v>
      </c>
      <c r="K119" s="19">
        <f>IF(AND(D119/Summary!$C$4&gt;=10, D119/Summary!$C$4&lt;25),E119,0)*D119</f>
        <v>0</v>
      </c>
      <c r="L119" s="19">
        <f>IF(D119/Summary!$C$4&gt;=25,E119,0)*D119</f>
        <v>480</v>
      </c>
      <c r="M119" s="27">
        <f>IF(AND(D119/Summary!$C$4&gt;0, D119/Summary!$C$4&lt;1),E119,0)</f>
        <v>0</v>
      </c>
      <c r="N119" s="27">
        <f t="shared" si="53"/>
        <v>0</v>
      </c>
      <c r="O119" s="27">
        <f>IF(D119/Summary!$C$4=1,1,0)*E119</f>
        <v>0</v>
      </c>
      <c r="P119" s="27">
        <f t="shared" si="54"/>
        <v>0</v>
      </c>
      <c r="Q119" s="27">
        <f>IF(AND(D119/Summary!$C$4&gt;1, D119/Summary!$C$4&lt;=2),1,0)*E119</f>
        <v>0</v>
      </c>
      <c r="R119" s="27">
        <f t="shared" si="55"/>
        <v>0</v>
      </c>
      <c r="S119" s="27">
        <f>IF(AND(D119/Summary!$C$4&gt;2,D119/Summary!$C$4&lt;=5),1,0)*E119</f>
        <v>0</v>
      </c>
      <c r="T119" s="27">
        <f t="shared" si="56"/>
        <v>0</v>
      </c>
      <c r="U119" s="27">
        <f>IF(AND(D119/Summary!$C$4&gt;5, D119/Summary!$C$4&lt;=10),1,0)*E119</f>
        <v>0</v>
      </c>
      <c r="V119" s="27">
        <f t="shared" si="57"/>
        <v>0</v>
      </c>
      <c r="W119" s="27">
        <f>IF(AND(D119/Summary!$C$4&gt;10, D119/Summary!$C$4&lt;=20),1,0)*E119</f>
        <v>0</v>
      </c>
      <c r="X119" s="27">
        <f t="shared" si="58"/>
        <v>0</v>
      </c>
      <c r="Y119" s="27">
        <f>IF(AND(D119/Summary!$C$4&gt;20, D119/Summary!$C$4&lt;=30),1,0)*E119</f>
        <v>0</v>
      </c>
      <c r="Z119" s="27">
        <f t="shared" si="59"/>
        <v>0</v>
      </c>
      <c r="AA119" s="27">
        <f>IF(AND(D119/Summary!$C$4&gt;30, D119/Summary!$C$4&lt;=50),1,0)*E119</f>
        <v>0</v>
      </c>
      <c r="AB119" s="27">
        <f t="shared" si="60"/>
        <v>0</v>
      </c>
      <c r="AC119" s="27">
        <f>IF(AND(D119/Summary!$C$4&gt;50, D119/Summary!$C$4&lt;=100),1,0)*E119</f>
        <v>8</v>
      </c>
      <c r="AD119" s="27">
        <f t="shared" si="61"/>
        <v>480</v>
      </c>
      <c r="AE119" s="27">
        <f>IF(D119/Summary!$C$4&gt;100,1,0)*E119</f>
        <v>0</v>
      </c>
      <c r="AF119" s="27">
        <f t="shared" si="62"/>
        <v>0</v>
      </c>
      <c r="AG119" s="19">
        <f t="shared" si="63"/>
        <v>0</v>
      </c>
      <c r="AH119" s="19">
        <f t="shared" si="64"/>
        <v>0</v>
      </c>
      <c r="AI119" s="19">
        <f t="shared" si="65"/>
        <v>0</v>
      </c>
      <c r="AJ119" s="27">
        <f t="shared" si="66"/>
        <v>1</v>
      </c>
      <c r="AK119" s="27">
        <f t="shared" si="67"/>
        <v>8</v>
      </c>
      <c r="AL119" s="27">
        <f t="shared" si="68"/>
        <v>480</v>
      </c>
      <c r="AM119">
        <f t="shared" si="69"/>
        <v>0</v>
      </c>
      <c r="AN119">
        <f t="shared" si="70"/>
        <v>0</v>
      </c>
      <c r="AO119">
        <f t="shared" si="71"/>
        <v>0</v>
      </c>
      <c r="AP119">
        <f t="shared" si="72"/>
        <v>0</v>
      </c>
      <c r="AQ119">
        <f t="shared" si="73"/>
        <v>0</v>
      </c>
      <c r="AR119">
        <f t="shared" si="74"/>
        <v>0</v>
      </c>
      <c r="AS119">
        <f t="shared" si="75"/>
        <v>0</v>
      </c>
      <c r="AT119">
        <f t="shared" si="76"/>
        <v>0</v>
      </c>
      <c r="AU119">
        <f t="shared" si="77"/>
        <v>0</v>
      </c>
      <c r="AV119">
        <f t="shared" si="78"/>
        <v>0</v>
      </c>
      <c r="AW119">
        <f t="shared" si="79"/>
        <v>0</v>
      </c>
      <c r="AX119">
        <f t="shared" si="80"/>
        <v>0</v>
      </c>
      <c r="AY119">
        <f t="shared" si="81"/>
        <v>0</v>
      </c>
      <c r="AZ119">
        <f t="shared" si="82"/>
        <v>0</v>
      </c>
      <c r="BA119">
        <f t="shared" si="83"/>
        <v>0</v>
      </c>
      <c r="BB119">
        <f t="shared" si="84"/>
        <v>0</v>
      </c>
      <c r="BC119">
        <f t="shared" si="85"/>
        <v>0</v>
      </c>
      <c r="BD119">
        <f t="shared" si="86"/>
        <v>0</v>
      </c>
      <c r="BE119">
        <f t="shared" si="87"/>
        <v>0</v>
      </c>
      <c r="BF119">
        <f t="shared" si="88"/>
        <v>0</v>
      </c>
      <c r="BG119">
        <f t="shared" si="89"/>
        <v>0</v>
      </c>
      <c r="BH119">
        <f t="shared" si="90"/>
        <v>0</v>
      </c>
      <c r="BI119">
        <f t="shared" si="91"/>
        <v>0</v>
      </c>
      <c r="BJ119">
        <f t="shared" si="92"/>
        <v>0</v>
      </c>
      <c r="BK119">
        <f t="shared" si="93"/>
        <v>0</v>
      </c>
      <c r="BL119">
        <v>0</v>
      </c>
      <c r="BM119" t="str">
        <f t="shared" si="100"/>
        <v>Huge Win</v>
      </c>
      <c r="BN119" s="32" t="str">
        <f t="shared" si="101"/>
        <v>Combo Win</v>
      </c>
      <c r="BO119">
        <f>(D119/Summary!$C$4-Summary!$C$8)^2*E119</f>
        <v>28008.711200000002</v>
      </c>
      <c r="BP119">
        <f t="shared" si="94"/>
        <v>0</v>
      </c>
      <c r="BQ119">
        <f t="shared" si="95"/>
        <v>0</v>
      </c>
      <c r="BR119">
        <f t="shared" si="96"/>
        <v>0</v>
      </c>
      <c r="BS119">
        <f t="shared" si="97"/>
        <v>0</v>
      </c>
    </row>
    <row r="120" spans="2:71">
      <c r="B120" s="16">
        <f>Tiers!B121</f>
        <v>118</v>
      </c>
      <c r="C120" s="17" t="str">
        <f>Tiers!Y121</f>
        <v>main-0|main-0|main-2||||||| x 20</v>
      </c>
      <c r="D120" s="18">
        <f>Tiers!C121</f>
        <v>14</v>
      </c>
      <c r="E120" s="19">
        <f>Frequency!E122</f>
        <v>900</v>
      </c>
      <c r="F120" s="19">
        <f t="shared" si="51"/>
        <v>12600</v>
      </c>
      <c r="G120" s="19">
        <f>IF(Tiers!D121&gt;1,'Data Analysis'!E120,0)</f>
        <v>900</v>
      </c>
      <c r="H120" s="19">
        <f t="shared" si="52"/>
        <v>12600</v>
      </c>
      <c r="I120" s="19">
        <f>IF(AND(D120/Summary!$C$4&gt;0, D120/Summary!$C$4&lt;5),E120,0) * D120</f>
        <v>0</v>
      </c>
      <c r="J120" s="19">
        <f>IF(AND(D120/Summary!$C$4&gt;= 5, D120/Summary!$C$4&lt;10),E120,0) * D120</f>
        <v>0</v>
      </c>
      <c r="K120" s="19">
        <f>IF(AND(D120/Summary!$C$4&gt;=10, D120/Summary!$C$4&lt;25),E120,0)*D120</f>
        <v>12600</v>
      </c>
      <c r="L120" s="19">
        <f>IF(D120/Summary!$C$4&gt;=25,E120,0)*D120</f>
        <v>0</v>
      </c>
      <c r="M120" s="27">
        <f>IF(AND(D120/Summary!$C$4&gt;0, D120/Summary!$C$4&lt;1),E120,0)</f>
        <v>0</v>
      </c>
      <c r="N120" s="27">
        <f t="shared" si="53"/>
        <v>0</v>
      </c>
      <c r="O120" s="27">
        <f>IF(D120/Summary!$C$4=1,1,0)*E120</f>
        <v>0</v>
      </c>
      <c r="P120" s="27">
        <f t="shared" si="54"/>
        <v>0</v>
      </c>
      <c r="Q120" s="27">
        <f>IF(AND(D120/Summary!$C$4&gt;1, D120/Summary!$C$4&lt;=2),1,0)*E120</f>
        <v>0</v>
      </c>
      <c r="R120" s="27">
        <f t="shared" si="55"/>
        <v>0</v>
      </c>
      <c r="S120" s="27">
        <f>IF(AND(D120/Summary!$C$4&gt;2,D120/Summary!$C$4&lt;=5),1,0)*E120</f>
        <v>0</v>
      </c>
      <c r="T120" s="27">
        <f t="shared" si="56"/>
        <v>0</v>
      </c>
      <c r="U120" s="27">
        <f>IF(AND(D120/Summary!$C$4&gt;5, D120/Summary!$C$4&lt;=10),1,0)*E120</f>
        <v>0</v>
      </c>
      <c r="V120" s="27">
        <f t="shared" si="57"/>
        <v>0</v>
      </c>
      <c r="W120" s="27">
        <f>IF(AND(D120/Summary!$C$4&gt;10, D120/Summary!$C$4&lt;=20),1,0)*E120</f>
        <v>900</v>
      </c>
      <c r="X120" s="27">
        <f t="shared" si="58"/>
        <v>12600</v>
      </c>
      <c r="Y120" s="27">
        <f>IF(AND(D120/Summary!$C$4&gt;20, D120/Summary!$C$4&lt;=30),1,0)*E120</f>
        <v>0</v>
      </c>
      <c r="Z120" s="27">
        <f t="shared" si="59"/>
        <v>0</v>
      </c>
      <c r="AA120" s="27">
        <f>IF(AND(D120/Summary!$C$4&gt;30, D120/Summary!$C$4&lt;=50),1,0)*E120</f>
        <v>0</v>
      </c>
      <c r="AB120" s="27">
        <f t="shared" si="60"/>
        <v>0</v>
      </c>
      <c r="AC120" s="27">
        <f>IF(AND(D120/Summary!$C$4&gt;50, D120/Summary!$C$4&lt;=100),1,0)*E120</f>
        <v>0</v>
      </c>
      <c r="AD120" s="27">
        <f t="shared" si="61"/>
        <v>0</v>
      </c>
      <c r="AE120" s="27">
        <f>IF(D120/Summary!$C$4&gt;100,1,0)*E120</f>
        <v>0</v>
      </c>
      <c r="AF120" s="27">
        <f t="shared" si="62"/>
        <v>0</v>
      </c>
      <c r="AG120" s="19">
        <f t="shared" si="63"/>
        <v>0</v>
      </c>
      <c r="AH120" s="19">
        <f t="shared" si="64"/>
        <v>0</v>
      </c>
      <c r="AI120" s="19">
        <f t="shared" si="65"/>
        <v>0</v>
      </c>
      <c r="AJ120" s="27">
        <f t="shared" si="66"/>
        <v>1</v>
      </c>
      <c r="AK120" s="27">
        <f t="shared" si="67"/>
        <v>900</v>
      </c>
      <c r="AL120" s="27">
        <f t="shared" si="68"/>
        <v>12600</v>
      </c>
      <c r="AM120">
        <f t="shared" si="69"/>
        <v>0</v>
      </c>
      <c r="AN120">
        <f t="shared" si="70"/>
        <v>0</v>
      </c>
      <c r="AO120">
        <f t="shared" si="71"/>
        <v>0</v>
      </c>
      <c r="AP120">
        <f t="shared" si="72"/>
        <v>0</v>
      </c>
      <c r="AQ120">
        <f t="shared" si="73"/>
        <v>0</v>
      </c>
      <c r="AR120">
        <f t="shared" si="74"/>
        <v>0</v>
      </c>
      <c r="AS120">
        <f t="shared" si="75"/>
        <v>0</v>
      </c>
      <c r="AT120">
        <f t="shared" si="76"/>
        <v>0</v>
      </c>
      <c r="AU120">
        <f t="shared" si="77"/>
        <v>0</v>
      </c>
      <c r="AV120">
        <f t="shared" si="78"/>
        <v>0</v>
      </c>
      <c r="AW120">
        <f t="shared" si="79"/>
        <v>0</v>
      </c>
      <c r="AX120">
        <f t="shared" si="80"/>
        <v>0</v>
      </c>
      <c r="AY120">
        <f t="shared" si="81"/>
        <v>0</v>
      </c>
      <c r="AZ120">
        <f t="shared" si="82"/>
        <v>0</v>
      </c>
      <c r="BA120">
        <f t="shared" si="83"/>
        <v>0</v>
      </c>
      <c r="BB120">
        <f t="shared" si="84"/>
        <v>0</v>
      </c>
      <c r="BC120">
        <f t="shared" si="85"/>
        <v>0</v>
      </c>
      <c r="BD120">
        <f t="shared" si="86"/>
        <v>0</v>
      </c>
      <c r="BE120">
        <f t="shared" si="87"/>
        <v>0</v>
      </c>
      <c r="BF120">
        <f t="shared" si="88"/>
        <v>0</v>
      </c>
      <c r="BG120">
        <f t="shared" si="89"/>
        <v>0</v>
      </c>
      <c r="BH120">
        <f t="shared" si="90"/>
        <v>0</v>
      </c>
      <c r="BI120">
        <f t="shared" si="91"/>
        <v>0</v>
      </c>
      <c r="BJ120">
        <f t="shared" si="92"/>
        <v>0</v>
      </c>
      <c r="BK120">
        <f t="shared" si="93"/>
        <v>0</v>
      </c>
      <c r="BL120">
        <v>0</v>
      </c>
      <c r="BM120" t="str">
        <f t="shared" si="100"/>
        <v>Big Win</v>
      </c>
      <c r="BN120" s="32" t="str">
        <f t="shared" si="101"/>
        <v>Combo Win</v>
      </c>
      <c r="BO120">
        <f>(D120/Summary!$C$4-Summary!$C$8)^2*E120</f>
        <v>156104.01</v>
      </c>
      <c r="BP120">
        <f t="shared" si="94"/>
        <v>0</v>
      </c>
      <c r="BQ120">
        <f t="shared" si="95"/>
        <v>0</v>
      </c>
      <c r="BR120">
        <f t="shared" si="96"/>
        <v>0</v>
      </c>
      <c r="BS120">
        <f t="shared" si="97"/>
        <v>0</v>
      </c>
    </row>
    <row r="121" spans="2:71">
      <c r="B121" s="16">
        <f>Tiers!B122</f>
        <v>119</v>
      </c>
      <c r="C121" s="17" t="str">
        <f>Tiers!Y122</f>
        <v>main-1|main-1|main-2||||||| x 20</v>
      </c>
      <c r="D121" s="18">
        <f>Tiers!C122</f>
        <v>18</v>
      </c>
      <c r="E121" s="19">
        <f>Frequency!E123</f>
        <v>900</v>
      </c>
      <c r="F121" s="19">
        <f t="shared" si="51"/>
        <v>16200</v>
      </c>
      <c r="G121" s="19">
        <f>IF(Tiers!D122&gt;1,'Data Analysis'!E121,0)</f>
        <v>900</v>
      </c>
      <c r="H121" s="19">
        <f t="shared" si="52"/>
        <v>16200</v>
      </c>
      <c r="I121" s="19">
        <f>IF(AND(D121/Summary!$C$4&gt;0, D121/Summary!$C$4&lt;5),E121,0) * D121</f>
        <v>0</v>
      </c>
      <c r="J121" s="19">
        <f>IF(AND(D121/Summary!$C$4&gt;= 5, D121/Summary!$C$4&lt;10),E121,0) * D121</f>
        <v>0</v>
      </c>
      <c r="K121" s="19">
        <f>IF(AND(D121/Summary!$C$4&gt;=10, D121/Summary!$C$4&lt;25),E121,0)*D121</f>
        <v>16200</v>
      </c>
      <c r="L121" s="19">
        <f>IF(D121/Summary!$C$4&gt;=25,E121,0)*D121</f>
        <v>0</v>
      </c>
      <c r="M121" s="27">
        <f>IF(AND(D121/Summary!$C$4&gt;0, D121/Summary!$C$4&lt;1),E121,0)</f>
        <v>0</v>
      </c>
      <c r="N121" s="27">
        <f t="shared" si="53"/>
        <v>0</v>
      </c>
      <c r="O121" s="27">
        <f>IF(D121/Summary!$C$4=1,1,0)*E121</f>
        <v>0</v>
      </c>
      <c r="P121" s="27">
        <f t="shared" si="54"/>
        <v>0</v>
      </c>
      <c r="Q121" s="27">
        <f>IF(AND(D121/Summary!$C$4&gt;1, D121/Summary!$C$4&lt;=2),1,0)*E121</f>
        <v>0</v>
      </c>
      <c r="R121" s="27">
        <f t="shared" si="55"/>
        <v>0</v>
      </c>
      <c r="S121" s="27">
        <f>IF(AND(D121/Summary!$C$4&gt;2,D121/Summary!$C$4&lt;=5),1,0)*E121</f>
        <v>0</v>
      </c>
      <c r="T121" s="27">
        <f t="shared" si="56"/>
        <v>0</v>
      </c>
      <c r="U121" s="27">
        <f>IF(AND(D121/Summary!$C$4&gt;5, D121/Summary!$C$4&lt;=10),1,0)*E121</f>
        <v>0</v>
      </c>
      <c r="V121" s="27">
        <f t="shared" si="57"/>
        <v>0</v>
      </c>
      <c r="W121" s="27">
        <f>IF(AND(D121/Summary!$C$4&gt;10, D121/Summary!$C$4&lt;=20),1,0)*E121</f>
        <v>900</v>
      </c>
      <c r="X121" s="27">
        <f t="shared" si="58"/>
        <v>16200</v>
      </c>
      <c r="Y121" s="27">
        <f>IF(AND(D121/Summary!$C$4&gt;20, D121/Summary!$C$4&lt;=30),1,0)*E121</f>
        <v>0</v>
      </c>
      <c r="Z121" s="27">
        <f t="shared" si="59"/>
        <v>0</v>
      </c>
      <c r="AA121" s="27">
        <f>IF(AND(D121/Summary!$C$4&gt;30, D121/Summary!$C$4&lt;=50),1,0)*E121</f>
        <v>0</v>
      </c>
      <c r="AB121" s="27">
        <f t="shared" si="60"/>
        <v>0</v>
      </c>
      <c r="AC121" s="27">
        <f>IF(AND(D121/Summary!$C$4&gt;50, D121/Summary!$C$4&lt;=100),1,0)*E121</f>
        <v>0</v>
      </c>
      <c r="AD121" s="27">
        <f t="shared" si="61"/>
        <v>0</v>
      </c>
      <c r="AE121" s="27">
        <f>IF(D121/Summary!$C$4&gt;100,1,0)*E121</f>
        <v>0</v>
      </c>
      <c r="AF121" s="27">
        <f t="shared" si="62"/>
        <v>0</v>
      </c>
      <c r="AG121" s="19">
        <f t="shared" si="63"/>
        <v>0</v>
      </c>
      <c r="AH121" s="19">
        <f t="shared" si="64"/>
        <v>0</v>
      </c>
      <c r="AI121" s="19">
        <f t="shared" si="65"/>
        <v>0</v>
      </c>
      <c r="AJ121" s="27">
        <f t="shared" si="66"/>
        <v>1</v>
      </c>
      <c r="AK121" s="27">
        <f t="shared" si="67"/>
        <v>900</v>
      </c>
      <c r="AL121" s="27">
        <f t="shared" si="68"/>
        <v>16200</v>
      </c>
      <c r="AM121">
        <f t="shared" si="69"/>
        <v>0</v>
      </c>
      <c r="AN121">
        <f t="shared" si="70"/>
        <v>0</v>
      </c>
      <c r="AO121">
        <f t="shared" si="71"/>
        <v>0</v>
      </c>
      <c r="AP121">
        <f t="shared" si="72"/>
        <v>0</v>
      </c>
      <c r="AQ121">
        <f t="shared" si="73"/>
        <v>0</v>
      </c>
      <c r="AR121">
        <f t="shared" si="74"/>
        <v>0</v>
      </c>
      <c r="AS121">
        <f t="shared" si="75"/>
        <v>0</v>
      </c>
      <c r="AT121">
        <f t="shared" si="76"/>
        <v>0</v>
      </c>
      <c r="AU121">
        <f t="shared" si="77"/>
        <v>0</v>
      </c>
      <c r="AV121">
        <f t="shared" si="78"/>
        <v>0</v>
      </c>
      <c r="AW121">
        <f t="shared" si="79"/>
        <v>0</v>
      </c>
      <c r="AX121">
        <f t="shared" si="80"/>
        <v>0</v>
      </c>
      <c r="AY121">
        <f t="shared" si="81"/>
        <v>0</v>
      </c>
      <c r="AZ121">
        <f t="shared" si="82"/>
        <v>0</v>
      </c>
      <c r="BA121">
        <f t="shared" si="83"/>
        <v>0</v>
      </c>
      <c r="BB121">
        <f t="shared" si="84"/>
        <v>0</v>
      </c>
      <c r="BC121">
        <f t="shared" si="85"/>
        <v>0</v>
      </c>
      <c r="BD121">
        <f t="shared" si="86"/>
        <v>0</v>
      </c>
      <c r="BE121">
        <f t="shared" si="87"/>
        <v>0</v>
      </c>
      <c r="BF121">
        <f t="shared" si="88"/>
        <v>0</v>
      </c>
      <c r="BG121">
        <f t="shared" si="89"/>
        <v>0</v>
      </c>
      <c r="BH121">
        <f t="shared" si="90"/>
        <v>0</v>
      </c>
      <c r="BI121">
        <f t="shared" si="91"/>
        <v>0</v>
      </c>
      <c r="BJ121">
        <f t="shared" si="92"/>
        <v>0</v>
      </c>
      <c r="BK121">
        <f t="shared" si="93"/>
        <v>0</v>
      </c>
      <c r="BL121">
        <v>0</v>
      </c>
      <c r="BM121" t="str">
        <f t="shared" si="100"/>
        <v>Big Win</v>
      </c>
      <c r="BN121" s="32" t="str">
        <f t="shared" si="101"/>
        <v>Combo Win</v>
      </c>
      <c r="BO121">
        <f>(D121/Summary!$C$4-Summary!$C$8)^2*E121</f>
        <v>265328.01000000007</v>
      </c>
      <c r="BP121">
        <f t="shared" si="94"/>
        <v>0</v>
      </c>
      <c r="BQ121">
        <f t="shared" si="95"/>
        <v>0</v>
      </c>
      <c r="BR121">
        <f t="shared" si="96"/>
        <v>0</v>
      </c>
      <c r="BS121">
        <f t="shared" si="97"/>
        <v>0</v>
      </c>
    </row>
    <row r="122" spans="2:71">
      <c r="B122" s="16">
        <f>Tiers!B123</f>
        <v>120</v>
      </c>
      <c r="C122" s="17" t="str">
        <f>Tiers!Y123</f>
        <v>main-2|main-3|main-10||||||| x 20</v>
      </c>
      <c r="D122" s="18">
        <f>Tiers!C123</f>
        <v>50</v>
      </c>
      <c r="E122" s="19">
        <f>Frequency!E124</f>
        <v>5</v>
      </c>
      <c r="F122" s="19">
        <f t="shared" si="51"/>
        <v>250</v>
      </c>
      <c r="G122" s="19">
        <f>IF(Tiers!D123&gt;1,'Data Analysis'!E122,0)</f>
        <v>5</v>
      </c>
      <c r="H122" s="19">
        <f t="shared" si="52"/>
        <v>250</v>
      </c>
      <c r="I122" s="19">
        <f>IF(AND(D122/Summary!$C$4&gt;0, D122/Summary!$C$4&lt;5),E122,0) * D122</f>
        <v>0</v>
      </c>
      <c r="J122" s="19">
        <f>IF(AND(D122/Summary!$C$4&gt;= 5, D122/Summary!$C$4&lt;10),E122,0) * D122</f>
        <v>0</v>
      </c>
      <c r="K122" s="19">
        <f>IF(AND(D122/Summary!$C$4&gt;=10, D122/Summary!$C$4&lt;25),E122,0)*D122</f>
        <v>0</v>
      </c>
      <c r="L122" s="19">
        <f>IF(D122/Summary!$C$4&gt;=25,E122,0)*D122</f>
        <v>250</v>
      </c>
      <c r="M122" s="27">
        <f>IF(AND(D122/Summary!$C$4&gt;0, D122/Summary!$C$4&lt;1),E122,0)</f>
        <v>0</v>
      </c>
      <c r="N122" s="27">
        <f t="shared" si="53"/>
        <v>0</v>
      </c>
      <c r="O122" s="27">
        <f>IF(D122/Summary!$C$4=1,1,0)*E122</f>
        <v>0</v>
      </c>
      <c r="P122" s="27">
        <f t="shared" si="54"/>
        <v>0</v>
      </c>
      <c r="Q122" s="27">
        <f>IF(AND(D122/Summary!$C$4&gt;1, D122/Summary!$C$4&lt;=2),1,0)*E122</f>
        <v>0</v>
      </c>
      <c r="R122" s="27">
        <f t="shared" si="55"/>
        <v>0</v>
      </c>
      <c r="S122" s="27">
        <f>IF(AND(D122/Summary!$C$4&gt;2,D122/Summary!$C$4&lt;=5),1,0)*E122</f>
        <v>0</v>
      </c>
      <c r="T122" s="27">
        <f t="shared" si="56"/>
        <v>0</v>
      </c>
      <c r="U122" s="27">
        <f>IF(AND(D122/Summary!$C$4&gt;5, D122/Summary!$C$4&lt;=10),1,0)*E122</f>
        <v>0</v>
      </c>
      <c r="V122" s="27">
        <f t="shared" si="57"/>
        <v>0</v>
      </c>
      <c r="W122" s="27">
        <f>IF(AND(D122/Summary!$C$4&gt;10, D122/Summary!$C$4&lt;=20),1,0)*E122</f>
        <v>0</v>
      </c>
      <c r="X122" s="27">
        <f t="shared" si="58"/>
        <v>0</v>
      </c>
      <c r="Y122" s="27">
        <f>IF(AND(D122/Summary!$C$4&gt;20, D122/Summary!$C$4&lt;=30),1,0)*E122</f>
        <v>0</v>
      </c>
      <c r="Z122" s="27">
        <f t="shared" si="59"/>
        <v>0</v>
      </c>
      <c r="AA122" s="27">
        <f>IF(AND(D122/Summary!$C$4&gt;30, D122/Summary!$C$4&lt;=50),1,0)*E122</f>
        <v>5</v>
      </c>
      <c r="AB122" s="27">
        <f t="shared" si="60"/>
        <v>250</v>
      </c>
      <c r="AC122" s="27">
        <f>IF(AND(D122/Summary!$C$4&gt;50, D122/Summary!$C$4&lt;=100),1,0)*E122</f>
        <v>0</v>
      </c>
      <c r="AD122" s="27">
        <f t="shared" si="61"/>
        <v>0</v>
      </c>
      <c r="AE122" s="27">
        <f>IF(D122/Summary!$C$4&gt;100,1,0)*E122</f>
        <v>0</v>
      </c>
      <c r="AF122" s="27">
        <f t="shared" si="62"/>
        <v>0</v>
      </c>
      <c r="AG122" s="19">
        <f t="shared" si="63"/>
        <v>0</v>
      </c>
      <c r="AH122" s="19">
        <f t="shared" si="64"/>
        <v>0</v>
      </c>
      <c r="AI122" s="19">
        <f t="shared" si="65"/>
        <v>0</v>
      </c>
      <c r="AJ122" s="27">
        <f t="shared" si="66"/>
        <v>1</v>
      </c>
      <c r="AK122" s="27">
        <f t="shared" si="67"/>
        <v>5</v>
      </c>
      <c r="AL122" s="27">
        <f t="shared" si="68"/>
        <v>250</v>
      </c>
      <c r="AM122">
        <f t="shared" si="69"/>
        <v>0</v>
      </c>
      <c r="AN122">
        <f t="shared" si="70"/>
        <v>0</v>
      </c>
      <c r="AO122">
        <f t="shared" si="71"/>
        <v>0</v>
      </c>
      <c r="AP122">
        <f t="shared" si="72"/>
        <v>0</v>
      </c>
      <c r="AQ122">
        <f t="shared" si="73"/>
        <v>0</v>
      </c>
      <c r="AR122">
        <f t="shared" si="74"/>
        <v>0</v>
      </c>
      <c r="AS122">
        <f t="shared" si="75"/>
        <v>0</v>
      </c>
      <c r="AT122">
        <f t="shared" si="76"/>
        <v>0</v>
      </c>
      <c r="AU122">
        <f t="shared" si="77"/>
        <v>0</v>
      </c>
      <c r="AV122">
        <f t="shared" si="78"/>
        <v>0</v>
      </c>
      <c r="AW122">
        <f t="shared" si="79"/>
        <v>0</v>
      </c>
      <c r="AX122">
        <f t="shared" si="80"/>
        <v>0</v>
      </c>
      <c r="AY122">
        <f t="shared" si="81"/>
        <v>0</v>
      </c>
      <c r="AZ122">
        <f t="shared" si="82"/>
        <v>0</v>
      </c>
      <c r="BA122">
        <f t="shared" si="83"/>
        <v>0</v>
      </c>
      <c r="BB122">
        <f t="shared" si="84"/>
        <v>0</v>
      </c>
      <c r="BC122">
        <f t="shared" si="85"/>
        <v>0</v>
      </c>
      <c r="BD122">
        <f t="shared" si="86"/>
        <v>0</v>
      </c>
      <c r="BE122">
        <f t="shared" si="87"/>
        <v>0</v>
      </c>
      <c r="BF122">
        <f t="shared" si="88"/>
        <v>0</v>
      </c>
      <c r="BG122">
        <f t="shared" si="89"/>
        <v>0</v>
      </c>
      <c r="BH122">
        <f t="shared" si="90"/>
        <v>0</v>
      </c>
      <c r="BI122">
        <f t="shared" si="91"/>
        <v>0</v>
      </c>
      <c r="BJ122">
        <f t="shared" si="92"/>
        <v>0</v>
      </c>
      <c r="BK122">
        <f t="shared" si="93"/>
        <v>0</v>
      </c>
      <c r="BL122">
        <v>0</v>
      </c>
      <c r="BM122" t="str">
        <f t="shared" si="100"/>
        <v>Huge Win</v>
      </c>
      <c r="BN122" s="32" t="str">
        <f t="shared" si="101"/>
        <v>Combo Win</v>
      </c>
      <c r="BO122">
        <f>(D122/Summary!$C$4-Summary!$C$8)^2*E122</f>
        <v>12088.444500000001</v>
      </c>
      <c r="BP122">
        <f t="shared" si="94"/>
        <v>0</v>
      </c>
      <c r="BQ122">
        <f t="shared" si="95"/>
        <v>0</v>
      </c>
      <c r="BR122">
        <f t="shared" si="96"/>
        <v>0</v>
      </c>
      <c r="BS122">
        <f t="shared" si="97"/>
        <v>0</v>
      </c>
    </row>
    <row r="123" spans="2:71">
      <c r="B123" s="16">
        <f>Tiers!B124</f>
        <v>121</v>
      </c>
      <c r="C123" s="17" t="str">
        <f>Tiers!Y124</f>
        <v>main-0|main-0|main-12||||||| x 20</v>
      </c>
      <c r="D123" s="18">
        <f>Tiers!C124</f>
        <v>44</v>
      </c>
      <c r="E123" s="19">
        <f>Frequency!E125</f>
        <v>110</v>
      </c>
      <c r="F123" s="19">
        <f t="shared" si="51"/>
        <v>4840</v>
      </c>
      <c r="G123" s="19">
        <f>IF(Tiers!D124&gt;1,'Data Analysis'!E123,0)</f>
        <v>110</v>
      </c>
      <c r="H123" s="19">
        <f t="shared" si="52"/>
        <v>4840</v>
      </c>
      <c r="I123" s="19">
        <f>IF(AND(D123/Summary!$C$4&gt;0, D123/Summary!$C$4&lt;5),E123,0) * D123</f>
        <v>0</v>
      </c>
      <c r="J123" s="19">
        <f>IF(AND(D123/Summary!$C$4&gt;= 5, D123/Summary!$C$4&lt;10),E123,0) * D123</f>
        <v>0</v>
      </c>
      <c r="K123" s="19">
        <f>IF(AND(D123/Summary!$C$4&gt;=10, D123/Summary!$C$4&lt;25),E123,0)*D123</f>
        <v>0</v>
      </c>
      <c r="L123" s="19">
        <f>IF(D123/Summary!$C$4&gt;=25,E123,0)*D123</f>
        <v>4840</v>
      </c>
      <c r="M123" s="27">
        <f>IF(AND(D123/Summary!$C$4&gt;0, D123/Summary!$C$4&lt;1),E123,0)</f>
        <v>0</v>
      </c>
      <c r="N123" s="27">
        <f t="shared" si="53"/>
        <v>0</v>
      </c>
      <c r="O123" s="27">
        <f>IF(D123/Summary!$C$4=1,1,0)*E123</f>
        <v>0</v>
      </c>
      <c r="P123" s="27">
        <f t="shared" si="54"/>
        <v>0</v>
      </c>
      <c r="Q123" s="27">
        <f>IF(AND(D123/Summary!$C$4&gt;1, D123/Summary!$C$4&lt;=2),1,0)*E123</f>
        <v>0</v>
      </c>
      <c r="R123" s="27">
        <f t="shared" si="55"/>
        <v>0</v>
      </c>
      <c r="S123" s="27">
        <f>IF(AND(D123/Summary!$C$4&gt;2,D123/Summary!$C$4&lt;=5),1,0)*E123</f>
        <v>0</v>
      </c>
      <c r="T123" s="27">
        <f t="shared" si="56"/>
        <v>0</v>
      </c>
      <c r="U123" s="27">
        <f>IF(AND(D123/Summary!$C$4&gt;5, D123/Summary!$C$4&lt;=10),1,0)*E123</f>
        <v>0</v>
      </c>
      <c r="V123" s="27">
        <f t="shared" si="57"/>
        <v>0</v>
      </c>
      <c r="W123" s="27">
        <f>IF(AND(D123/Summary!$C$4&gt;10, D123/Summary!$C$4&lt;=20),1,0)*E123</f>
        <v>0</v>
      </c>
      <c r="X123" s="27">
        <f t="shared" si="58"/>
        <v>0</v>
      </c>
      <c r="Y123" s="27">
        <f>IF(AND(D123/Summary!$C$4&gt;20, D123/Summary!$C$4&lt;=30),1,0)*E123</f>
        <v>0</v>
      </c>
      <c r="Z123" s="27">
        <f t="shared" si="59"/>
        <v>0</v>
      </c>
      <c r="AA123" s="27">
        <f>IF(AND(D123/Summary!$C$4&gt;30, D123/Summary!$C$4&lt;=50),1,0)*E123</f>
        <v>110</v>
      </c>
      <c r="AB123" s="27">
        <f t="shared" si="60"/>
        <v>4840</v>
      </c>
      <c r="AC123" s="27">
        <f>IF(AND(D123/Summary!$C$4&gt;50, D123/Summary!$C$4&lt;=100),1,0)*E123</f>
        <v>0</v>
      </c>
      <c r="AD123" s="27">
        <f t="shared" si="61"/>
        <v>0</v>
      </c>
      <c r="AE123" s="27">
        <f>IF(D123/Summary!$C$4&gt;100,1,0)*E123</f>
        <v>0</v>
      </c>
      <c r="AF123" s="27">
        <f t="shared" si="62"/>
        <v>0</v>
      </c>
      <c r="AG123" s="19">
        <f t="shared" si="63"/>
        <v>0</v>
      </c>
      <c r="AH123" s="19">
        <f t="shared" si="64"/>
        <v>0</v>
      </c>
      <c r="AI123" s="19">
        <f t="shared" si="65"/>
        <v>0</v>
      </c>
      <c r="AJ123" s="27">
        <f t="shared" si="66"/>
        <v>1</v>
      </c>
      <c r="AK123" s="27">
        <f t="shared" si="67"/>
        <v>110</v>
      </c>
      <c r="AL123" s="27">
        <f t="shared" si="68"/>
        <v>4840</v>
      </c>
      <c r="AM123">
        <f t="shared" si="69"/>
        <v>0</v>
      </c>
      <c r="AN123">
        <f t="shared" si="70"/>
        <v>0</v>
      </c>
      <c r="AO123">
        <f t="shared" si="71"/>
        <v>0</v>
      </c>
      <c r="AP123">
        <f t="shared" si="72"/>
        <v>0</v>
      </c>
      <c r="AQ123">
        <f t="shared" si="73"/>
        <v>0</v>
      </c>
      <c r="AR123">
        <f t="shared" si="74"/>
        <v>0</v>
      </c>
      <c r="AS123">
        <f t="shared" si="75"/>
        <v>0</v>
      </c>
      <c r="AT123">
        <f t="shared" si="76"/>
        <v>0</v>
      </c>
      <c r="AU123">
        <f t="shared" si="77"/>
        <v>0</v>
      </c>
      <c r="AV123">
        <f t="shared" si="78"/>
        <v>0</v>
      </c>
      <c r="AW123">
        <f t="shared" si="79"/>
        <v>0</v>
      </c>
      <c r="AX123">
        <f t="shared" si="80"/>
        <v>0</v>
      </c>
      <c r="AY123">
        <f t="shared" si="81"/>
        <v>0</v>
      </c>
      <c r="AZ123">
        <f t="shared" si="82"/>
        <v>0</v>
      </c>
      <c r="BA123">
        <f t="shared" si="83"/>
        <v>0</v>
      </c>
      <c r="BB123">
        <f t="shared" si="84"/>
        <v>0</v>
      </c>
      <c r="BC123">
        <f t="shared" si="85"/>
        <v>0</v>
      </c>
      <c r="BD123">
        <f t="shared" si="86"/>
        <v>0</v>
      </c>
      <c r="BE123">
        <f t="shared" si="87"/>
        <v>0</v>
      </c>
      <c r="BF123">
        <f t="shared" si="88"/>
        <v>0</v>
      </c>
      <c r="BG123">
        <f t="shared" si="89"/>
        <v>0</v>
      </c>
      <c r="BH123">
        <f t="shared" si="90"/>
        <v>0</v>
      </c>
      <c r="BI123">
        <f t="shared" si="91"/>
        <v>0</v>
      </c>
      <c r="BJ123">
        <f t="shared" si="92"/>
        <v>0</v>
      </c>
      <c r="BK123">
        <f t="shared" si="93"/>
        <v>0</v>
      </c>
      <c r="BL123">
        <v>0</v>
      </c>
      <c r="BM123" t="str">
        <f t="shared" si="100"/>
        <v>Big Win</v>
      </c>
      <c r="BN123" s="32" t="str">
        <f t="shared" si="101"/>
        <v>Combo Win</v>
      </c>
      <c r="BO123">
        <f>(D123/Summary!$C$4-Summary!$C$8)^2*E123</f>
        <v>205001.37900000002</v>
      </c>
      <c r="BP123">
        <f t="shared" si="94"/>
        <v>0</v>
      </c>
      <c r="BQ123">
        <f t="shared" si="95"/>
        <v>0</v>
      </c>
      <c r="BR123">
        <f t="shared" si="96"/>
        <v>0</v>
      </c>
      <c r="BS123">
        <f t="shared" si="97"/>
        <v>0</v>
      </c>
    </row>
    <row r="124" spans="2:71">
      <c r="B124" s="16">
        <f>Tiers!B125</f>
        <v>122</v>
      </c>
      <c r="C124" s="17" t="str">
        <f>Tiers!Y125</f>
        <v>main-0|main-0|main-1||||||| x 20</v>
      </c>
      <c r="D124" s="18">
        <f>Tiers!C125</f>
        <v>8</v>
      </c>
      <c r="E124" s="19">
        <f>Frequency!E126</f>
        <v>1500</v>
      </c>
      <c r="F124" s="19">
        <f t="shared" si="51"/>
        <v>12000</v>
      </c>
      <c r="G124" s="19">
        <f>IF(Tiers!D125&gt;1,'Data Analysis'!E124,0)</f>
        <v>1500</v>
      </c>
      <c r="H124" s="19">
        <f t="shared" si="52"/>
        <v>12000</v>
      </c>
      <c r="I124" s="19">
        <f>IF(AND(D124/Summary!$C$4&gt;0, D124/Summary!$C$4&lt;5),E124,0) * D124</f>
        <v>0</v>
      </c>
      <c r="J124" s="19">
        <f>IF(AND(D124/Summary!$C$4&gt;= 5, D124/Summary!$C$4&lt;10),E124,0) * D124</f>
        <v>12000</v>
      </c>
      <c r="K124" s="19">
        <f>IF(AND(D124/Summary!$C$4&gt;=10, D124/Summary!$C$4&lt;25),E124,0)*D124</f>
        <v>0</v>
      </c>
      <c r="L124" s="19">
        <f>IF(D124/Summary!$C$4&gt;=25,E124,0)*D124</f>
        <v>0</v>
      </c>
      <c r="M124" s="27">
        <f>IF(AND(D124/Summary!$C$4&gt;0, D124/Summary!$C$4&lt;1),E124,0)</f>
        <v>0</v>
      </c>
      <c r="N124" s="27">
        <f t="shared" si="53"/>
        <v>0</v>
      </c>
      <c r="O124" s="27">
        <f>IF(D124/Summary!$C$4=1,1,0)*E124</f>
        <v>0</v>
      </c>
      <c r="P124" s="27">
        <f t="shared" si="54"/>
        <v>0</v>
      </c>
      <c r="Q124" s="27">
        <f>IF(AND(D124/Summary!$C$4&gt;1, D124/Summary!$C$4&lt;=2),1,0)*E124</f>
        <v>0</v>
      </c>
      <c r="R124" s="27">
        <f t="shared" si="55"/>
        <v>0</v>
      </c>
      <c r="S124" s="27">
        <f>IF(AND(D124/Summary!$C$4&gt;2,D124/Summary!$C$4&lt;=5),1,0)*E124</f>
        <v>0</v>
      </c>
      <c r="T124" s="27">
        <f t="shared" si="56"/>
        <v>0</v>
      </c>
      <c r="U124" s="27">
        <f>IF(AND(D124/Summary!$C$4&gt;5, D124/Summary!$C$4&lt;=10),1,0)*E124</f>
        <v>1500</v>
      </c>
      <c r="V124" s="27">
        <f t="shared" si="57"/>
        <v>12000</v>
      </c>
      <c r="W124" s="27">
        <f>IF(AND(D124/Summary!$C$4&gt;10, D124/Summary!$C$4&lt;=20),1,0)*E124</f>
        <v>0</v>
      </c>
      <c r="X124" s="27">
        <f t="shared" si="58"/>
        <v>0</v>
      </c>
      <c r="Y124" s="27">
        <f>IF(AND(D124/Summary!$C$4&gt;20, D124/Summary!$C$4&lt;=30),1,0)*E124</f>
        <v>0</v>
      </c>
      <c r="Z124" s="27">
        <f t="shared" si="59"/>
        <v>0</v>
      </c>
      <c r="AA124" s="27">
        <f>IF(AND(D124/Summary!$C$4&gt;30, D124/Summary!$C$4&lt;=50),1,0)*E124</f>
        <v>0</v>
      </c>
      <c r="AB124" s="27">
        <f t="shared" si="60"/>
        <v>0</v>
      </c>
      <c r="AC124" s="27">
        <f>IF(AND(D124/Summary!$C$4&gt;50, D124/Summary!$C$4&lt;=100),1,0)*E124</f>
        <v>0</v>
      </c>
      <c r="AD124" s="27">
        <f t="shared" si="61"/>
        <v>0</v>
      </c>
      <c r="AE124" s="27">
        <f>IF(D124/Summary!$C$4&gt;100,1,0)*E124</f>
        <v>0</v>
      </c>
      <c r="AF124" s="27">
        <f t="shared" si="62"/>
        <v>0</v>
      </c>
      <c r="AG124" s="19">
        <f t="shared" si="63"/>
        <v>0</v>
      </c>
      <c r="AH124" s="19">
        <f t="shared" si="64"/>
        <v>0</v>
      </c>
      <c r="AI124" s="19">
        <f t="shared" si="65"/>
        <v>0</v>
      </c>
      <c r="AJ124" s="27">
        <f t="shared" si="66"/>
        <v>1</v>
      </c>
      <c r="AK124" s="27">
        <f t="shared" si="67"/>
        <v>1500</v>
      </c>
      <c r="AL124" s="27">
        <f t="shared" si="68"/>
        <v>12000</v>
      </c>
      <c r="AM124">
        <f t="shared" si="69"/>
        <v>0</v>
      </c>
      <c r="AN124">
        <f t="shared" si="70"/>
        <v>0</v>
      </c>
      <c r="AO124">
        <f t="shared" si="71"/>
        <v>0</v>
      </c>
      <c r="AP124">
        <f t="shared" si="72"/>
        <v>0</v>
      </c>
      <c r="AQ124">
        <f t="shared" si="73"/>
        <v>0</v>
      </c>
      <c r="AR124">
        <f t="shared" si="74"/>
        <v>0</v>
      </c>
      <c r="AS124">
        <f t="shared" si="75"/>
        <v>0</v>
      </c>
      <c r="AT124">
        <f t="shared" si="76"/>
        <v>0</v>
      </c>
      <c r="AU124">
        <f t="shared" si="77"/>
        <v>0</v>
      </c>
      <c r="AV124">
        <f t="shared" si="78"/>
        <v>0</v>
      </c>
      <c r="AW124">
        <f t="shared" si="79"/>
        <v>0</v>
      </c>
      <c r="AX124">
        <f t="shared" si="80"/>
        <v>0</v>
      </c>
      <c r="AY124">
        <f t="shared" si="81"/>
        <v>0</v>
      </c>
      <c r="AZ124">
        <f t="shared" si="82"/>
        <v>0</v>
      </c>
      <c r="BA124">
        <f t="shared" si="83"/>
        <v>0</v>
      </c>
      <c r="BB124">
        <f t="shared" si="84"/>
        <v>0</v>
      </c>
      <c r="BC124">
        <f t="shared" si="85"/>
        <v>0</v>
      </c>
      <c r="BD124">
        <f t="shared" si="86"/>
        <v>0</v>
      </c>
      <c r="BE124">
        <f t="shared" si="87"/>
        <v>0</v>
      </c>
      <c r="BF124">
        <f t="shared" si="88"/>
        <v>0</v>
      </c>
      <c r="BG124">
        <f t="shared" si="89"/>
        <v>0</v>
      </c>
      <c r="BH124">
        <f t="shared" si="90"/>
        <v>0</v>
      </c>
      <c r="BI124">
        <f t="shared" si="91"/>
        <v>0</v>
      </c>
      <c r="BJ124">
        <f t="shared" si="92"/>
        <v>0</v>
      </c>
      <c r="BK124">
        <f t="shared" si="93"/>
        <v>0</v>
      </c>
      <c r="BL124">
        <v>0</v>
      </c>
      <c r="BM124" t="str">
        <f t="shared" si="100"/>
        <v>Standard Win</v>
      </c>
      <c r="BN124" s="32" t="str">
        <f t="shared" si="101"/>
        <v>Combo Win</v>
      </c>
      <c r="BO124">
        <f>(D124/Summary!$C$4-Summary!$C$8)^2*E124</f>
        <v>77113.349999999991</v>
      </c>
      <c r="BP124">
        <f t="shared" si="94"/>
        <v>0</v>
      </c>
      <c r="BQ124">
        <f t="shared" si="95"/>
        <v>0</v>
      </c>
      <c r="BR124">
        <f t="shared" si="96"/>
        <v>0</v>
      </c>
      <c r="BS124">
        <f t="shared" si="97"/>
        <v>0</v>
      </c>
    </row>
    <row r="125" spans="2:71">
      <c r="B125" s="16">
        <f>Tiers!B126</f>
        <v>123</v>
      </c>
      <c r="C125" s="17" t="str">
        <f>Tiers!Y126</f>
        <v>main-0|main-1|main-2|main-2|||||| x 20</v>
      </c>
      <c r="D125" s="18">
        <f>Tiers!C126</f>
        <v>26</v>
      </c>
      <c r="E125" s="19">
        <f>Frequency!E127</f>
        <v>900</v>
      </c>
      <c r="F125" s="19">
        <f t="shared" si="51"/>
        <v>23400</v>
      </c>
      <c r="G125" s="19">
        <f>IF(Tiers!D126&gt;1,'Data Analysis'!E125,0)</f>
        <v>900</v>
      </c>
      <c r="H125" s="19">
        <f t="shared" si="52"/>
        <v>23400</v>
      </c>
      <c r="I125" s="19">
        <f>IF(AND(D125/Summary!$C$4&gt;0, D125/Summary!$C$4&lt;5),E125,0) * D125</f>
        <v>0</v>
      </c>
      <c r="J125" s="19">
        <f>IF(AND(D125/Summary!$C$4&gt;= 5, D125/Summary!$C$4&lt;10),E125,0) * D125</f>
        <v>0</v>
      </c>
      <c r="K125" s="19">
        <f>IF(AND(D125/Summary!$C$4&gt;=10, D125/Summary!$C$4&lt;25),E125,0)*D125</f>
        <v>0</v>
      </c>
      <c r="L125" s="19">
        <f>IF(D125/Summary!$C$4&gt;=25,E125,0)*D125</f>
        <v>23400</v>
      </c>
      <c r="M125" s="27">
        <f>IF(AND(D125/Summary!$C$4&gt;0, D125/Summary!$C$4&lt;1),E125,0)</f>
        <v>0</v>
      </c>
      <c r="N125" s="27">
        <f t="shared" si="53"/>
        <v>0</v>
      </c>
      <c r="O125" s="27">
        <f>IF(D125/Summary!$C$4=1,1,0)*E125</f>
        <v>0</v>
      </c>
      <c r="P125" s="27">
        <f t="shared" si="54"/>
        <v>0</v>
      </c>
      <c r="Q125" s="27">
        <f>IF(AND(D125/Summary!$C$4&gt;1, D125/Summary!$C$4&lt;=2),1,0)*E125</f>
        <v>0</v>
      </c>
      <c r="R125" s="27">
        <f t="shared" si="55"/>
        <v>0</v>
      </c>
      <c r="S125" s="27">
        <f>IF(AND(D125/Summary!$C$4&gt;2,D125/Summary!$C$4&lt;=5),1,0)*E125</f>
        <v>0</v>
      </c>
      <c r="T125" s="27">
        <f t="shared" si="56"/>
        <v>0</v>
      </c>
      <c r="U125" s="27">
        <f>IF(AND(D125/Summary!$C$4&gt;5, D125/Summary!$C$4&lt;=10),1,0)*E125</f>
        <v>0</v>
      </c>
      <c r="V125" s="27">
        <f t="shared" si="57"/>
        <v>0</v>
      </c>
      <c r="W125" s="27">
        <f>IF(AND(D125/Summary!$C$4&gt;10, D125/Summary!$C$4&lt;=20),1,0)*E125</f>
        <v>0</v>
      </c>
      <c r="X125" s="27">
        <f t="shared" si="58"/>
        <v>0</v>
      </c>
      <c r="Y125" s="27">
        <f>IF(AND(D125/Summary!$C$4&gt;20, D125/Summary!$C$4&lt;=30),1,0)*E125</f>
        <v>900</v>
      </c>
      <c r="Z125" s="27">
        <f t="shared" si="59"/>
        <v>23400</v>
      </c>
      <c r="AA125" s="27">
        <f>IF(AND(D125/Summary!$C$4&gt;30, D125/Summary!$C$4&lt;=50),1,0)*E125</f>
        <v>0</v>
      </c>
      <c r="AB125" s="27">
        <f t="shared" si="60"/>
        <v>0</v>
      </c>
      <c r="AC125" s="27">
        <f>IF(AND(D125/Summary!$C$4&gt;50, D125/Summary!$C$4&lt;=100),1,0)*E125</f>
        <v>0</v>
      </c>
      <c r="AD125" s="27">
        <f t="shared" si="61"/>
        <v>0</v>
      </c>
      <c r="AE125" s="27">
        <f>IF(D125/Summary!$C$4&gt;100,1,0)*E125</f>
        <v>0</v>
      </c>
      <c r="AF125" s="27">
        <f t="shared" si="62"/>
        <v>0</v>
      </c>
      <c r="AG125" s="19">
        <f t="shared" si="63"/>
        <v>0</v>
      </c>
      <c r="AH125" s="19">
        <f t="shared" si="64"/>
        <v>0</v>
      </c>
      <c r="AI125" s="19">
        <f t="shared" si="65"/>
        <v>0</v>
      </c>
      <c r="AJ125" s="27">
        <f t="shared" si="66"/>
        <v>1</v>
      </c>
      <c r="AK125" s="27">
        <f t="shared" si="67"/>
        <v>900</v>
      </c>
      <c r="AL125" s="27">
        <f t="shared" si="68"/>
        <v>23400</v>
      </c>
      <c r="AM125">
        <f t="shared" si="69"/>
        <v>0</v>
      </c>
      <c r="AN125">
        <f t="shared" si="70"/>
        <v>0</v>
      </c>
      <c r="AO125">
        <f t="shared" si="71"/>
        <v>0</v>
      </c>
      <c r="AP125">
        <f t="shared" si="72"/>
        <v>0</v>
      </c>
      <c r="AQ125">
        <f t="shared" si="73"/>
        <v>0</v>
      </c>
      <c r="AR125">
        <f t="shared" si="74"/>
        <v>0</v>
      </c>
      <c r="AS125">
        <f t="shared" si="75"/>
        <v>0</v>
      </c>
      <c r="AT125">
        <f t="shared" si="76"/>
        <v>0</v>
      </c>
      <c r="AU125">
        <f t="shared" si="77"/>
        <v>0</v>
      </c>
      <c r="AV125">
        <f t="shared" si="78"/>
        <v>0</v>
      </c>
      <c r="AW125">
        <f t="shared" si="79"/>
        <v>0</v>
      </c>
      <c r="AX125">
        <f t="shared" si="80"/>
        <v>0</v>
      </c>
      <c r="AY125">
        <f t="shared" si="81"/>
        <v>0</v>
      </c>
      <c r="AZ125">
        <f t="shared" si="82"/>
        <v>0</v>
      </c>
      <c r="BA125">
        <f t="shared" si="83"/>
        <v>0</v>
      </c>
      <c r="BB125">
        <f t="shared" si="84"/>
        <v>0</v>
      </c>
      <c r="BC125">
        <f t="shared" si="85"/>
        <v>0</v>
      </c>
      <c r="BD125">
        <f t="shared" si="86"/>
        <v>0</v>
      </c>
      <c r="BE125">
        <f t="shared" si="87"/>
        <v>0</v>
      </c>
      <c r="BF125">
        <f t="shared" si="88"/>
        <v>0</v>
      </c>
      <c r="BG125">
        <f t="shared" si="89"/>
        <v>0</v>
      </c>
      <c r="BH125">
        <f t="shared" si="90"/>
        <v>0</v>
      </c>
      <c r="BI125">
        <f t="shared" si="91"/>
        <v>0</v>
      </c>
      <c r="BJ125">
        <f t="shared" si="92"/>
        <v>0</v>
      </c>
      <c r="BK125">
        <f t="shared" si="93"/>
        <v>0</v>
      </c>
      <c r="BL125">
        <v>0</v>
      </c>
      <c r="BM125" t="str">
        <f t="shared" si="100"/>
        <v>Big Win</v>
      </c>
      <c r="BN125" s="32" t="str">
        <f t="shared" si="101"/>
        <v>Combo Win</v>
      </c>
      <c r="BO125">
        <f>(D125/Summary!$C$4-Summary!$C$8)^2*E125</f>
        <v>570176.01000000013</v>
      </c>
      <c r="BP125">
        <f t="shared" si="94"/>
        <v>0</v>
      </c>
      <c r="BQ125">
        <f t="shared" si="95"/>
        <v>0</v>
      </c>
      <c r="BR125">
        <f t="shared" si="96"/>
        <v>0</v>
      </c>
      <c r="BS125">
        <f t="shared" si="97"/>
        <v>0</v>
      </c>
    </row>
    <row r="126" spans="2:71">
      <c r="B126" s="16">
        <f>Tiers!B127</f>
        <v>124</v>
      </c>
      <c r="C126" s="17" t="str">
        <f>Tiers!Y127</f>
        <v>main-0|main-1|main-1|main-4|||||| x 20</v>
      </c>
      <c r="D126" s="18">
        <f>Tiers!C127</f>
        <v>40</v>
      </c>
      <c r="E126" s="19">
        <f>Frequency!E128</f>
        <v>200</v>
      </c>
      <c r="F126" s="19">
        <f t="shared" si="51"/>
        <v>8000</v>
      </c>
      <c r="G126" s="19">
        <f>IF(Tiers!D127&gt;1,'Data Analysis'!E126,0)</f>
        <v>200</v>
      </c>
      <c r="H126" s="19">
        <f t="shared" si="52"/>
        <v>8000</v>
      </c>
      <c r="I126" s="19">
        <f>IF(AND(D126/Summary!$C$4&gt;0, D126/Summary!$C$4&lt;5),E126,0) * D126</f>
        <v>0</v>
      </c>
      <c r="J126" s="19">
        <f>IF(AND(D126/Summary!$C$4&gt;= 5, D126/Summary!$C$4&lt;10),E126,0) * D126</f>
        <v>0</v>
      </c>
      <c r="K126" s="19">
        <f>IF(AND(D126/Summary!$C$4&gt;=10, D126/Summary!$C$4&lt;25),E126,0)*D126</f>
        <v>0</v>
      </c>
      <c r="L126" s="19">
        <f>IF(D126/Summary!$C$4&gt;=25,E126,0)*D126</f>
        <v>8000</v>
      </c>
      <c r="M126" s="27">
        <f>IF(AND(D126/Summary!$C$4&gt;0, D126/Summary!$C$4&lt;1),E126,0)</f>
        <v>0</v>
      </c>
      <c r="N126" s="27">
        <f t="shared" si="53"/>
        <v>0</v>
      </c>
      <c r="O126" s="27">
        <f>IF(D126/Summary!$C$4=1,1,0)*E126</f>
        <v>0</v>
      </c>
      <c r="P126" s="27">
        <f t="shared" si="54"/>
        <v>0</v>
      </c>
      <c r="Q126" s="27">
        <f>IF(AND(D126/Summary!$C$4&gt;1, D126/Summary!$C$4&lt;=2),1,0)*E126</f>
        <v>0</v>
      </c>
      <c r="R126" s="27">
        <f t="shared" si="55"/>
        <v>0</v>
      </c>
      <c r="S126" s="27">
        <f>IF(AND(D126/Summary!$C$4&gt;2,D126/Summary!$C$4&lt;=5),1,0)*E126</f>
        <v>0</v>
      </c>
      <c r="T126" s="27">
        <f t="shared" si="56"/>
        <v>0</v>
      </c>
      <c r="U126" s="27">
        <f>IF(AND(D126/Summary!$C$4&gt;5, D126/Summary!$C$4&lt;=10),1,0)*E126</f>
        <v>0</v>
      </c>
      <c r="V126" s="27">
        <f t="shared" si="57"/>
        <v>0</v>
      </c>
      <c r="W126" s="27">
        <f>IF(AND(D126/Summary!$C$4&gt;10, D126/Summary!$C$4&lt;=20),1,0)*E126</f>
        <v>0</v>
      </c>
      <c r="X126" s="27">
        <f t="shared" si="58"/>
        <v>0</v>
      </c>
      <c r="Y126" s="27">
        <f>IF(AND(D126/Summary!$C$4&gt;20, D126/Summary!$C$4&lt;=30),1,0)*E126</f>
        <v>0</v>
      </c>
      <c r="Z126" s="27">
        <f t="shared" si="59"/>
        <v>0</v>
      </c>
      <c r="AA126" s="27">
        <f>IF(AND(D126/Summary!$C$4&gt;30, D126/Summary!$C$4&lt;=50),1,0)*E126</f>
        <v>200</v>
      </c>
      <c r="AB126" s="27">
        <f t="shared" si="60"/>
        <v>8000</v>
      </c>
      <c r="AC126" s="27">
        <f>IF(AND(D126/Summary!$C$4&gt;50, D126/Summary!$C$4&lt;=100),1,0)*E126</f>
        <v>0</v>
      </c>
      <c r="AD126" s="27">
        <f t="shared" si="61"/>
        <v>0</v>
      </c>
      <c r="AE126" s="27">
        <f>IF(D126/Summary!$C$4&gt;100,1,0)*E126</f>
        <v>0</v>
      </c>
      <c r="AF126" s="27">
        <f t="shared" si="62"/>
        <v>0</v>
      </c>
      <c r="AG126" s="19">
        <f t="shared" si="63"/>
        <v>0</v>
      </c>
      <c r="AH126" s="19">
        <f t="shared" si="64"/>
        <v>0</v>
      </c>
      <c r="AI126" s="19">
        <f t="shared" si="65"/>
        <v>0</v>
      </c>
      <c r="AJ126" s="27">
        <f t="shared" si="66"/>
        <v>1</v>
      </c>
      <c r="AK126" s="27">
        <f t="shared" si="67"/>
        <v>200</v>
      </c>
      <c r="AL126" s="27">
        <f t="shared" si="68"/>
        <v>8000</v>
      </c>
      <c r="AM126">
        <f t="shared" si="69"/>
        <v>0</v>
      </c>
      <c r="AN126">
        <f t="shared" si="70"/>
        <v>0</v>
      </c>
      <c r="AO126">
        <f t="shared" si="71"/>
        <v>0</v>
      </c>
      <c r="AP126">
        <f t="shared" si="72"/>
        <v>0</v>
      </c>
      <c r="AQ126">
        <f t="shared" si="73"/>
        <v>0</v>
      </c>
      <c r="AR126">
        <f t="shared" si="74"/>
        <v>0</v>
      </c>
      <c r="AS126">
        <f t="shared" si="75"/>
        <v>0</v>
      </c>
      <c r="AT126">
        <f t="shared" si="76"/>
        <v>0</v>
      </c>
      <c r="AU126">
        <f t="shared" si="77"/>
        <v>0</v>
      </c>
      <c r="AV126">
        <f t="shared" si="78"/>
        <v>0</v>
      </c>
      <c r="AW126">
        <f t="shared" si="79"/>
        <v>0</v>
      </c>
      <c r="AX126">
        <f t="shared" si="80"/>
        <v>0</v>
      </c>
      <c r="AY126">
        <f t="shared" si="81"/>
        <v>0</v>
      </c>
      <c r="AZ126">
        <f t="shared" si="82"/>
        <v>0</v>
      </c>
      <c r="BA126">
        <f t="shared" si="83"/>
        <v>0</v>
      </c>
      <c r="BB126">
        <f t="shared" si="84"/>
        <v>0</v>
      </c>
      <c r="BC126">
        <f t="shared" si="85"/>
        <v>0</v>
      </c>
      <c r="BD126">
        <f t="shared" si="86"/>
        <v>0</v>
      </c>
      <c r="BE126">
        <f t="shared" si="87"/>
        <v>0</v>
      </c>
      <c r="BF126">
        <f t="shared" si="88"/>
        <v>0</v>
      </c>
      <c r="BG126">
        <f t="shared" si="89"/>
        <v>0</v>
      </c>
      <c r="BH126">
        <f t="shared" si="90"/>
        <v>0</v>
      </c>
      <c r="BI126">
        <f t="shared" si="91"/>
        <v>0</v>
      </c>
      <c r="BJ126">
        <f t="shared" si="92"/>
        <v>0</v>
      </c>
      <c r="BK126">
        <f t="shared" si="93"/>
        <v>0</v>
      </c>
      <c r="BL126">
        <v>0</v>
      </c>
      <c r="BM126" t="str">
        <f t="shared" si="100"/>
        <v>Big Win</v>
      </c>
      <c r="BN126" s="32" t="str">
        <f t="shared" si="101"/>
        <v>Combo Win</v>
      </c>
      <c r="BO126">
        <f>(D126/Summary!$C$4-Summary!$C$8)^2*E126</f>
        <v>306857.78000000003</v>
      </c>
      <c r="BP126">
        <f t="shared" si="94"/>
        <v>0</v>
      </c>
      <c r="BQ126">
        <f t="shared" si="95"/>
        <v>0</v>
      </c>
      <c r="BR126">
        <f t="shared" si="96"/>
        <v>0</v>
      </c>
      <c r="BS126">
        <f t="shared" si="97"/>
        <v>0</v>
      </c>
    </row>
    <row r="127" spans="2:71">
      <c r="B127" s="16">
        <f>Tiers!B128</f>
        <v>125</v>
      </c>
      <c r="C127" s="17" t="str">
        <f>Tiers!Y128</f>
        <v>main-0|main-0|main-1|main-10|||||| x 20</v>
      </c>
      <c r="D127" s="18">
        <f>Tiers!C128</f>
        <v>28</v>
      </c>
      <c r="E127" s="19">
        <f>Frequency!E129</f>
        <v>900</v>
      </c>
      <c r="F127" s="19">
        <f t="shared" si="51"/>
        <v>25200</v>
      </c>
      <c r="G127" s="19">
        <f>IF(Tiers!D128&gt;1,'Data Analysis'!E127,0)</f>
        <v>900</v>
      </c>
      <c r="H127" s="19">
        <f t="shared" si="52"/>
        <v>25200</v>
      </c>
      <c r="I127" s="19">
        <f>IF(AND(D127/Summary!$C$4&gt;0, D127/Summary!$C$4&lt;5),E127,0) * D127</f>
        <v>0</v>
      </c>
      <c r="J127" s="19">
        <f>IF(AND(D127/Summary!$C$4&gt;= 5, D127/Summary!$C$4&lt;10),E127,0) * D127</f>
        <v>0</v>
      </c>
      <c r="K127" s="19">
        <f>IF(AND(D127/Summary!$C$4&gt;=10, D127/Summary!$C$4&lt;25),E127,0)*D127</f>
        <v>0</v>
      </c>
      <c r="L127" s="19">
        <f>IF(D127/Summary!$C$4&gt;=25,E127,0)*D127</f>
        <v>25200</v>
      </c>
      <c r="M127" s="27">
        <f>IF(AND(D127/Summary!$C$4&gt;0, D127/Summary!$C$4&lt;1),E127,0)</f>
        <v>0</v>
      </c>
      <c r="N127" s="27">
        <f t="shared" si="53"/>
        <v>0</v>
      </c>
      <c r="O127" s="27">
        <f>IF(D127/Summary!$C$4=1,1,0)*E127</f>
        <v>0</v>
      </c>
      <c r="P127" s="27">
        <f t="shared" si="54"/>
        <v>0</v>
      </c>
      <c r="Q127" s="27">
        <f>IF(AND(D127/Summary!$C$4&gt;1, D127/Summary!$C$4&lt;=2),1,0)*E127</f>
        <v>0</v>
      </c>
      <c r="R127" s="27">
        <f t="shared" si="55"/>
        <v>0</v>
      </c>
      <c r="S127" s="27">
        <f>IF(AND(D127/Summary!$C$4&gt;2,D127/Summary!$C$4&lt;=5),1,0)*E127</f>
        <v>0</v>
      </c>
      <c r="T127" s="27">
        <f t="shared" si="56"/>
        <v>0</v>
      </c>
      <c r="U127" s="27">
        <f>IF(AND(D127/Summary!$C$4&gt;5, D127/Summary!$C$4&lt;=10),1,0)*E127</f>
        <v>0</v>
      </c>
      <c r="V127" s="27">
        <f t="shared" si="57"/>
        <v>0</v>
      </c>
      <c r="W127" s="27">
        <f>IF(AND(D127/Summary!$C$4&gt;10, D127/Summary!$C$4&lt;=20),1,0)*E127</f>
        <v>0</v>
      </c>
      <c r="X127" s="27">
        <f t="shared" si="58"/>
        <v>0</v>
      </c>
      <c r="Y127" s="27">
        <f>IF(AND(D127/Summary!$C$4&gt;20, D127/Summary!$C$4&lt;=30),1,0)*E127</f>
        <v>900</v>
      </c>
      <c r="Z127" s="27">
        <f t="shared" si="59"/>
        <v>25200</v>
      </c>
      <c r="AA127" s="27">
        <f>IF(AND(D127/Summary!$C$4&gt;30, D127/Summary!$C$4&lt;=50),1,0)*E127</f>
        <v>0</v>
      </c>
      <c r="AB127" s="27">
        <f t="shared" si="60"/>
        <v>0</v>
      </c>
      <c r="AC127" s="27">
        <f>IF(AND(D127/Summary!$C$4&gt;50, D127/Summary!$C$4&lt;=100),1,0)*E127</f>
        <v>0</v>
      </c>
      <c r="AD127" s="27">
        <f t="shared" si="61"/>
        <v>0</v>
      </c>
      <c r="AE127" s="27">
        <f>IF(D127/Summary!$C$4&gt;100,1,0)*E127</f>
        <v>0</v>
      </c>
      <c r="AF127" s="27">
        <f t="shared" si="62"/>
        <v>0</v>
      </c>
      <c r="AG127" s="19">
        <f t="shared" si="63"/>
        <v>0</v>
      </c>
      <c r="AH127" s="19">
        <f t="shared" si="64"/>
        <v>0</v>
      </c>
      <c r="AI127" s="19">
        <f t="shared" si="65"/>
        <v>0</v>
      </c>
      <c r="AJ127" s="27">
        <f t="shared" si="66"/>
        <v>1</v>
      </c>
      <c r="AK127" s="27">
        <f t="shared" si="67"/>
        <v>900</v>
      </c>
      <c r="AL127" s="27">
        <f t="shared" si="68"/>
        <v>25200</v>
      </c>
      <c r="AM127">
        <f t="shared" si="69"/>
        <v>0</v>
      </c>
      <c r="AN127">
        <f t="shared" si="70"/>
        <v>0</v>
      </c>
      <c r="AO127">
        <f t="shared" si="71"/>
        <v>0</v>
      </c>
      <c r="AP127">
        <f t="shared" si="72"/>
        <v>0</v>
      </c>
      <c r="AQ127">
        <f t="shared" si="73"/>
        <v>0</v>
      </c>
      <c r="AR127">
        <f t="shared" si="74"/>
        <v>0</v>
      </c>
      <c r="AS127">
        <f t="shared" si="75"/>
        <v>0</v>
      </c>
      <c r="AT127">
        <f t="shared" si="76"/>
        <v>0</v>
      </c>
      <c r="AU127">
        <f t="shared" si="77"/>
        <v>0</v>
      </c>
      <c r="AV127">
        <f t="shared" si="78"/>
        <v>0</v>
      </c>
      <c r="AW127">
        <f t="shared" si="79"/>
        <v>0</v>
      </c>
      <c r="AX127">
        <f t="shared" si="80"/>
        <v>0</v>
      </c>
      <c r="AY127">
        <f t="shared" si="81"/>
        <v>0</v>
      </c>
      <c r="AZ127">
        <f t="shared" si="82"/>
        <v>0</v>
      </c>
      <c r="BA127">
        <f t="shared" si="83"/>
        <v>0</v>
      </c>
      <c r="BB127">
        <f t="shared" si="84"/>
        <v>0</v>
      </c>
      <c r="BC127">
        <f t="shared" si="85"/>
        <v>0</v>
      </c>
      <c r="BD127">
        <f t="shared" si="86"/>
        <v>0</v>
      </c>
      <c r="BE127">
        <f t="shared" si="87"/>
        <v>0</v>
      </c>
      <c r="BF127">
        <f t="shared" si="88"/>
        <v>0</v>
      </c>
      <c r="BG127">
        <f t="shared" si="89"/>
        <v>0</v>
      </c>
      <c r="BH127">
        <f t="shared" si="90"/>
        <v>0</v>
      </c>
      <c r="BI127">
        <f t="shared" si="91"/>
        <v>0</v>
      </c>
      <c r="BJ127">
        <f t="shared" si="92"/>
        <v>0</v>
      </c>
      <c r="BK127">
        <f t="shared" si="93"/>
        <v>0</v>
      </c>
      <c r="BL127">
        <v>0</v>
      </c>
      <c r="BM127" t="str">
        <f t="shared" si="100"/>
        <v>Big Win</v>
      </c>
      <c r="BN127" s="32" t="str">
        <f t="shared" si="101"/>
        <v>Combo Win</v>
      </c>
      <c r="BO127">
        <f>(D127/Summary!$C$4-Summary!$C$8)^2*E127</f>
        <v>664388.01000000013</v>
      </c>
      <c r="BP127">
        <f t="shared" si="94"/>
        <v>0</v>
      </c>
      <c r="BQ127">
        <f t="shared" si="95"/>
        <v>0</v>
      </c>
      <c r="BR127">
        <f t="shared" si="96"/>
        <v>0</v>
      </c>
      <c r="BS127">
        <f t="shared" si="97"/>
        <v>0</v>
      </c>
    </row>
    <row r="128" spans="2:71">
      <c r="B128" s="16">
        <f>Tiers!B129</f>
        <v>126</v>
      </c>
      <c r="C128" s="17" t="str">
        <f>Tiers!Y129</f>
        <v>main-0|main-0|main-0|main-1|||||| x 20</v>
      </c>
      <c r="D128" s="18">
        <f>Tiers!C129</f>
        <v>10</v>
      </c>
      <c r="E128" s="19">
        <f>Frequency!E130</f>
        <v>900</v>
      </c>
      <c r="F128" s="19">
        <f t="shared" si="51"/>
        <v>9000</v>
      </c>
      <c r="G128" s="19">
        <f>IF(Tiers!D129&gt;1,'Data Analysis'!E128,0)</f>
        <v>900</v>
      </c>
      <c r="H128" s="19">
        <f t="shared" si="52"/>
        <v>9000</v>
      </c>
      <c r="I128" s="19">
        <f>IF(AND(D128/Summary!$C$4&gt;0, D128/Summary!$C$4&lt;5),E128,0) * D128</f>
        <v>0</v>
      </c>
      <c r="J128" s="19">
        <f>IF(AND(D128/Summary!$C$4&gt;= 5, D128/Summary!$C$4&lt;10),E128,0) * D128</f>
        <v>0</v>
      </c>
      <c r="K128" s="19">
        <f>IF(AND(D128/Summary!$C$4&gt;=10, D128/Summary!$C$4&lt;25),E128,0)*D128</f>
        <v>9000</v>
      </c>
      <c r="L128" s="19">
        <f>IF(D128/Summary!$C$4&gt;=25,E128,0)*D128</f>
        <v>0</v>
      </c>
      <c r="M128" s="27">
        <f>IF(AND(D128/Summary!$C$4&gt;0, D128/Summary!$C$4&lt;1),E128,0)</f>
        <v>0</v>
      </c>
      <c r="N128" s="27">
        <f t="shared" si="53"/>
        <v>0</v>
      </c>
      <c r="O128" s="27">
        <f>IF(D128/Summary!$C$4=1,1,0)*E128</f>
        <v>0</v>
      </c>
      <c r="P128" s="27">
        <f t="shared" si="54"/>
        <v>0</v>
      </c>
      <c r="Q128" s="27">
        <f>IF(AND(D128/Summary!$C$4&gt;1, D128/Summary!$C$4&lt;=2),1,0)*E128</f>
        <v>0</v>
      </c>
      <c r="R128" s="27">
        <f t="shared" si="55"/>
        <v>0</v>
      </c>
      <c r="S128" s="27">
        <f>IF(AND(D128/Summary!$C$4&gt;2,D128/Summary!$C$4&lt;=5),1,0)*E128</f>
        <v>0</v>
      </c>
      <c r="T128" s="27">
        <f t="shared" si="56"/>
        <v>0</v>
      </c>
      <c r="U128" s="27">
        <f>IF(AND(D128/Summary!$C$4&gt;5, D128/Summary!$C$4&lt;=10),1,0)*E128</f>
        <v>900</v>
      </c>
      <c r="V128" s="27">
        <f t="shared" si="57"/>
        <v>9000</v>
      </c>
      <c r="W128" s="27">
        <f>IF(AND(D128/Summary!$C$4&gt;10, D128/Summary!$C$4&lt;=20),1,0)*E128</f>
        <v>0</v>
      </c>
      <c r="X128" s="27">
        <f t="shared" si="58"/>
        <v>0</v>
      </c>
      <c r="Y128" s="27">
        <f>IF(AND(D128/Summary!$C$4&gt;20, D128/Summary!$C$4&lt;=30),1,0)*E128</f>
        <v>0</v>
      </c>
      <c r="Z128" s="27">
        <f t="shared" si="59"/>
        <v>0</v>
      </c>
      <c r="AA128" s="27">
        <f>IF(AND(D128/Summary!$C$4&gt;30, D128/Summary!$C$4&lt;=50),1,0)*E128</f>
        <v>0</v>
      </c>
      <c r="AB128" s="27">
        <f t="shared" si="60"/>
        <v>0</v>
      </c>
      <c r="AC128" s="27">
        <f>IF(AND(D128/Summary!$C$4&gt;50, D128/Summary!$C$4&lt;=100),1,0)*E128</f>
        <v>0</v>
      </c>
      <c r="AD128" s="27">
        <f t="shared" si="61"/>
        <v>0</v>
      </c>
      <c r="AE128" s="27">
        <f>IF(D128/Summary!$C$4&gt;100,1,0)*E128</f>
        <v>0</v>
      </c>
      <c r="AF128" s="27">
        <f t="shared" si="62"/>
        <v>0</v>
      </c>
      <c r="AG128" s="19">
        <f t="shared" si="63"/>
        <v>0</v>
      </c>
      <c r="AH128" s="19">
        <f t="shared" si="64"/>
        <v>0</v>
      </c>
      <c r="AI128" s="19">
        <f t="shared" si="65"/>
        <v>0</v>
      </c>
      <c r="AJ128" s="27">
        <f t="shared" si="66"/>
        <v>1</v>
      </c>
      <c r="AK128" s="27">
        <f t="shared" si="67"/>
        <v>900</v>
      </c>
      <c r="AL128" s="27">
        <f t="shared" si="68"/>
        <v>9000</v>
      </c>
      <c r="AM128">
        <f t="shared" si="69"/>
        <v>0</v>
      </c>
      <c r="AN128">
        <f t="shared" si="70"/>
        <v>0</v>
      </c>
      <c r="AO128">
        <f t="shared" si="71"/>
        <v>0</v>
      </c>
      <c r="AP128">
        <f t="shared" si="72"/>
        <v>0</v>
      </c>
      <c r="AQ128">
        <f t="shared" si="73"/>
        <v>0</v>
      </c>
      <c r="AR128">
        <f t="shared" si="74"/>
        <v>0</v>
      </c>
      <c r="AS128">
        <f t="shared" si="75"/>
        <v>0</v>
      </c>
      <c r="AT128">
        <f t="shared" si="76"/>
        <v>0</v>
      </c>
      <c r="AU128">
        <f t="shared" si="77"/>
        <v>0</v>
      </c>
      <c r="AV128">
        <f t="shared" si="78"/>
        <v>0</v>
      </c>
      <c r="AW128">
        <f t="shared" si="79"/>
        <v>0</v>
      </c>
      <c r="AX128">
        <f t="shared" si="80"/>
        <v>0</v>
      </c>
      <c r="AY128">
        <f t="shared" si="81"/>
        <v>0</v>
      </c>
      <c r="AZ128">
        <f t="shared" si="82"/>
        <v>0</v>
      </c>
      <c r="BA128">
        <f t="shared" si="83"/>
        <v>0</v>
      </c>
      <c r="BB128">
        <f t="shared" si="84"/>
        <v>0</v>
      </c>
      <c r="BC128">
        <f t="shared" si="85"/>
        <v>0</v>
      </c>
      <c r="BD128">
        <f t="shared" si="86"/>
        <v>0</v>
      </c>
      <c r="BE128">
        <f t="shared" si="87"/>
        <v>0</v>
      </c>
      <c r="BF128">
        <f t="shared" si="88"/>
        <v>0</v>
      </c>
      <c r="BG128">
        <f t="shared" si="89"/>
        <v>0</v>
      </c>
      <c r="BH128">
        <f t="shared" si="90"/>
        <v>0</v>
      </c>
      <c r="BI128">
        <f t="shared" si="91"/>
        <v>0</v>
      </c>
      <c r="BJ128">
        <f t="shared" si="92"/>
        <v>0</v>
      </c>
      <c r="BK128">
        <f t="shared" si="93"/>
        <v>0</v>
      </c>
      <c r="BL128">
        <v>0</v>
      </c>
      <c r="BM128" t="str">
        <f t="shared" si="100"/>
        <v>Big Win</v>
      </c>
      <c r="BN128" s="32" t="str">
        <f t="shared" si="101"/>
        <v>Combo Win</v>
      </c>
      <c r="BO128">
        <f>(D128/Summary!$C$4-Summary!$C$8)^2*E128</f>
        <v>75680.009999999995</v>
      </c>
      <c r="BP128">
        <f t="shared" si="94"/>
        <v>0</v>
      </c>
      <c r="BQ128">
        <f t="shared" si="95"/>
        <v>0</v>
      </c>
      <c r="BR128">
        <f t="shared" si="96"/>
        <v>0</v>
      </c>
      <c r="BS128">
        <f t="shared" si="97"/>
        <v>0</v>
      </c>
    </row>
    <row r="129" spans="2:71">
      <c r="B129" s="16">
        <f>Tiers!B130</f>
        <v>127</v>
      </c>
      <c r="C129" s="17" t="str">
        <f>Tiers!Y130</f>
        <v>main-0|main-0|main-1|main-1|||||| x 20</v>
      </c>
      <c r="D129" s="18">
        <f>Tiers!C130</f>
        <v>12.000000000000002</v>
      </c>
      <c r="E129" s="19">
        <f>Frequency!E131</f>
        <v>900</v>
      </c>
      <c r="F129" s="19">
        <f t="shared" si="51"/>
        <v>10800.000000000002</v>
      </c>
      <c r="G129" s="19">
        <f>IF(Tiers!D130&gt;1,'Data Analysis'!E129,0)</f>
        <v>900</v>
      </c>
      <c r="H129" s="19">
        <f t="shared" si="52"/>
        <v>10800.000000000002</v>
      </c>
      <c r="I129" s="19">
        <f>IF(AND(D129/Summary!$C$4&gt;0, D129/Summary!$C$4&lt;5),E129,0) * D129</f>
        <v>0</v>
      </c>
      <c r="J129" s="19">
        <f>IF(AND(D129/Summary!$C$4&gt;= 5, D129/Summary!$C$4&lt;10),E129,0) * D129</f>
        <v>0</v>
      </c>
      <c r="K129" s="19">
        <f>IF(AND(D129/Summary!$C$4&gt;=10, D129/Summary!$C$4&lt;25),E129,0)*D129</f>
        <v>10800.000000000002</v>
      </c>
      <c r="L129" s="19">
        <f>IF(D129/Summary!$C$4&gt;=25,E129,0)*D129</f>
        <v>0</v>
      </c>
      <c r="M129" s="27">
        <f>IF(AND(D129/Summary!$C$4&gt;0, D129/Summary!$C$4&lt;1),E129,0)</f>
        <v>0</v>
      </c>
      <c r="N129" s="27">
        <f t="shared" si="53"/>
        <v>0</v>
      </c>
      <c r="O129" s="27">
        <f>IF(D129/Summary!$C$4=1,1,0)*E129</f>
        <v>0</v>
      </c>
      <c r="P129" s="27">
        <f t="shared" si="54"/>
        <v>0</v>
      </c>
      <c r="Q129" s="27">
        <f>IF(AND(D129/Summary!$C$4&gt;1, D129/Summary!$C$4&lt;=2),1,0)*E129</f>
        <v>0</v>
      </c>
      <c r="R129" s="27">
        <f t="shared" si="55"/>
        <v>0</v>
      </c>
      <c r="S129" s="27">
        <f>IF(AND(D129/Summary!$C$4&gt;2,D129/Summary!$C$4&lt;=5),1,0)*E129</f>
        <v>0</v>
      </c>
      <c r="T129" s="27">
        <f t="shared" si="56"/>
        <v>0</v>
      </c>
      <c r="U129" s="27">
        <f>IF(AND(D129/Summary!$C$4&gt;5, D129/Summary!$C$4&lt;=10),1,0)*E129</f>
        <v>0</v>
      </c>
      <c r="V129" s="27">
        <f t="shared" si="57"/>
        <v>0</v>
      </c>
      <c r="W129" s="27">
        <f>IF(AND(D129/Summary!$C$4&gt;10, D129/Summary!$C$4&lt;=20),1,0)*E129</f>
        <v>900</v>
      </c>
      <c r="X129" s="27">
        <f t="shared" si="58"/>
        <v>10800.000000000002</v>
      </c>
      <c r="Y129" s="27">
        <f>IF(AND(D129/Summary!$C$4&gt;20, D129/Summary!$C$4&lt;=30),1,0)*E129</f>
        <v>0</v>
      </c>
      <c r="Z129" s="27">
        <f t="shared" si="59"/>
        <v>0</v>
      </c>
      <c r="AA129" s="27">
        <f>IF(AND(D129/Summary!$C$4&gt;30, D129/Summary!$C$4&lt;=50),1,0)*E129</f>
        <v>0</v>
      </c>
      <c r="AB129" s="27">
        <f t="shared" si="60"/>
        <v>0</v>
      </c>
      <c r="AC129" s="27">
        <f>IF(AND(D129/Summary!$C$4&gt;50, D129/Summary!$C$4&lt;=100),1,0)*E129</f>
        <v>0</v>
      </c>
      <c r="AD129" s="27">
        <f t="shared" si="61"/>
        <v>0</v>
      </c>
      <c r="AE129" s="27">
        <f>IF(D129/Summary!$C$4&gt;100,1,0)*E129</f>
        <v>0</v>
      </c>
      <c r="AF129" s="27">
        <f t="shared" si="62"/>
        <v>0</v>
      </c>
      <c r="AG129" s="19">
        <f t="shared" si="63"/>
        <v>0</v>
      </c>
      <c r="AH129" s="19">
        <f t="shared" si="64"/>
        <v>0</v>
      </c>
      <c r="AI129" s="19">
        <f t="shared" si="65"/>
        <v>0</v>
      </c>
      <c r="AJ129" s="27">
        <f t="shared" si="66"/>
        <v>1</v>
      </c>
      <c r="AK129" s="27">
        <f t="shared" si="67"/>
        <v>900</v>
      </c>
      <c r="AL129" s="27">
        <f t="shared" si="68"/>
        <v>10800.000000000002</v>
      </c>
      <c r="AM129">
        <f t="shared" si="69"/>
        <v>0</v>
      </c>
      <c r="AN129">
        <f t="shared" si="70"/>
        <v>0</v>
      </c>
      <c r="AO129">
        <f t="shared" si="71"/>
        <v>0</v>
      </c>
      <c r="AP129">
        <f t="shared" si="72"/>
        <v>0</v>
      </c>
      <c r="AQ129">
        <f t="shared" si="73"/>
        <v>0</v>
      </c>
      <c r="AR129">
        <f t="shared" si="74"/>
        <v>0</v>
      </c>
      <c r="AS129">
        <f t="shared" si="75"/>
        <v>0</v>
      </c>
      <c r="AT129">
        <f t="shared" si="76"/>
        <v>0</v>
      </c>
      <c r="AU129">
        <f t="shared" si="77"/>
        <v>0</v>
      </c>
      <c r="AV129">
        <f t="shared" si="78"/>
        <v>0</v>
      </c>
      <c r="AW129">
        <f t="shared" si="79"/>
        <v>0</v>
      </c>
      <c r="AX129">
        <f t="shared" si="80"/>
        <v>0</v>
      </c>
      <c r="AY129">
        <f t="shared" si="81"/>
        <v>0</v>
      </c>
      <c r="AZ129">
        <f t="shared" si="82"/>
        <v>0</v>
      </c>
      <c r="BA129">
        <f t="shared" si="83"/>
        <v>0</v>
      </c>
      <c r="BB129">
        <f t="shared" si="84"/>
        <v>0</v>
      </c>
      <c r="BC129">
        <f t="shared" si="85"/>
        <v>0</v>
      </c>
      <c r="BD129">
        <f t="shared" si="86"/>
        <v>0</v>
      </c>
      <c r="BE129">
        <f t="shared" si="87"/>
        <v>0</v>
      </c>
      <c r="BF129">
        <f t="shared" si="88"/>
        <v>0</v>
      </c>
      <c r="BG129">
        <f t="shared" si="89"/>
        <v>0</v>
      </c>
      <c r="BH129">
        <f t="shared" si="90"/>
        <v>0</v>
      </c>
      <c r="BI129">
        <f t="shared" si="91"/>
        <v>0</v>
      </c>
      <c r="BJ129">
        <f t="shared" si="92"/>
        <v>0</v>
      </c>
      <c r="BK129">
        <f t="shared" si="93"/>
        <v>0</v>
      </c>
      <c r="BL129">
        <v>0</v>
      </c>
      <c r="BM129" t="str">
        <f t="shared" si="100"/>
        <v>Big Win</v>
      </c>
      <c r="BN129" s="32" t="str">
        <f t="shared" si="101"/>
        <v>Combo Win</v>
      </c>
      <c r="BO129">
        <f>(D129/Summary!$C$4-Summary!$C$8)^2*E129</f>
        <v>112292.01000000004</v>
      </c>
      <c r="BP129">
        <f t="shared" si="94"/>
        <v>0</v>
      </c>
      <c r="BQ129">
        <f t="shared" si="95"/>
        <v>0</v>
      </c>
      <c r="BR129">
        <f t="shared" si="96"/>
        <v>0</v>
      </c>
      <c r="BS129">
        <f t="shared" si="97"/>
        <v>0</v>
      </c>
    </row>
    <row r="130" spans="2:71">
      <c r="B130" s="16">
        <f>Tiers!B131</f>
        <v>128</v>
      </c>
      <c r="C130" s="17" t="str">
        <f>Tiers!Y131</f>
        <v>main-0|main-0|main-1|main-30|||||| x 20</v>
      </c>
      <c r="D130" s="18">
        <f>Tiers!C131</f>
        <v>48</v>
      </c>
      <c r="E130" s="19">
        <f>Frequency!E132</f>
        <v>200</v>
      </c>
      <c r="F130" s="19">
        <f t="shared" ref="F130:F193" si="102">E130*D130</f>
        <v>9600</v>
      </c>
      <c r="G130" s="19">
        <f>IF(Tiers!D131&gt;1,'Data Analysis'!E130,0)</f>
        <v>200</v>
      </c>
      <c r="H130" s="19">
        <f t="shared" ref="H130:H193" si="103">G130*D130</f>
        <v>9600</v>
      </c>
      <c r="I130" s="19">
        <f>IF(AND(D130/Summary!$C$4&gt;0, D130/Summary!$C$4&lt;5),E130,0) * D130</f>
        <v>0</v>
      </c>
      <c r="J130" s="19">
        <f>IF(AND(D130/Summary!$C$4&gt;= 5, D130/Summary!$C$4&lt;10),E130,0) * D130</f>
        <v>0</v>
      </c>
      <c r="K130" s="19">
        <f>IF(AND(D130/Summary!$C$4&gt;=10, D130/Summary!$C$4&lt;25),E130,0)*D130</f>
        <v>0</v>
      </c>
      <c r="L130" s="19">
        <f>IF(D130/Summary!$C$4&gt;=25,E130,0)*D130</f>
        <v>9600</v>
      </c>
      <c r="M130" s="27">
        <f>IF(AND(D130/Summary!$C$4&gt;0, D130/Summary!$C$4&lt;1),E130,0)</f>
        <v>0</v>
      </c>
      <c r="N130" s="27">
        <f t="shared" ref="N130:N193" si="104">IF(M130&gt;0,D130*E130,0)</f>
        <v>0</v>
      </c>
      <c r="O130" s="27">
        <f>IF(D130/Summary!$C$4=1,1,0)*E130</f>
        <v>0</v>
      </c>
      <c r="P130" s="27">
        <f t="shared" ref="P130:P193" si="105">IF(O130&gt;0,D130*E130,0)</f>
        <v>0</v>
      </c>
      <c r="Q130" s="27">
        <f>IF(AND(D130/Summary!$C$4&gt;1, D130/Summary!$C$4&lt;=2),1,0)*E130</f>
        <v>0</v>
      </c>
      <c r="R130" s="27">
        <f t="shared" ref="R130:R193" si="106">IF(Q130&gt;0,D130*E130,0)</f>
        <v>0</v>
      </c>
      <c r="S130" s="27">
        <f>IF(AND(D130/Summary!$C$4&gt;2,D130/Summary!$C$4&lt;=5),1,0)*E130</f>
        <v>0</v>
      </c>
      <c r="T130" s="27">
        <f t="shared" ref="T130:T193" si="107">IF(S130&gt;0,D130*E130,0)</f>
        <v>0</v>
      </c>
      <c r="U130" s="27">
        <f>IF(AND(D130/Summary!$C$4&gt;5, D130/Summary!$C$4&lt;=10),1,0)*E130</f>
        <v>0</v>
      </c>
      <c r="V130" s="27">
        <f t="shared" ref="V130:V193" si="108">IF(U130&gt;0,D130*E130,0)</f>
        <v>0</v>
      </c>
      <c r="W130" s="27">
        <f>IF(AND(D130/Summary!$C$4&gt;10, D130/Summary!$C$4&lt;=20),1,0)*E130</f>
        <v>0</v>
      </c>
      <c r="X130" s="27">
        <f t="shared" ref="X130:X193" si="109">IF(W130&gt;0,D130*E130,0)</f>
        <v>0</v>
      </c>
      <c r="Y130" s="27">
        <f>IF(AND(D130/Summary!$C$4&gt;20, D130/Summary!$C$4&lt;=30),1,0)*E130</f>
        <v>0</v>
      </c>
      <c r="Z130" s="27">
        <f t="shared" ref="Z130:Z193" si="110">IF(Y130&gt;0,D130*E130,0)</f>
        <v>0</v>
      </c>
      <c r="AA130" s="27">
        <f>IF(AND(D130/Summary!$C$4&gt;30, D130/Summary!$C$4&lt;=50),1,0)*E130</f>
        <v>200</v>
      </c>
      <c r="AB130" s="27">
        <f t="shared" ref="AB130:AB193" si="111">IF(AA130&gt;0,D130*E130,0)</f>
        <v>9600</v>
      </c>
      <c r="AC130" s="27">
        <f>IF(AND(D130/Summary!$C$4&gt;50, D130/Summary!$C$4&lt;=100),1,0)*E130</f>
        <v>0</v>
      </c>
      <c r="AD130" s="27">
        <f t="shared" ref="AD130:AD193" si="112">IF(AC130&gt;0,D130*E130,0)</f>
        <v>0</v>
      </c>
      <c r="AE130" s="27">
        <f>IF(D130/Summary!$C$4&gt;100,1,0)*E130</f>
        <v>0</v>
      </c>
      <c r="AF130" s="27">
        <f t="shared" ref="AF130:AF193" si="113">IF(AE130&gt;0,D130*E130,0)</f>
        <v>0</v>
      </c>
      <c r="AG130" s="19">
        <f t="shared" ref="AG130:AG193" si="114">IF(AV130&gt;0,E130,0)</f>
        <v>0</v>
      </c>
      <c r="AH130" s="19">
        <f t="shared" ref="AH130:AH193" si="115">IF(BD130&gt;0,E130,0)</f>
        <v>0</v>
      </c>
      <c r="AI130" s="19">
        <f t="shared" ref="AI130:AI193" si="116">IF(BJ130&gt;0,E130,0)</f>
        <v>0</v>
      </c>
      <c r="AJ130" s="27">
        <f t="shared" ref="AJ130:AJ193" si="117">IF(ISNUMBER(SEARCH("|||||||||",C130)),0,1)</f>
        <v>1</v>
      </c>
      <c r="AK130" s="27">
        <f t="shared" ref="AK130:AK193" si="118">IF(AJ130=1, E130,0)</f>
        <v>200</v>
      </c>
      <c r="AL130" s="27">
        <f t="shared" ref="AL130:AL193" si="119">IF(AK130&gt;0,D130*E130,0)</f>
        <v>9600</v>
      </c>
      <c r="AM130">
        <f t="shared" ref="AM130:AM193" si="120">IF(ISNUMBER(SEARCH("Wild",C130)),1,0)</f>
        <v>0</v>
      </c>
      <c r="AN130">
        <f t="shared" ref="AN130:AN193" si="121">IF(AM130=1, E130,0)</f>
        <v>0</v>
      </c>
      <c r="AO130">
        <f t="shared" ref="AO130:AO193" si="122">IF(AN130&gt;0,D130*E130,0)</f>
        <v>0</v>
      </c>
      <c r="AP130">
        <f t="shared" ref="AP130:AP193" si="123">IF(ISNUMBER(SEARCH("Wild-",C130)),1,0)</f>
        <v>0</v>
      </c>
      <c r="AQ130">
        <f t="shared" ref="AQ130:AQ193" si="124">IF(AP130=1, E130,0)</f>
        <v>0</v>
      </c>
      <c r="AR130">
        <f t="shared" ref="AR130:AR193" si="125">IF(AQ130&gt;0,D130*E130,0)</f>
        <v>0</v>
      </c>
      <c r="AS130">
        <f t="shared" ref="AS130:AS193" si="126">IF(ISNUMBER(SEARCH("WildX",C130)),1,0)</f>
        <v>0</v>
      </c>
      <c r="AT130">
        <f t="shared" ref="AT130:AT193" si="127">IF(AS130=1, E130,0)</f>
        <v>0</v>
      </c>
      <c r="AU130">
        <f t="shared" ref="AU130:AU193" si="128">IF(AT130&gt;0,D130*E130,0)</f>
        <v>0</v>
      </c>
      <c r="AV130">
        <f t="shared" ref="AV130:AV193" si="129">IF(ISNUMBER(SEARCH("freeplayA",C130)),E130,0)</f>
        <v>0</v>
      </c>
      <c r="AW130">
        <f t="shared" ref="AW130:AW193" si="130">AV130*D130</f>
        <v>0</v>
      </c>
      <c r="AX130">
        <f t="shared" ref="AX130:AX193" si="131">IF(ISNUMBER(SEARCH("FreePlayB",C130)),E130,0)</f>
        <v>0</v>
      </c>
      <c r="AY130">
        <f t="shared" ref="AY130:AY193" si="132">AX130*D130</f>
        <v>0</v>
      </c>
      <c r="AZ130">
        <f t="shared" ref="AZ130:AZ193" si="133">IF(ISNUMBER(SEARCH("FreePlayC",C130)),E130,0)</f>
        <v>0</v>
      </c>
      <c r="BA130">
        <f t="shared" ref="BA130:BA193" si="134">AZ130*D130</f>
        <v>0</v>
      </c>
      <c r="BB130">
        <f t="shared" ref="BB130:BB193" si="135">IF(ISNUMBER(SEARCH("FreePlayD",C130)),E130,0)</f>
        <v>0</v>
      </c>
      <c r="BC130">
        <f t="shared" ref="BC130:BC193" si="136">BB130*D130</f>
        <v>0</v>
      </c>
      <c r="BD130">
        <f t="shared" ref="BD130:BD193" si="137">IF(ISNUMBER(SEARCH("bonusA",C130)),E130,0)</f>
        <v>0</v>
      </c>
      <c r="BE130">
        <f t="shared" ref="BE130:BE193" si="138">BD130*D130</f>
        <v>0</v>
      </c>
      <c r="BF130">
        <f t="shared" ref="BF130:BF193" si="139">IF(ISNUMBER(SEARCH("BonusB",C130)),E130,0)</f>
        <v>0</v>
      </c>
      <c r="BG130">
        <f t="shared" ref="BG130:BG193" si="140">BF130*D130</f>
        <v>0</v>
      </c>
      <c r="BH130">
        <f t="shared" ref="BH130:BH193" si="141">IF(ISNUMBER(SEARCH("BonusC",C130)),E130,0)</f>
        <v>0</v>
      </c>
      <c r="BI130">
        <f t="shared" ref="BI130:BI193" si="142">BH130*D130</f>
        <v>0</v>
      </c>
      <c r="BJ130">
        <f t="shared" ref="BJ130:BJ193" si="143">IF(ISNUMBER(SEARCH("Instant",C130)),E130,0)</f>
        <v>0</v>
      </c>
      <c r="BK130">
        <f t="shared" ref="BK130:BK193" si="144">BJ130*D130</f>
        <v>0</v>
      </c>
      <c r="BL130">
        <v>0</v>
      </c>
      <c r="BM130" t="str">
        <f>IF(D130 &lt; $D$367, $C$367,
      IF(D130 = $D$368, $C$368,
          IF(D130 &lt; $D$369, $C$369,
              IF(D130 &lt; $D$370, $C$370,
                 IF(D130 &lt; $D$371, $C$371, $C$372)))))</f>
        <v>Big Win</v>
      </c>
      <c r="BN130" s="32" t="str">
        <f>IF(AV130 &gt; 0,$C$376,
      IF(AX130 &gt; 0,$C$377,
          IF(AZ130 &gt; 0,$C$378,
             IF(BB130 &gt; 0,$C$379,
              IF(BD130 &gt; 0,$C$380,
                  IF(BF130 &gt; 0,$C$381,
                     IF(BH130 &gt; 0,$C$382,
                        IF(BJ130 &gt; 0,$C$383,
                           IF(ISNUMBER(SEARCH("|||||||||",C130)), $C$384,$C$385)))))))))</f>
        <v>Combo Win</v>
      </c>
      <c r="BO130">
        <f>(D130/Summary!$C$4-Summary!$C$8)^2*E130</f>
        <v>445001.78</v>
      </c>
      <c r="BP130">
        <f t="shared" ref="BP130:BP193" si="145">IF(AV130=1, E130*D130,0)</f>
        <v>0</v>
      </c>
      <c r="BQ130">
        <f t="shared" ref="BQ130:BQ193" si="146">IF(BD130=1, E130*D130,0)</f>
        <v>0</v>
      </c>
      <c r="BR130">
        <f t="shared" ref="BR130:BR193" si="147">IF(BJ130=1, D130*E130,0)</f>
        <v>0</v>
      </c>
      <c r="BS130">
        <f t="shared" ref="BS130:BS193" si="148">IF(BL130&gt;0,BL130*E130,0)</f>
        <v>0</v>
      </c>
    </row>
    <row r="131" spans="2:71">
      <c r="B131" s="16">
        <f>Tiers!B132</f>
        <v>129</v>
      </c>
      <c r="C131" s="17" t="str">
        <f>Tiers!Y132</f>
        <v>main-0|main-0|main-1|main-1|main-2||||| x 20</v>
      </c>
      <c r="D131" s="18">
        <f>Tiers!C132</f>
        <v>22</v>
      </c>
      <c r="E131" s="19">
        <f>Frequency!E133</f>
        <v>900</v>
      </c>
      <c r="F131" s="19">
        <f t="shared" si="102"/>
        <v>19800</v>
      </c>
      <c r="G131" s="19">
        <f>IF(Tiers!D132&gt;1,'Data Analysis'!E131,0)</f>
        <v>900</v>
      </c>
      <c r="H131" s="19">
        <f t="shared" si="103"/>
        <v>19800</v>
      </c>
      <c r="I131" s="19">
        <f>IF(AND(D131/Summary!$C$4&gt;0, D131/Summary!$C$4&lt;5),E131,0) * D131</f>
        <v>0</v>
      </c>
      <c r="J131" s="19">
        <f>IF(AND(D131/Summary!$C$4&gt;= 5, D131/Summary!$C$4&lt;10),E131,0) * D131</f>
        <v>0</v>
      </c>
      <c r="K131" s="19">
        <f>IF(AND(D131/Summary!$C$4&gt;=10, D131/Summary!$C$4&lt;25),E131,0)*D131</f>
        <v>19800</v>
      </c>
      <c r="L131" s="19">
        <f>IF(D131/Summary!$C$4&gt;=25,E131,0)*D131</f>
        <v>0</v>
      </c>
      <c r="M131" s="27">
        <f>IF(AND(D131/Summary!$C$4&gt;0, D131/Summary!$C$4&lt;1),E131,0)</f>
        <v>0</v>
      </c>
      <c r="N131" s="27">
        <f t="shared" si="104"/>
        <v>0</v>
      </c>
      <c r="O131" s="27">
        <f>IF(D131/Summary!$C$4=1,1,0)*E131</f>
        <v>0</v>
      </c>
      <c r="P131" s="27">
        <f t="shared" si="105"/>
        <v>0</v>
      </c>
      <c r="Q131" s="27">
        <f>IF(AND(D131/Summary!$C$4&gt;1, D131/Summary!$C$4&lt;=2),1,0)*E131</f>
        <v>0</v>
      </c>
      <c r="R131" s="27">
        <f t="shared" si="106"/>
        <v>0</v>
      </c>
      <c r="S131" s="27">
        <f>IF(AND(D131/Summary!$C$4&gt;2,D131/Summary!$C$4&lt;=5),1,0)*E131</f>
        <v>0</v>
      </c>
      <c r="T131" s="27">
        <f t="shared" si="107"/>
        <v>0</v>
      </c>
      <c r="U131" s="27">
        <f>IF(AND(D131/Summary!$C$4&gt;5, D131/Summary!$C$4&lt;=10),1,0)*E131</f>
        <v>0</v>
      </c>
      <c r="V131" s="27">
        <f t="shared" si="108"/>
        <v>0</v>
      </c>
      <c r="W131" s="27">
        <f>IF(AND(D131/Summary!$C$4&gt;10, D131/Summary!$C$4&lt;=20),1,0)*E131</f>
        <v>0</v>
      </c>
      <c r="X131" s="27">
        <f t="shared" si="109"/>
        <v>0</v>
      </c>
      <c r="Y131" s="27">
        <f>IF(AND(D131/Summary!$C$4&gt;20, D131/Summary!$C$4&lt;=30),1,0)*E131</f>
        <v>900</v>
      </c>
      <c r="Z131" s="27">
        <f t="shared" si="110"/>
        <v>19800</v>
      </c>
      <c r="AA131" s="27">
        <f>IF(AND(D131/Summary!$C$4&gt;30, D131/Summary!$C$4&lt;=50),1,0)*E131</f>
        <v>0</v>
      </c>
      <c r="AB131" s="27">
        <f t="shared" si="111"/>
        <v>0</v>
      </c>
      <c r="AC131" s="27">
        <f>IF(AND(D131/Summary!$C$4&gt;50, D131/Summary!$C$4&lt;=100),1,0)*E131</f>
        <v>0</v>
      </c>
      <c r="AD131" s="27">
        <f t="shared" si="112"/>
        <v>0</v>
      </c>
      <c r="AE131" s="27">
        <f>IF(D131/Summary!$C$4&gt;100,1,0)*E131</f>
        <v>0</v>
      </c>
      <c r="AF131" s="27">
        <f t="shared" si="113"/>
        <v>0</v>
      </c>
      <c r="AG131" s="19">
        <f t="shared" si="114"/>
        <v>0</v>
      </c>
      <c r="AH131" s="19">
        <f t="shared" si="115"/>
        <v>0</v>
      </c>
      <c r="AI131" s="19">
        <f t="shared" si="116"/>
        <v>0</v>
      </c>
      <c r="AJ131" s="27">
        <f t="shared" si="117"/>
        <v>1</v>
      </c>
      <c r="AK131" s="27">
        <f t="shared" si="118"/>
        <v>900</v>
      </c>
      <c r="AL131" s="27">
        <f t="shared" si="119"/>
        <v>19800</v>
      </c>
      <c r="AM131">
        <f t="shared" si="120"/>
        <v>0</v>
      </c>
      <c r="AN131">
        <f t="shared" si="121"/>
        <v>0</v>
      </c>
      <c r="AO131">
        <f t="shared" si="122"/>
        <v>0</v>
      </c>
      <c r="AP131">
        <f t="shared" si="123"/>
        <v>0</v>
      </c>
      <c r="AQ131">
        <f t="shared" si="124"/>
        <v>0</v>
      </c>
      <c r="AR131">
        <f t="shared" si="125"/>
        <v>0</v>
      </c>
      <c r="AS131">
        <f t="shared" si="126"/>
        <v>0</v>
      </c>
      <c r="AT131">
        <f t="shared" si="127"/>
        <v>0</v>
      </c>
      <c r="AU131">
        <f t="shared" si="128"/>
        <v>0</v>
      </c>
      <c r="AV131">
        <f t="shared" si="129"/>
        <v>0</v>
      </c>
      <c r="AW131">
        <f t="shared" si="130"/>
        <v>0</v>
      </c>
      <c r="AX131">
        <f t="shared" si="131"/>
        <v>0</v>
      </c>
      <c r="AY131">
        <f t="shared" si="132"/>
        <v>0</v>
      </c>
      <c r="AZ131">
        <f t="shared" si="133"/>
        <v>0</v>
      </c>
      <c r="BA131">
        <f t="shared" si="134"/>
        <v>0</v>
      </c>
      <c r="BB131">
        <f t="shared" si="135"/>
        <v>0</v>
      </c>
      <c r="BC131">
        <f t="shared" si="136"/>
        <v>0</v>
      </c>
      <c r="BD131">
        <f t="shared" si="137"/>
        <v>0</v>
      </c>
      <c r="BE131">
        <f t="shared" si="138"/>
        <v>0</v>
      </c>
      <c r="BF131">
        <f t="shared" si="139"/>
        <v>0</v>
      </c>
      <c r="BG131">
        <f t="shared" si="140"/>
        <v>0</v>
      </c>
      <c r="BH131">
        <f t="shared" si="141"/>
        <v>0</v>
      </c>
      <c r="BI131">
        <f t="shared" si="142"/>
        <v>0</v>
      </c>
      <c r="BJ131">
        <f t="shared" si="143"/>
        <v>0</v>
      </c>
      <c r="BK131">
        <f t="shared" si="144"/>
        <v>0</v>
      </c>
      <c r="BL131">
        <v>0</v>
      </c>
      <c r="BM131" t="str">
        <f t="shared" ref="BM131:BM162" si="149">IF(D131 &lt; $D$367, $C$367,
IF(D131 = $D$368, $C$368,
IF(D131 &lt; $D$369, $C$369,
IF(D131 &lt; $D$370, $C$370,
IF(D131 &lt; $D$371, $C$371, $C$372)))))</f>
        <v>Big Win</v>
      </c>
      <c r="BN131" s="32" t="str">
        <f t="shared" ref="BN131:BN162" si="150">IF(AV131 &gt; 0,$C$376,
IF(AX131 &gt; 0,$C$377,
IF(AZ131 &gt; 0,$C$378,
IF(BB131 &gt; 0,$C$379,
IF(BD131 &gt; 0,$C$380,
IF(BF131 &gt; 0,$C$381,
IF(BH131 &gt; 0,$C$382,
IF(BJ131 &gt; 0,$C$383,
IF(ISNUMBER(SEARCH("|||||||||",C131)), $C$384,$C$385)))))))))</f>
        <v>Combo Win</v>
      </c>
      <c r="BO131">
        <f>(D131/Summary!$C$4-Summary!$C$8)^2*E131</f>
        <v>403352.01000000007</v>
      </c>
      <c r="BP131">
        <f t="shared" si="145"/>
        <v>0</v>
      </c>
      <c r="BQ131">
        <f t="shared" si="146"/>
        <v>0</v>
      </c>
      <c r="BR131">
        <f t="shared" si="147"/>
        <v>0</v>
      </c>
      <c r="BS131">
        <f t="shared" si="148"/>
        <v>0</v>
      </c>
    </row>
    <row r="132" spans="2:71">
      <c r="B132" s="16">
        <f>Tiers!B133</f>
        <v>130</v>
      </c>
      <c r="C132" s="17" t="str">
        <f>Tiers!Y133</f>
        <v>main-0|main-0|main-1|main-10|main-20||||| x 20</v>
      </c>
      <c r="D132" s="18">
        <f>Tiers!C133</f>
        <v>58</v>
      </c>
      <c r="E132" s="19">
        <f>Frequency!E134</f>
        <v>4</v>
      </c>
      <c r="F132" s="19">
        <f t="shared" si="102"/>
        <v>232</v>
      </c>
      <c r="G132" s="19">
        <f>IF(Tiers!D133&gt;1,'Data Analysis'!E132,0)</f>
        <v>4</v>
      </c>
      <c r="H132" s="19">
        <f t="shared" si="103"/>
        <v>232</v>
      </c>
      <c r="I132" s="19">
        <f>IF(AND(D132/Summary!$C$4&gt;0, D132/Summary!$C$4&lt;5),E132,0) * D132</f>
        <v>0</v>
      </c>
      <c r="J132" s="19">
        <f>IF(AND(D132/Summary!$C$4&gt;= 5, D132/Summary!$C$4&lt;10),E132,0) * D132</f>
        <v>0</v>
      </c>
      <c r="K132" s="19">
        <f>IF(AND(D132/Summary!$C$4&gt;=10, D132/Summary!$C$4&lt;25),E132,0)*D132</f>
        <v>0</v>
      </c>
      <c r="L132" s="19">
        <f>IF(D132/Summary!$C$4&gt;=25,E132,0)*D132</f>
        <v>232</v>
      </c>
      <c r="M132" s="27">
        <f>IF(AND(D132/Summary!$C$4&gt;0, D132/Summary!$C$4&lt;1),E132,0)</f>
        <v>0</v>
      </c>
      <c r="N132" s="27">
        <f t="shared" si="104"/>
        <v>0</v>
      </c>
      <c r="O132" s="27">
        <f>IF(D132/Summary!$C$4=1,1,0)*E132</f>
        <v>0</v>
      </c>
      <c r="P132" s="27">
        <f t="shared" si="105"/>
        <v>0</v>
      </c>
      <c r="Q132" s="27">
        <f>IF(AND(D132/Summary!$C$4&gt;1, D132/Summary!$C$4&lt;=2),1,0)*E132</f>
        <v>0</v>
      </c>
      <c r="R132" s="27">
        <f t="shared" si="106"/>
        <v>0</v>
      </c>
      <c r="S132" s="27">
        <f>IF(AND(D132/Summary!$C$4&gt;2,D132/Summary!$C$4&lt;=5),1,0)*E132</f>
        <v>0</v>
      </c>
      <c r="T132" s="27">
        <f t="shared" si="107"/>
        <v>0</v>
      </c>
      <c r="U132" s="27">
        <f>IF(AND(D132/Summary!$C$4&gt;5, D132/Summary!$C$4&lt;=10),1,0)*E132</f>
        <v>0</v>
      </c>
      <c r="V132" s="27">
        <f t="shared" si="108"/>
        <v>0</v>
      </c>
      <c r="W132" s="27">
        <f>IF(AND(D132/Summary!$C$4&gt;10, D132/Summary!$C$4&lt;=20),1,0)*E132</f>
        <v>0</v>
      </c>
      <c r="X132" s="27">
        <f t="shared" si="109"/>
        <v>0</v>
      </c>
      <c r="Y132" s="27">
        <f>IF(AND(D132/Summary!$C$4&gt;20, D132/Summary!$C$4&lt;=30),1,0)*E132</f>
        <v>0</v>
      </c>
      <c r="Z132" s="27">
        <f t="shared" si="110"/>
        <v>0</v>
      </c>
      <c r="AA132" s="27">
        <f>IF(AND(D132/Summary!$C$4&gt;30, D132/Summary!$C$4&lt;=50),1,0)*E132</f>
        <v>0</v>
      </c>
      <c r="AB132" s="27">
        <f t="shared" si="111"/>
        <v>0</v>
      </c>
      <c r="AC132" s="27">
        <f>IF(AND(D132/Summary!$C$4&gt;50, D132/Summary!$C$4&lt;=100),1,0)*E132</f>
        <v>4</v>
      </c>
      <c r="AD132" s="27">
        <f t="shared" si="112"/>
        <v>232</v>
      </c>
      <c r="AE132" s="27">
        <f>IF(D132/Summary!$C$4&gt;100,1,0)*E132</f>
        <v>0</v>
      </c>
      <c r="AF132" s="27">
        <f t="shared" si="113"/>
        <v>0</v>
      </c>
      <c r="AG132" s="19">
        <f t="shared" si="114"/>
        <v>0</v>
      </c>
      <c r="AH132" s="19">
        <f t="shared" si="115"/>
        <v>0</v>
      </c>
      <c r="AI132" s="19">
        <f t="shared" si="116"/>
        <v>0</v>
      </c>
      <c r="AJ132" s="27">
        <f t="shared" si="117"/>
        <v>1</v>
      </c>
      <c r="AK132" s="27">
        <f t="shared" si="118"/>
        <v>4</v>
      </c>
      <c r="AL132" s="27">
        <f t="shared" si="119"/>
        <v>232</v>
      </c>
      <c r="AM132">
        <f t="shared" si="120"/>
        <v>0</v>
      </c>
      <c r="AN132">
        <f t="shared" si="121"/>
        <v>0</v>
      </c>
      <c r="AO132">
        <f t="shared" si="122"/>
        <v>0</v>
      </c>
      <c r="AP132">
        <f t="shared" si="123"/>
        <v>0</v>
      </c>
      <c r="AQ132">
        <f t="shared" si="124"/>
        <v>0</v>
      </c>
      <c r="AR132">
        <f t="shared" si="125"/>
        <v>0</v>
      </c>
      <c r="AS132">
        <f t="shared" si="126"/>
        <v>0</v>
      </c>
      <c r="AT132">
        <f t="shared" si="127"/>
        <v>0</v>
      </c>
      <c r="AU132">
        <f t="shared" si="128"/>
        <v>0</v>
      </c>
      <c r="AV132">
        <f t="shared" si="129"/>
        <v>0</v>
      </c>
      <c r="AW132">
        <f t="shared" si="130"/>
        <v>0</v>
      </c>
      <c r="AX132">
        <f t="shared" si="131"/>
        <v>0</v>
      </c>
      <c r="AY132">
        <f t="shared" si="132"/>
        <v>0</v>
      </c>
      <c r="AZ132">
        <f t="shared" si="133"/>
        <v>0</v>
      </c>
      <c r="BA132">
        <f t="shared" si="134"/>
        <v>0</v>
      </c>
      <c r="BB132">
        <f t="shared" si="135"/>
        <v>0</v>
      </c>
      <c r="BC132">
        <f t="shared" si="136"/>
        <v>0</v>
      </c>
      <c r="BD132">
        <f t="shared" si="137"/>
        <v>0</v>
      </c>
      <c r="BE132">
        <f t="shared" si="138"/>
        <v>0</v>
      </c>
      <c r="BF132">
        <f t="shared" si="139"/>
        <v>0</v>
      </c>
      <c r="BG132">
        <f t="shared" si="140"/>
        <v>0</v>
      </c>
      <c r="BH132">
        <f t="shared" si="141"/>
        <v>0</v>
      </c>
      <c r="BI132">
        <f t="shared" si="142"/>
        <v>0</v>
      </c>
      <c r="BJ132">
        <f t="shared" si="143"/>
        <v>0</v>
      </c>
      <c r="BK132">
        <f t="shared" si="144"/>
        <v>0</v>
      </c>
      <c r="BL132">
        <v>0</v>
      </c>
      <c r="BM132" t="str">
        <f t="shared" si="149"/>
        <v>Huge Win</v>
      </c>
      <c r="BN132" s="32" t="str">
        <f t="shared" si="150"/>
        <v>Combo Win</v>
      </c>
      <c r="BO132">
        <f>(D132/Summary!$C$4-Summary!$C$8)^2*E132</f>
        <v>13073.635600000001</v>
      </c>
      <c r="BP132">
        <f t="shared" si="145"/>
        <v>0</v>
      </c>
      <c r="BQ132">
        <f t="shared" si="146"/>
        <v>0</v>
      </c>
      <c r="BR132">
        <f t="shared" si="147"/>
        <v>0</v>
      </c>
      <c r="BS132">
        <f t="shared" si="148"/>
        <v>0</v>
      </c>
    </row>
    <row r="133" spans="2:71">
      <c r="B133" s="16">
        <f>Tiers!B134</f>
        <v>131</v>
      </c>
      <c r="C133" s="17" t="str">
        <f>Tiers!Y134</f>
        <v>main-10|bonusA-0|||||||| x 1</v>
      </c>
      <c r="D133" s="18">
        <f>Tiers!C134</f>
        <v>11</v>
      </c>
      <c r="E133" s="19">
        <f>Frequency!E135</f>
        <v>806</v>
      </c>
      <c r="F133" s="19">
        <f t="shared" si="102"/>
        <v>8866</v>
      </c>
      <c r="G133" s="19">
        <f>IF(Tiers!D134&gt;1,'Data Analysis'!E133,0)</f>
        <v>0</v>
      </c>
      <c r="H133" s="19">
        <f t="shared" si="103"/>
        <v>0</v>
      </c>
      <c r="I133" s="19">
        <f>IF(AND(D133/Summary!$C$4&gt;0, D133/Summary!$C$4&lt;5),E133,0) * D133</f>
        <v>0</v>
      </c>
      <c r="J133" s="19">
        <f>IF(AND(D133/Summary!$C$4&gt;= 5, D133/Summary!$C$4&lt;10),E133,0) * D133</f>
        <v>0</v>
      </c>
      <c r="K133" s="19">
        <f>IF(AND(D133/Summary!$C$4&gt;=10, D133/Summary!$C$4&lt;25),E133,0)*D133</f>
        <v>8866</v>
      </c>
      <c r="L133" s="19">
        <f>IF(D133/Summary!$C$4&gt;=25,E133,0)*D133</f>
        <v>0</v>
      </c>
      <c r="M133" s="27">
        <f>IF(AND(D133/Summary!$C$4&gt;0, D133/Summary!$C$4&lt;1),E133,0)</f>
        <v>0</v>
      </c>
      <c r="N133" s="27">
        <f t="shared" si="104"/>
        <v>0</v>
      </c>
      <c r="O133" s="27">
        <f>IF(D133/Summary!$C$4=1,1,0)*E133</f>
        <v>0</v>
      </c>
      <c r="P133" s="27">
        <f t="shared" si="105"/>
        <v>0</v>
      </c>
      <c r="Q133" s="27">
        <f>IF(AND(D133/Summary!$C$4&gt;1, D133/Summary!$C$4&lt;=2),1,0)*E133</f>
        <v>0</v>
      </c>
      <c r="R133" s="27">
        <f t="shared" si="106"/>
        <v>0</v>
      </c>
      <c r="S133" s="27">
        <f>IF(AND(D133/Summary!$C$4&gt;2,D133/Summary!$C$4&lt;=5),1,0)*E133</f>
        <v>0</v>
      </c>
      <c r="T133" s="27">
        <f t="shared" si="107"/>
        <v>0</v>
      </c>
      <c r="U133" s="27">
        <f>IF(AND(D133/Summary!$C$4&gt;5, D133/Summary!$C$4&lt;=10),1,0)*E133</f>
        <v>0</v>
      </c>
      <c r="V133" s="27">
        <f t="shared" si="108"/>
        <v>0</v>
      </c>
      <c r="W133" s="27">
        <f>IF(AND(D133/Summary!$C$4&gt;10, D133/Summary!$C$4&lt;=20),1,0)*E133</f>
        <v>806</v>
      </c>
      <c r="X133" s="27">
        <f t="shared" si="109"/>
        <v>8866</v>
      </c>
      <c r="Y133" s="27">
        <f>IF(AND(D133/Summary!$C$4&gt;20, D133/Summary!$C$4&lt;=30),1,0)*E133</f>
        <v>0</v>
      </c>
      <c r="Z133" s="27">
        <f t="shared" si="110"/>
        <v>0</v>
      </c>
      <c r="AA133" s="27">
        <f>IF(AND(D133/Summary!$C$4&gt;30, D133/Summary!$C$4&lt;=50),1,0)*E133</f>
        <v>0</v>
      </c>
      <c r="AB133" s="27">
        <f t="shared" si="111"/>
        <v>0</v>
      </c>
      <c r="AC133" s="27">
        <f>IF(AND(D133/Summary!$C$4&gt;50, D133/Summary!$C$4&lt;=100),1,0)*E133</f>
        <v>0</v>
      </c>
      <c r="AD133" s="27">
        <f t="shared" si="112"/>
        <v>0</v>
      </c>
      <c r="AE133" s="27">
        <f>IF(D133/Summary!$C$4&gt;100,1,0)*E133</f>
        <v>0</v>
      </c>
      <c r="AF133" s="27">
        <f t="shared" si="113"/>
        <v>0</v>
      </c>
      <c r="AG133" s="19">
        <f t="shared" si="114"/>
        <v>0</v>
      </c>
      <c r="AH133" s="19">
        <f t="shared" si="115"/>
        <v>806</v>
      </c>
      <c r="AI133" s="19">
        <f t="shared" si="116"/>
        <v>0</v>
      </c>
      <c r="AJ133" s="27">
        <f t="shared" si="117"/>
        <v>1</v>
      </c>
      <c r="AK133" s="27">
        <f t="shared" si="118"/>
        <v>806</v>
      </c>
      <c r="AL133" s="27">
        <f t="shared" si="119"/>
        <v>8866</v>
      </c>
      <c r="AM133">
        <f t="shared" si="120"/>
        <v>0</v>
      </c>
      <c r="AN133">
        <f t="shared" si="121"/>
        <v>0</v>
      </c>
      <c r="AO133">
        <f t="shared" si="122"/>
        <v>0</v>
      </c>
      <c r="AP133">
        <f t="shared" si="123"/>
        <v>0</v>
      </c>
      <c r="AQ133">
        <f t="shared" si="124"/>
        <v>0</v>
      </c>
      <c r="AR133">
        <f t="shared" si="125"/>
        <v>0</v>
      </c>
      <c r="AS133">
        <f t="shared" si="126"/>
        <v>0</v>
      </c>
      <c r="AT133">
        <f t="shared" si="127"/>
        <v>0</v>
      </c>
      <c r="AU133">
        <f t="shared" si="128"/>
        <v>0</v>
      </c>
      <c r="AV133">
        <f t="shared" si="129"/>
        <v>0</v>
      </c>
      <c r="AW133">
        <f t="shared" si="130"/>
        <v>0</v>
      </c>
      <c r="AX133">
        <f t="shared" si="131"/>
        <v>0</v>
      </c>
      <c r="AY133">
        <f t="shared" si="132"/>
        <v>0</v>
      </c>
      <c r="AZ133">
        <f t="shared" si="133"/>
        <v>0</v>
      </c>
      <c r="BA133">
        <f t="shared" si="134"/>
        <v>0</v>
      </c>
      <c r="BB133">
        <f t="shared" si="135"/>
        <v>0</v>
      </c>
      <c r="BC133">
        <f t="shared" si="136"/>
        <v>0</v>
      </c>
      <c r="BD133">
        <f t="shared" si="137"/>
        <v>806</v>
      </c>
      <c r="BE133">
        <f t="shared" si="138"/>
        <v>8866</v>
      </c>
      <c r="BF133">
        <f t="shared" si="139"/>
        <v>0</v>
      </c>
      <c r="BG133">
        <f t="shared" si="140"/>
        <v>0</v>
      </c>
      <c r="BH133">
        <f t="shared" si="141"/>
        <v>0</v>
      </c>
      <c r="BI133">
        <f t="shared" si="142"/>
        <v>0</v>
      </c>
      <c r="BJ133">
        <f t="shared" si="143"/>
        <v>0</v>
      </c>
      <c r="BK133">
        <f t="shared" si="144"/>
        <v>0</v>
      </c>
      <c r="BL133">
        <v>0</v>
      </c>
      <c r="BM133" t="str">
        <f t="shared" si="149"/>
        <v>Big Win</v>
      </c>
      <c r="BN133" s="32" t="str">
        <f t="shared" si="150"/>
        <v>Bonus Game A</v>
      </c>
      <c r="BO133">
        <f>(D133/Summary!$C$4-Summary!$C$8)^2*E133</f>
        <v>83363.693400000004</v>
      </c>
      <c r="BP133">
        <f t="shared" si="145"/>
        <v>0</v>
      </c>
      <c r="BQ133">
        <f t="shared" si="146"/>
        <v>0</v>
      </c>
      <c r="BR133">
        <f t="shared" si="147"/>
        <v>0</v>
      </c>
      <c r="BS133">
        <f t="shared" si="148"/>
        <v>0</v>
      </c>
    </row>
    <row r="134" spans="2:71">
      <c r="B134" s="16">
        <f>Tiers!B135</f>
        <v>132</v>
      </c>
      <c r="C134" s="17" t="str">
        <f>Tiers!Y135</f>
        <v>main-0|bonusA-1|||||||| x 1</v>
      </c>
      <c r="D134" s="18">
        <f>Tiers!C135</f>
        <v>15.1</v>
      </c>
      <c r="E134" s="19">
        <f>Frequency!E136</f>
        <v>597</v>
      </c>
      <c r="F134" s="19">
        <f t="shared" si="102"/>
        <v>9014.6999999999989</v>
      </c>
      <c r="G134" s="19">
        <f>IF(Tiers!D135&gt;1,'Data Analysis'!E134,0)</f>
        <v>0</v>
      </c>
      <c r="H134" s="19">
        <f t="shared" si="103"/>
        <v>0</v>
      </c>
      <c r="I134" s="19">
        <f>IF(AND(D134/Summary!$C$4&gt;0, D134/Summary!$C$4&lt;5),E134,0) * D134</f>
        <v>0</v>
      </c>
      <c r="J134" s="19">
        <f>IF(AND(D134/Summary!$C$4&gt;= 5, D134/Summary!$C$4&lt;10),E134,0) * D134</f>
        <v>0</v>
      </c>
      <c r="K134" s="19">
        <f>IF(AND(D134/Summary!$C$4&gt;=10, D134/Summary!$C$4&lt;25),E134,0)*D134</f>
        <v>9014.6999999999989</v>
      </c>
      <c r="L134" s="19">
        <f>IF(D134/Summary!$C$4&gt;=25,E134,0)*D134</f>
        <v>0</v>
      </c>
      <c r="M134" s="27">
        <f>IF(AND(D134/Summary!$C$4&gt;0, D134/Summary!$C$4&lt;1),E134,0)</f>
        <v>0</v>
      </c>
      <c r="N134" s="27">
        <f t="shared" si="104"/>
        <v>0</v>
      </c>
      <c r="O134" s="27">
        <f>IF(D134/Summary!$C$4=1,1,0)*E134</f>
        <v>0</v>
      </c>
      <c r="P134" s="27">
        <f t="shared" si="105"/>
        <v>0</v>
      </c>
      <c r="Q134" s="27">
        <f>IF(AND(D134/Summary!$C$4&gt;1, D134/Summary!$C$4&lt;=2),1,0)*E134</f>
        <v>0</v>
      </c>
      <c r="R134" s="27">
        <f t="shared" si="106"/>
        <v>0</v>
      </c>
      <c r="S134" s="27">
        <f>IF(AND(D134/Summary!$C$4&gt;2,D134/Summary!$C$4&lt;=5),1,0)*E134</f>
        <v>0</v>
      </c>
      <c r="T134" s="27">
        <f t="shared" si="107"/>
        <v>0</v>
      </c>
      <c r="U134" s="27">
        <f>IF(AND(D134/Summary!$C$4&gt;5, D134/Summary!$C$4&lt;=10),1,0)*E134</f>
        <v>0</v>
      </c>
      <c r="V134" s="27">
        <f t="shared" si="108"/>
        <v>0</v>
      </c>
      <c r="W134" s="27">
        <f>IF(AND(D134/Summary!$C$4&gt;10, D134/Summary!$C$4&lt;=20),1,0)*E134</f>
        <v>597</v>
      </c>
      <c r="X134" s="27">
        <f t="shared" si="109"/>
        <v>9014.6999999999989</v>
      </c>
      <c r="Y134" s="27">
        <f>IF(AND(D134/Summary!$C$4&gt;20, D134/Summary!$C$4&lt;=30),1,0)*E134</f>
        <v>0</v>
      </c>
      <c r="Z134" s="27">
        <f t="shared" si="110"/>
        <v>0</v>
      </c>
      <c r="AA134" s="27">
        <f>IF(AND(D134/Summary!$C$4&gt;30, D134/Summary!$C$4&lt;=50),1,0)*E134</f>
        <v>0</v>
      </c>
      <c r="AB134" s="27">
        <f t="shared" si="111"/>
        <v>0</v>
      </c>
      <c r="AC134" s="27">
        <f>IF(AND(D134/Summary!$C$4&gt;50, D134/Summary!$C$4&lt;=100),1,0)*E134</f>
        <v>0</v>
      </c>
      <c r="AD134" s="27">
        <f t="shared" si="112"/>
        <v>0</v>
      </c>
      <c r="AE134" s="27">
        <f>IF(D134/Summary!$C$4&gt;100,1,0)*E134</f>
        <v>0</v>
      </c>
      <c r="AF134" s="27">
        <f t="shared" si="113"/>
        <v>0</v>
      </c>
      <c r="AG134" s="19">
        <f t="shared" si="114"/>
        <v>0</v>
      </c>
      <c r="AH134" s="19">
        <f t="shared" si="115"/>
        <v>597</v>
      </c>
      <c r="AI134" s="19">
        <f t="shared" si="116"/>
        <v>0</v>
      </c>
      <c r="AJ134" s="27">
        <f t="shared" si="117"/>
        <v>1</v>
      </c>
      <c r="AK134" s="27">
        <f t="shared" si="118"/>
        <v>597</v>
      </c>
      <c r="AL134" s="27">
        <f t="shared" si="119"/>
        <v>9014.6999999999989</v>
      </c>
      <c r="AM134">
        <f t="shared" si="120"/>
        <v>0</v>
      </c>
      <c r="AN134">
        <f t="shared" si="121"/>
        <v>0</v>
      </c>
      <c r="AO134">
        <f t="shared" si="122"/>
        <v>0</v>
      </c>
      <c r="AP134">
        <f t="shared" si="123"/>
        <v>0</v>
      </c>
      <c r="AQ134">
        <f t="shared" si="124"/>
        <v>0</v>
      </c>
      <c r="AR134">
        <f t="shared" si="125"/>
        <v>0</v>
      </c>
      <c r="AS134">
        <f t="shared" si="126"/>
        <v>0</v>
      </c>
      <c r="AT134">
        <f t="shared" si="127"/>
        <v>0</v>
      </c>
      <c r="AU134">
        <f t="shared" si="128"/>
        <v>0</v>
      </c>
      <c r="AV134">
        <f t="shared" si="129"/>
        <v>0</v>
      </c>
      <c r="AW134">
        <f t="shared" si="130"/>
        <v>0</v>
      </c>
      <c r="AX134">
        <f t="shared" si="131"/>
        <v>0</v>
      </c>
      <c r="AY134">
        <f t="shared" si="132"/>
        <v>0</v>
      </c>
      <c r="AZ134">
        <f t="shared" si="133"/>
        <v>0</v>
      </c>
      <c r="BA134">
        <f t="shared" si="134"/>
        <v>0</v>
      </c>
      <c r="BB134">
        <f t="shared" si="135"/>
        <v>0</v>
      </c>
      <c r="BC134">
        <f t="shared" si="136"/>
        <v>0</v>
      </c>
      <c r="BD134">
        <f t="shared" si="137"/>
        <v>597</v>
      </c>
      <c r="BE134">
        <f t="shared" si="138"/>
        <v>9014.6999999999989</v>
      </c>
      <c r="BF134">
        <f t="shared" si="139"/>
        <v>0</v>
      </c>
      <c r="BG134">
        <f t="shared" si="140"/>
        <v>0</v>
      </c>
      <c r="BH134">
        <f t="shared" si="141"/>
        <v>0</v>
      </c>
      <c r="BI134">
        <f t="shared" si="142"/>
        <v>0</v>
      </c>
      <c r="BJ134">
        <f t="shared" si="143"/>
        <v>0</v>
      </c>
      <c r="BK134">
        <f t="shared" si="144"/>
        <v>0</v>
      </c>
      <c r="BL134">
        <v>0</v>
      </c>
      <c r="BM134" t="str">
        <f t="shared" si="149"/>
        <v>Big Win</v>
      </c>
      <c r="BN134" s="32" t="str">
        <f t="shared" si="150"/>
        <v>Bonus Game A</v>
      </c>
      <c r="BO134">
        <f>(D134/Summary!$C$4-Summary!$C$8)^2*E134</f>
        <v>121568.84129999999</v>
      </c>
      <c r="BP134">
        <f t="shared" si="145"/>
        <v>0</v>
      </c>
      <c r="BQ134">
        <f t="shared" si="146"/>
        <v>0</v>
      </c>
      <c r="BR134">
        <f t="shared" si="147"/>
        <v>0</v>
      </c>
      <c r="BS134">
        <f t="shared" si="148"/>
        <v>0</v>
      </c>
    </row>
    <row r="135" spans="2:71">
      <c r="B135" s="16">
        <f>Tiers!B136</f>
        <v>133</v>
      </c>
      <c r="C135" s="17" t="str">
        <f>Tiers!Y136</f>
        <v>main-11|bonusA-1|||||||| x 1</v>
      </c>
      <c r="D135" s="18">
        <f>Tiers!C136</f>
        <v>16.5</v>
      </c>
      <c r="E135" s="19">
        <f>Frequency!E137</f>
        <v>509</v>
      </c>
      <c r="F135" s="19">
        <f t="shared" si="102"/>
        <v>8398.5</v>
      </c>
      <c r="G135" s="19">
        <f>IF(Tiers!D136&gt;1,'Data Analysis'!E135,0)</f>
        <v>0</v>
      </c>
      <c r="H135" s="19">
        <f t="shared" si="103"/>
        <v>0</v>
      </c>
      <c r="I135" s="19">
        <f>IF(AND(D135/Summary!$C$4&gt;0, D135/Summary!$C$4&lt;5),E135,0) * D135</f>
        <v>0</v>
      </c>
      <c r="J135" s="19">
        <f>IF(AND(D135/Summary!$C$4&gt;= 5, D135/Summary!$C$4&lt;10),E135,0) * D135</f>
        <v>0</v>
      </c>
      <c r="K135" s="19">
        <f>IF(AND(D135/Summary!$C$4&gt;=10, D135/Summary!$C$4&lt;25),E135,0)*D135</f>
        <v>8398.5</v>
      </c>
      <c r="L135" s="19">
        <f>IF(D135/Summary!$C$4&gt;=25,E135,0)*D135</f>
        <v>0</v>
      </c>
      <c r="M135" s="27">
        <f>IF(AND(D135/Summary!$C$4&gt;0, D135/Summary!$C$4&lt;1),E135,0)</f>
        <v>0</v>
      </c>
      <c r="N135" s="27">
        <f t="shared" si="104"/>
        <v>0</v>
      </c>
      <c r="O135" s="27">
        <f>IF(D135/Summary!$C$4=1,1,0)*E135</f>
        <v>0</v>
      </c>
      <c r="P135" s="27">
        <f t="shared" si="105"/>
        <v>0</v>
      </c>
      <c r="Q135" s="27">
        <f>IF(AND(D135/Summary!$C$4&gt;1, D135/Summary!$C$4&lt;=2),1,0)*E135</f>
        <v>0</v>
      </c>
      <c r="R135" s="27">
        <f t="shared" si="106"/>
        <v>0</v>
      </c>
      <c r="S135" s="27">
        <f>IF(AND(D135/Summary!$C$4&gt;2,D135/Summary!$C$4&lt;=5),1,0)*E135</f>
        <v>0</v>
      </c>
      <c r="T135" s="27">
        <f t="shared" si="107"/>
        <v>0</v>
      </c>
      <c r="U135" s="27">
        <f>IF(AND(D135/Summary!$C$4&gt;5, D135/Summary!$C$4&lt;=10),1,0)*E135</f>
        <v>0</v>
      </c>
      <c r="V135" s="27">
        <f t="shared" si="108"/>
        <v>0</v>
      </c>
      <c r="W135" s="27">
        <f>IF(AND(D135/Summary!$C$4&gt;10, D135/Summary!$C$4&lt;=20),1,0)*E135</f>
        <v>509</v>
      </c>
      <c r="X135" s="27">
        <f t="shared" si="109"/>
        <v>8398.5</v>
      </c>
      <c r="Y135" s="27">
        <f>IF(AND(D135/Summary!$C$4&gt;20, D135/Summary!$C$4&lt;=30),1,0)*E135</f>
        <v>0</v>
      </c>
      <c r="Z135" s="27">
        <f t="shared" si="110"/>
        <v>0</v>
      </c>
      <c r="AA135" s="27">
        <f>IF(AND(D135/Summary!$C$4&gt;30, D135/Summary!$C$4&lt;=50),1,0)*E135</f>
        <v>0</v>
      </c>
      <c r="AB135" s="27">
        <f t="shared" si="111"/>
        <v>0</v>
      </c>
      <c r="AC135" s="27">
        <f>IF(AND(D135/Summary!$C$4&gt;50, D135/Summary!$C$4&lt;=100),1,0)*E135</f>
        <v>0</v>
      </c>
      <c r="AD135" s="27">
        <f t="shared" si="112"/>
        <v>0</v>
      </c>
      <c r="AE135" s="27">
        <f>IF(D135/Summary!$C$4&gt;100,1,0)*E135</f>
        <v>0</v>
      </c>
      <c r="AF135" s="27">
        <f t="shared" si="113"/>
        <v>0</v>
      </c>
      <c r="AG135" s="19">
        <f t="shared" si="114"/>
        <v>0</v>
      </c>
      <c r="AH135" s="19">
        <f t="shared" si="115"/>
        <v>509</v>
      </c>
      <c r="AI135" s="19">
        <f t="shared" si="116"/>
        <v>0</v>
      </c>
      <c r="AJ135" s="27">
        <f t="shared" si="117"/>
        <v>1</v>
      </c>
      <c r="AK135" s="27">
        <f t="shared" si="118"/>
        <v>509</v>
      </c>
      <c r="AL135" s="27">
        <f t="shared" si="119"/>
        <v>8398.5</v>
      </c>
      <c r="AM135">
        <f t="shared" si="120"/>
        <v>0</v>
      </c>
      <c r="AN135">
        <f t="shared" si="121"/>
        <v>0</v>
      </c>
      <c r="AO135">
        <f t="shared" si="122"/>
        <v>0</v>
      </c>
      <c r="AP135">
        <f t="shared" si="123"/>
        <v>0</v>
      </c>
      <c r="AQ135">
        <f t="shared" si="124"/>
        <v>0</v>
      </c>
      <c r="AR135">
        <f t="shared" si="125"/>
        <v>0</v>
      </c>
      <c r="AS135">
        <f t="shared" si="126"/>
        <v>0</v>
      </c>
      <c r="AT135">
        <f t="shared" si="127"/>
        <v>0</v>
      </c>
      <c r="AU135">
        <f t="shared" si="128"/>
        <v>0</v>
      </c>
      <c r="AV135">
        <f t="shared" si="129"/>
        <v>0</v>
      </c>
      <c r="AW135">
        <f t="shared" si="130"/>
        <v>0</v>
      </c>
      <c r="AX135">
        <f t="shared" si="131"/>
        <v>0</v>
      </c>
      <c r="AY135">
        <f t="shared" si="132"/>
        <v>0</v>
      </c>
      <c r="AZ135">
        <f t="shared" si="133"/>
        <v>0</v>
      </c>
      <c r="BA135">
        <f t="shared" si="134"/>
        <v>0</v>
      </c>
      <c r="BB135">
        <f t="shared" si="135"/>
        <v>0</v>
      </c>
      <c r="BC135">
        <f t="shared" si="136"/>
        <v>0</v>
      </c>
      <c r="BD135">
        <f t="shared" si="137"/>
        <v>509</v>
      </c>
      <c r="BE135">
        <f t="shared" si="138"/>
        <v>8398.5</v>
      </c>
      <c r="BF135">
        <f t="shared" si="139"/>
        <v>0</v>
      </c>
      <c r="BG135">
        <f t="shared" si="140"/>
        <v>0</v>
      </c>
      <c r="BH135">
        <f t="shared" si="141"/>
        <v>0</v>
      </c>
      <c r="BI135">
        <f t="shared" si="142"/>
        <v>0</v>
      </c>
      <c r="BJ135">
        <f t="shared" si="143"/>
        <v>0</v>
      </c>
      <c r="BK135">
        <f t="shared" si="144"/>
        <v>0</v>
      </c>
      <c r="BL135">
        <v>0</v>
      </c>
      <c r="BM135" t="str">
        <f t="shared" si="149"/>
        <v>Big Win</v>
      </c>
      <c r="BN135" s="32" t="str">
        <f t="shared" si="150"/>
        <v>Bonus Game A</v>
      </c>
      <c r="BO135">
        <f>(D135/Summary!$C$4-Summary!$C$8)^2*E135</f>
        <v>124984.3901</v>
      </c>
      <c r="BP135">
        <f t="shared" si="145"/>
        <v>0</v>
      </c>
      <c r="BQ135">
        <f t="shared" si="146"/>
        <v>0</v>
      </c>
      <c r="BR135">
        <f t="shared" si="147"/>
        <v>0</v>
      </c>
      <c r="BS135">
        <f t="shared" si="148"/>
        <v>0</v>
      </c>
    </row>
    <row r="136" spans="2:71">
      <c r="B136" s="16">
        <f>Tiers!B137</f>
        <v>134</v>
      </c>
      <c r="C136" s="17" t="str">
        <f>Tiers!Y137</f>
        <v>main-30|bonusA-1|||||||| x 1</v>
      </c>
      <c r="D136" s="18">
        <f>Tiers!C137</f>
        <v>17</v>
      </c>
      <c r="E136" s="19">
        <f>Frequency!E138</f>
        <v>100</v>
      </c>
      <c r="F136" s="19">
        <f t="shared" si="102"/>
        <v>1700</v>
      </c>
      <c r="G136" s="19">
        <f>IF(Tiers!D137&gt;1,'Data Analysis'!E136,0)</f>
        <v>0</v>
      </c>
      <c r="H136" s="19">
        <f t="shared" si="103"/>
        <v>0</v>
      </c>
      <c r="I136" s="19">
        <f>IF(AND(D136/Summary!$C$4&gt;0, D136/Summary!$C$4&lt;5),E136,0) * D136</f>
        <v>0</v>
      </c>
      <c r="J136" s="19">
        <f>IF(AND(D136/Summary!$C$4&gt;= 5, D136/Summary!$C$4&lt;10),E136,0) * D136</f>
        <v>0</v>
      </c>
      <c r="K136" s="19">
        <f>IF(AND(D136/Summary!$C$4&gt;=10, D136/Summary!$C$4&lt;25),E136,0)*D136</f>
        <v>1700</v>
      </c>
      <c r="L136" s="19">
        <f>IF(D136/Summary!$C$4&gt;=25,E136,0)*D136</f>
        <v>0</v>
      </c>
      <c r="M136" s="27">
        <f>IF(AND(D136/Summary!$C$4&gt;0, D136/Summary!$C$4&lt;1),E136,0)</f>
        <v>0</v>
      </c>
      <c r="N136" s="27">
        <f t="shared" si="104"/>
        <v>0</v>
      </c>
      <c r="O136" s="27">
        <f>IF(D136/Summary!$C$4=1,1,0)*E136</f>
        <v>0</v>
      </c>
      <c r="P136" s="27">
        <f t="shared" si="105"/>
        <v>0</v>
      </c>
      <c r="Q136" s="27">
        <f>IF(AND(D136/Summary!$C$4&gt;1, D136/Summary!$C$4&lt;=2),1,0)*E136</f>
        <v>0</v>
      </c>
      <c r="R136" s="27">
        <f t="shared" si="106"/>
        <v>0</v>
      </c>
      <c r="S136" s="27">
        <f>IF(AND(D136/Summary!$C$4&gt;2,D136/Summary!$C$4&lt;=5),1,0)*E136</f>
        <v>0</v>
      </c>
      <c r="T136" s="27">
        <f t="shared" si="107"/>
        <v>0</v>
      </c>
      <c r="U136" s="27">
        <f>IF(AND(D136/Summary!$C$4&gt;5, D136/Summary!$C$4&lt;=10),1,0)*E136</f>
        <v>0</v>
      </c>
      <c r="V136" s="27">
        <f t="shared" si="108"/>
        <v>0</v>
      </c>
      <c r="W136" s="27">
        <f>IF(AND(D136/Summary!$C$4&gt;10, D136/Summary!$C$4&lt;=20),1,0)*E136</f>
        <v>100</v>
      </c>
      <c r="X136" s="27">
        <f t="shared" si="109"/>
        <v>1700</v>
      </c>
      <c r="Y136" s="27">
        <f>IF(AND(D136/Summary!$C$4&gt;20, D136/Summary!$C$4&lt;=30),1,0)*E136</f>
        <v>0</v>
      </c>
      <c r="Z136" s="27">
        <f t="shared" si="110"/>
        <v>0</v>
      </c>
      <c r="AA136" s="27">
        <f>IF(AND(D136/Summary!$C$4&gt;30, D136/Summary!$C$4&lt;=50),1,0)*E136</f>
        <v>0</v>
      </c>
      <c r="AB136" s="27">
        <f t="shared" si="111"/>
        <v>0</v>
      </c>
      <c r="AC136" s="27">
        <f>IF(AND(D136/Summary!$C$4&gt;50, D136/Summary!$C$4&lt;=100),1,0)*E136</f>
        <v>0</v>
      </c>
      <c r="AD136" s="27">
        <f t="shared" si="112"/>
        <v>0</v>
      </c>
      <c r="AE136" s="27">
        <f>IF(D136/Summary!$C$4&gt;100,1,0)*E136</f>
        <v>0</v>
      </c>
      <c r="AF136" s="27">
        <f t="shared" si="113"/>
        <v>0</v>
      </c>
      <c r="AG136" s="19">
        <f t="shared" si="114"/>
        <v>0</v>
      </c>
      <c r="AH136" s="19">
        <f t="shared" si="115"/>
        <v>100</v>
      </c>
      <c r="AI136" s="19">
        <f t="shared" si="116"/>
        <v>0</v>
      </c>
      <c r="AJ136" s="27">
        <f t="shared" si="117"/>
        <v>1</v>
      </c>
      <c r="AK136" s="27">
        <f t="shared" si="118"/>
        <v>100</v>
      </c>
      <c r="AL136" s="27">
        <f t="shared" si="119"/>
        <v>1700</v>
      </c>
      <c r="AM136">
        <f t="shared" si="120"/>
        <v>0</v>
      </c>
      <c r="AN136">
        <f t="shared" si="121"/>
        <v>0</v>
      </c>
      <c r="AO136">
        <f t="shared" si="122"/>
        <v>0</v>
      </c>
      <c r="AP136">
        <f t="shared" si="123"/>
        <v>0</v>
      </c>
      <c r="AQ136">
        <f t="shared" si="124"/>
        <v>0</v>
      </c>
      <c r="AR136">
        <f t="shared" si="125"/>
        <v>0</v>
      </c>
      <c r="AS136">
        <f t="shared" si="126"/>
        <v>0</v>
      </c>
      <c r="AT136">
        <f t="shared" si="127"/>
        <v>0</v>
      </c>
      <c r="AU136">
        <f t="shared" si="128"/>
        <v>0</v>
      </c>
      <c r="AV136">
        <f t="shared" si="129"/>
        <v>0</v>
      </c>
      <c r="AW136">
        <f t="shared" si="130"/>
        <v>0</v>
      </c>
      <c r="AX136">
        <f t="shared" si="131"/>
        <v>0</v>
      </c>
      <c r="AY136">
        <f t="shared" si="132"/>
        <v>0</v>
      </c>
      <c r="AZ136">
        <f t="shared" si="133"/>
        <v>0</v>
      </c>
      <c r="BA136">
        <f t="shared" si="134"/>
        <v>0</v>
      </c>
      <c r="BB136">
        <f t="shared" si="135"/>
        <v>0</v>
      </c>
      <c r="BC136">
        <f t="shared" si="136"/>
        <v>0</v>
      </c>
      <c r="BD136">
        <f t="shared" si="137"/>
        <v>100</v>
      </c>
      <c r="BE136">
        <f t="shared" si="138"/>
        <v>1700</v>
      </c>
      <c r="BF136">
        <f t="shared" si="139"/>
        <v>0</v>
      </c>
      <c r="BG136">
        <f t="shared" si="140"/>
        <v>0</v>
      </c>
      <c r="BH136">
        <f t="shared" si="141"/>
        <v>0</v>
      </c>
      <c r="BI136">
        <f t="shared" si="142"/>
        <v>0</v>
      </c>
      <c r="BJ136">
        <f t="shared" si="143"/>
        <v>0</v>
      </c>
      <c r="BK136">
        <f t="shared" si="144"/>
        <v>0</v>
      </c>
      <c r="BL136">
        <v>0</v>
      </c>
      <c r="BM136" t="str">
        <f t="shared" si="149"/>
        <v>Big Win</v>
      </c>
      <c r="BN136" s="32" t="str">
        <f t="shared" si="150"/>
        <v>Bonus Game A</v>
      </c>
      <c r="BO136">
        <f>(D136/Summary!$C$4-Summary!$C$8)^2*E136</f>
        <v>26146.890000000007</v>
      </c>
      <c r="BP136">
        <f t="shared" si="145"/>
        <v>0</v>
      </c>
      <c r="BQ136">
        <f t="shared" si="146"/>
        <v>0</v>
      </c>
      <c r="BR136">
        <f t="shared" si="147"/>
        <v>0</v>
      </c>
      <c r="BS136">
        <f t="shared" si="148"/>
        <v>0</v>
      </c>
    </row>
    <row r="137" spans="2:71">
      <c r="B137" s="16">
        <f>Tiers!B138</f>
        <v>135</v>
      </c>
      <c r="C137" s="17" t="str">
        <f>Tiers!Y138</f>
        <v>main-1|bonusA-2|||||||| x 1</v>
      </c>
      <c r="D137" s="18">
        <f>Tiers!C138</f>
        <v>20.2</v>
      </c>
      <c r="E137" s="19">
        <f>Frequency!E139</f>
        <v>100</v>
      </c>
      <c r="F137" s="19">
        <f t="shared" si="102"/>
        <v>2020</v>
      </c>
      <c r="G137" s="19">
        <f>IF(Tiers!D138&gt;1,'Data Analysis'!E137,0)</f>
        <v>0</v>
      </c>
      <c r="H137" s="19">
        <f t="shared" si="103"/>
        <v>0</v>
      </c>
      <c r="I137" s="19">
        <f>IF(AND(D137/Summary!$C$4&gt;0, D137/Summary!$C$4&lt;5),E137,0) * D137</f>
        <v>0</v>
      </c>
      <c r="J137" s="19">
        <f>IF(AND(D137/Summary!$C$4&gt;= 5, D137/Summary!$C$4&lt;10),E137,0) * D137</f>
        <v>0</v>
      </c>
      <c r="K137" s="19">
        <f>IF(AND(D137/Summary!$C$4&gt;=10, D137/Summary!$C$4&lt;25),E137,0)*D137</f>
        <v>2020</v>
      </c>
      <c r="L137" s="19">
        <f>IF(D137/Summary!$C$4&gt;=25,E137,0)*D137</f>
        <v>0</v>
      </c>
      <c r="M137" s="27">
        <f>IF(AND(D137/Summary!$C$4&gt;0, D137/Summary!$C$4&lt;1),E137,0)</f>
        <v>0</v>
      </c>
      <c r="N137" s="27">
        <f t="shared" si="104"/>
        <v>0</v>
      </c>
      <c r="O137" s="27">
        <f>IF(D137/Summary!$C$4=1,1,0)*E137</f>
        <v>0</v>
      </c>
      <c r="P137" s="27">
        <f t="shared" si="105"/>
        <v>0</v>
      </c>
      <c r="Q137" s="27">
        <f>IF(AND(D137/Summary!$C$4&gt;1, D137/Summary!$C$4&lt;=2),1,0)*E137</f>
        <v>0</v>
      </c>
      <c r="R137" s="27">
        <f t="shared" si="106"/>
        <v>0</v>
      </c>
      <c r="S137" s="27">
        <f>IF(AND(D137/Summary!$C$4&gt;2,D137/Summary!$C$4&lt;=5),1,0)*E137</f>
        <v>0</v>
      </c>
      <c r="T137" s="27">
        <f t="shared" si="107"/>
        <v>0</v>
      </c>
      <c r="U137" s="27">
        <f>IF(AND(D137/Summary!$C$4&gt;5, D137/Summary!$C$4&lt;=10),1,0)*E137</f>
        <v>0</v>
      </c>
      <c r="V137" s="27">
        <f t="shared" si="108"/>
        <v>0</v>
      </c>
      <c r="W137" s="27">
        <f>IF(AND(D137/Summary!$C$4&gt;10, D137/Summary!$C$4&lt;=20),1,0)*E137</f>
        <v>0</v>
      </c>
      <c r="X137" s="27">
        <f t="shared" si="109"/>
        <v>0</v>
      </c>
      <c r="Y137" s="27">
        <f>IF(AND(D137/Summary!$C$4&gt;20, D137/Summary!$C$4&lt;=30),1,0)*E137</f>
        <v>100</v>
      </c>
      <c r="Z137" s="27">
        <f t="shared" si="110"/>
        <v>2020</v>
      </c>
      <c r="AA137" s="27">
        <f>IF(AND(D137/Summary!$C$4&gt;30, D137/Summary!$C$4&lt;=50),1,0)*E137</f>
        <v>0</v>
      </c>
      <c r="AB137" s="27">
        <f t="shared" si="111"/>
        <v>0</v>
      </c>
      <c r="AC137" s="27">
        <f>IF(AND(D137/Summary!$C$4&gt;50, D137/Summary!$C$4&lt;=100),1,0)*E137</f>
        <v>0</v>
      </c>
      <c r="AD137" s="27">
        <f t="shared" si="112"/>
        <v>0</v>
      </c>
      <c r="AE137" s="27">
        <f>IF(D137/Summary!$C$4&gt;100,1,0)*E137</f>
        <v>0</v>
      </c>
      <c r="AF137" s="27">
        <f t="shared" si="113"/>
        <v>0</v>
      </c>
      <c r="AG137" s="19">
        <f t="shared" si="114"/>
        <v>0</v>
      </c>
      <c r="AH137" s="19">
        <f t="shared" si="115"/>
        <v>100</v>
      </c>
      <c r="AI137" s="19">
        <f t="shared" si="116"/>
        <v>0</v>
      </c>
      <c r="AJ137" s="27">
        <f t="shared" si="117"/>
        <v>1</v>
      </c>
      <c r="AK137" s="27">
        <f t="shared" si="118"/>
        <v>100</v>
      </c>
      <c r="AL137" s="27">
        <f t="shared" si="119"/>
        <v>2020</v>
      </c>
      <c r="AM137">
        <f t="shared" si="120"/>
        <v>0</v>
      </c>
      <c r="AN137">
        <f t="shared" si="121"/>
        <v>0</v>
      </c>
      <c r="AO137">
        <f t="shared" si="122"/>
        <v>0</v>
      </c>
      <c r="AP137">
        <f t="shared" si="123"/>
        <v>0</v>
      </c>
      <c r="AQ137">
        <f t="shared" si="124"/>
        <v>0</v>
      </c>
      <c r="AR137">
        <f t="shared" si="125"/>
        <v>0</v>
      </c>
      <c r="AS137">
        <f t="shared" si="126"/>
        <v>0</v>
      </c>
      <c r="AT137">
        <f t="shared" si="127"/>
        <v>0</v>
      </c>
      <c r="AU137">
        <f t="shared" si="128"/>
        <v>0</v>
      </c>
      <c r="AV137">
        <f t="shared" si="129"/>
        <v>0</v>
      </c>
      <c r="AW137">
        <f t="shared" si="130"/>
        <v>0</v>
      </c>
      <c r="AX137">
        <f t="shared" si="131"/>
        <v>0</v>
      </c>
      <c r="AY137">
        <f t="shared" si="132"/>
        <v>0</v>
      </c>
      <c r="AZ137">
        <f t="shared" si="133"/>
        <v>0</v>
      </c>
      <c r="BA137">
        <f t="shared" si="134"/>
        <v>0</v>
      </c>
      <c r="BB137">
        <f t="shared" si="135"/>
        <v>0</v>
      </c>
      <c r="BC137">
        <f t="shared" si="136"/>
        <v>0</v>
      </c>
      <c r="BD137">
        <f t="shared" si="137"/>
        <v>100</v>
      </c>
      <c r="BE137">
        <f t="shared" si="138"/>
        <v>2020</v>
      </c>
      <c r="BF137">
        <f t="shared" si="139"/>
        <v>0</v>
      </c>
      <c r="BG137">
        <f t="shared" si="140"/>
        <v>0</v>
      </c>
      <c r="BH137">
        <f t="shared" si="141"/>
        <v>0</v>
      </c>
      <c r="BI137">
        <f t="shared" si="142"/>
        <v>0</v>
      </c>
      <c r="BJ137">
        <f t="shared" si="143"/>
        <v>0</v>
      </c>
      <c r="BK137">
        <f t="shared" si="144"/>
        <v>0</v>
      </c>
      <c r="BL137">
        <v>0</v>
      </c>
      <c r="BM137" t="str">
        <f t="shared" si="149"/>
        <v>Big Win</v>
      </c>
      <c r="BN137" s="32" t="str">
        <f t="shared" si="150"/>
        <v>Bonus Game A</v>
      </c>
      <c r="BO137">
        <f>(D137/Summary!$C$4-Summary!$C$8)^2*E137</f>
        <v>37519.69</v>
      </c>
      <c r="BP137">
        <f t="shared" si="145"/>
        <v>0</v>
      </c>
      <c r="BQ137">
        <f t="shared" si="146"/>
        <v>0</v>
      </c>
      <c r="BR137">
        <f t="shared" si="147"/>
        <v>0</v>
      </c>
      <c r="BS137">
        <f t="shared" si="148"/>
        <v>0</v>
      </c>
    </row>
    <row r="138" spans="2:71">
      <c r="B138" s="16">
        <f>Tiers!B139</f>
        <v>136</v>
      </c>
      <c r="C138" s="17" t="str">
        <f>Tiers!Y139</f>
        <v>main-4|bonusA-2|||||||| x 1</v>
      </c>
      <c r="D138" s="18">
        <f>Tiers!C139</f>
        <v>21.5</v>
      </c>
      <c r="E138" s="19">
        <f>Frequency!E140</f>
        <v>100</v>
      </c>
      <c r="F138" s="19">
        <f t="shared" si="102"/>
        <v>2150</v>
      </c>
      <c r="G138" s="19">
        <f>IF(Tiers!D139&gt;1,'Data Analysis'!E138,0)</f>
        <v>0</v>
      </c>
      <c r="H138" s="19">
        <f t="shared" si="103"/>
        <v>0</v>
      </c>
      <c r="I138" s="19">
        <f>IF(AND(D138/Summary!$C$4&gt;0, D138/Summary!$C$4&lt;5),E138,0) * D138</f>
        <v>0</v>
      </c>
      <c r="J138" s="19">
        <f>IF(AND(D138/Summary!$C$4&gt;= 5, D138/Summary!$C$4&lt;10),E138,0) * D138</f>
        <v>0</v>
      </c>
      <c r="K138" s="19">
        <f>IF(AND(D138/Summary!$C$4&gt;=10, D138/Summary!$C$4&lt;25),E138,0)*D138</f>
        <v>2150</v>
      </c>
      <c r="L138" s="19">
        <f>IF(D138/Summary!$C$4&gt;=25,E138,0)*D138</f>
        <v>0</v>
      </c>
      <c r="M138" s="27">
        <f>IF(AND(D138/Summary!$C$4&gt;0, D138/Summary!$C$4&lt;1),E138,0)</f>
        <v>0</v>
      </c>
      <c r="N138" s="27">
        <f t="shared" si="104"/>
        <v>0</v>
      </c>
      <c r="O138" s="27">
        <f>IF(D138/Summary!$C$4=1,1,0)*E138</f>
        <v>0</v>
      </c>
      <c r="P138" s="27">
        <f t="shared" si="105"/>
        <v>0</v>
      </c>
      <c r="Q138" s="27">
        <f>IF(AND(D138/Summary!$C$4&gt;1, D138/Summary!$C$4&lt;=2),1,0)*E138</f>
        <v>0</v>
      </c>
      <c r="R138" s="27">
        <f t="shared" si="106"/>
        <v>0</v>
      </c>
      <c r="S138" s="27">
        <f>IF(AND(D138/Summary!$C$4&gt;2,D138/Summary!$C$4&lt;=5),1,0)*E138</f>
        <v>0</v>
      </c>
      <c r="T138" s="27">
        <f t="shared" si="107"/>
        <v>0</v>
      </c>
      <c r="U138" s="27">
        <f>IF(AND(D138/Summary!$C$4&gt;5, D138/Summary!$C$4&lt;=10),1,0)*E138</f>
        <v>0</v>
      </c>
      <c r="V138" s="27">
        <f t="shared" si="108"/>
        <v>0</v>
      </c>
      <c r="W138" s="27">
        <f>IF(AND(D138/Summary!$C$4&gt;10, D138/Summary!$C$4&lt;=20),1,0)*E138</f>
        <v>0</v>
      </c>
      <c r="X138" s="27">
        <f t="shared" si="109"/>
        <v>0</v>
      </c>
      <c r="Y138" s="27">
        <f>IF(AND(D138/Summary!$C$4&gt;20, D138/Summary!$C$4&lt;=30),1,0)*E138</f>
        <v>100</v>
      </c>
      <c r="Z138" s="27">
        <f t="shared" si="110"/>
        <v>2150</v>
      </c>
      <c r="AA138" s="27">
        <f>IF(AND(D138/Summary!$C$4&gt;30, D138/Summary!$C$4&lt;=50),1,0)*E138</f>
        <v>0</v>
      </c>
      <c r="AB138" s="27">
        <f t="shared" si="111"/>
        <v>0</v>
      </c>
      <c r="AC138" s="27">
        <f>IF(AND(D138/Summary!$C$4&gt;50, D138/Summary!$C$4&lt;=100),1,0)*E138</f>
        <v>0</v>
      </c>
      <c r="AD138" s="27">
        <f t="shared" si="112"/>
        <v>0</v>
      </c>
      <c r="AE138" s="27">
        <f>IF(D138/Summary!$C$4&gt;100,1,0)*E138</f>
        <v>0</v>
      </c>
      <c r="AF138" s="27">
        <f t="shared" si="113"/>
        <v>0</v>
      </c>
      <c r="AG138" s="19">
        <f t="shared" si="114"/>
        <v>0</v>
      </c>
      <c r="AH138" s="19">
        <f t="shared" si="115"/>
        <v>100</v>
      </c>
      <c r="AI138" s="19">
        <f t="shared" si="116"/>
        <v>0</v>
      </c>
      <c r="AJ138" s="27">
        <f t="shared" si="117"/>
        <v>1</v>
      </c>
      <c r="AK138" s="27">
        <f t="shared" si="118"/>
        <v>100</v>
      </c>
      <c r="AL138" s="27">
        <f t="shared" si="119"/>
        <v>2150</v>
      </c>
      <c r="AM138">
        <f t="shared" si="120"/>
        <v>0</v>
      </c>
      <c r="AN138">
        <f t="shared" si="121"/>
        <v>0</v>
      </c>
      <c r="AO138">
        <f t="shared" si="122"/>
        <v>0</v>
      </c>
      <c r="AP138">
        <f t="shared" si="123"/>
        <v>0</v>
      </c>
      <c r="AQ138">
        <f t="shared" si="124"/>
        <v>0</v>
      </c>
      <c r="AR138">
        <f t="shared" si="125"/>
        <v>0</v>
      </c>
      <c r="AS138">
        <f t="shared" si="126"/>
        <v>0</v>
      </c>
      <c r="AT138">
        <f t="shared" si="127"/>
        <v>0</v>
      </c>
      <c r="AU138">
        <f t="shared" si="128"/>
        <v>0</v>
      </c>
      <c r="AV138">
        <f t="shared" si="129"/>
        <v>0</v>
      </c>
      <c r="AW138">
        <f t="shared" si="130"/>
        <v>0</v>
      </c>
      <c r="AX138">
        <f t="shared" si="131"/>
        <v>0</v>
      </c>
      <c r="AY138">
        <f t="shared" si="132"/>
        <v>0</v>
      </c>
      <c r="AZ138">
        <f t="shared" si="133"/>
        <v>0</v>
      </c>
      <c r="BA138">
        <f t="shared" si="134"/>
        <v>0</v>
      </c>
      <c r="BB138">
        <f t="shared" si="135"/>
        <v>0</v>
      </c>
      <c r="BC138">
        <f t="shared" si="136"/>
        <v>0</v>
      </c>
      <c r="BD138">
        <f t="shared" si="137"/>
        <v>100</v>
      </c>
      <c r="BE138">
        <f t="shared" si="138"/>
        <v>2150</v>
      </c>
      <c r="BF138">
        <f t="shared" si="139"/>
        <v>0</v>
      </c>
      <c r="BG138">
        <f t="shared" si="140"/>
        <v>0</v>
      </c>
      <c r="BH138">
        <f t="shared" si="141"/>
        <v>0</v>
      </c>
      <c r="BI138">
        <f t="shared" si="142"/>
        <v>0</v>
      </c>
      <c r="BJ138">
        <f t="shared" si="143"/>
        <v>0</v>
      </c>
      <c r="BK138">
        <f t="shared" si="144"/>
        <v>0</v>
      </c>
      <c r="BL138">
        <v>0</v>
      </c>
      <c r="BM138" t="str">
        <f t="shared" si="149"/>
        <v>Big Win</v>
      </c>
      <c r="BN138" s="32" t="str">
        <f t="shared" si="150"/>
        <v>Bonus Game A</v>
      </c>
      <c r="BO138">
        <f>(D138/Summary!$C$4-Summary!$C$8)^2*E138</f>
        <v>42724.890000000007</v>
      </c>
      <c r="BP138">
        <f t="shared" si="145"/>
        <v>0</v>
      </c>
      <c r="BQ138">
        <f t="shared" si="146"/>
        <v>0</v>
      </c>
      <c r="BR138">
        <f t="shared" si="147"/>
        <v>0</v>
      </c>
      <c r="BS138">
        <f t="shared" si="148"/>
        <v>0</v>
      </c>
    </row>
    <row r="139" spans="2:71">
      <c r="B139" s="16">
        <f>Tiers!B140</f>
        <v>137</v>
      </c>
      <c r="C139" s="17" t="str">
        <f>Tiers!Y140</f>
        <v>main-12|bonusA-2|||||||| x 1</v>
      </c>
      <c r="D139" s="18">
        <f>Tiers!C140</f>
        <v>22</v>
      </c>
      <c r="E139" s="19">
        <f>Frequency!E141</f>
        <v>100</v>
      </c>
      <c r="F139" s="19">
        <f t="shared" si="102"/>
        <v>2200</v>
      </c>
      <c r="G139" s="19">
        <f>IF(Tiers!D140&gt;1,'Data Analysis'!E139,0)</f>
        <v>0</v>
      </c>
      <c r="H139" s="19">
        <f t="shared" si="103"/>
        <v>0</v>
      </c>
      <c r="I139" s="19">
        <f>IF(AND(D139/Summary!$C$4&gt;0, D139/Summary!$C$4&lt;5),E139,0) * D139</f>
        <v>0</v>
      </c>
      <c r="J139" s="19">
        <f>IF(AND(D139/Summary!$C$4&gt;= 5, D139/Summary!$C$4&lt;10),E139,0) * D139</f>
        <v>0</v>
      </c>
      <c r="K139" s="19">
        <f>IF(AND(D139/Summary!$C$4&gt;=10, D139/Summary!$C$4&lt;25),E139,0)*D139</f>
        <v>2200</v>
      </c>
      <c r="L139" s="19">
        <f>IF(D139/Summary!$C$4&gt;=25,E139,0)*D139</f>
        <v>0</v>
      </c>
      <c r="M139" s="27">
        <f>IF(AND(D139/Summary!$C$4&gt;0, D139/Summary!$C$4&lt;1),E139,0)</f>
        <v>0</v>
      </c>
      <c r="N139" s="27">
        <f t="shared" si="104"/>
        <v>0</v>
      </c>
      <c r="O139" s="27">
        <f>IF(D139/Summary!$C$4=1,1,0)*E139</f>
        <v>0</v>
      </c>
      <c r="P139" s="27">
        <f t="shared" si="105"/>
        <v>0</v>
      </c>
      <c r="Q139" s="27">
        <f>IF(AND(D139/Summary!$C$4&gt;1, D139/Summary!$C$4&lt;=2),1,0)*E139</f>
        <v>0</v>
      </c>
      <c r="R139" s="27">
        <f t="shared" si="106"/>
        <v>0</v>
      </c>
      <c r="S139" s="27">
        <f>IF(AND(D139/Summary!$C$4&gt;2,D139/Summary!$C$4&lt;=5),1,0)*E139</f>
        <v>0</v>
      </c>
      <c r="T139" s="27">
        <f t="shared" si="107"/>
        <v>0</v>
      </c>
      <c r="U139" s="27">
        <f>IF(AND(D139/Summary!$C$4&gt;5, D139/Summary!$C$4&lt;=10),1,0)*E139</f>
        <v>0</v>
      </c>
      <c r="V139" s="27">
        <f t="shared" si="108"/>
        <v>0</v>
      </c>
      <c r="W139" s="27">
        <f>IF(AND(D139/Summary!$C$4&gt;10, D139/Summary!$C$4&lt;=20),1,0)*E139</f>
        <v>0</v>
      </c>
      <c r="X139" s="27">
        <f t="shared" si="109"/>
        <v>0</v>
      </c>
      <c r="Y139" s="27">
        <f>IF(AND(D139/Summary!$C$4&gt;20, D139/Summary!$C$4&lt;=30),1,0)*E139</f>
        <v>100</v>
      </c>
      <c r="Z139" s="27">
        <f t="shared" si="110"/>
        <v>2200</v>
      </c>
      <c r="AA139" s="27">
        <f>IF(AND(D139/Summary!$C$4&gt;30, D139/Summary!$C$4&lt;=50),1,0)*E139</f>
        <v>0</v>
      </c>
      <c r="AB139" s="27">
        <f t="shared" si="111"/>
        <v>0</v>
      </c>
      <c r="AC139" s="27">
        <f>IF(AND(D139/Summary!$C$4&gt;50, D139/Summary!$C$4&lt;=100),1,0)*E139</f>
        <v>0</v>
      </c>
      <c r="AD139" s="27">
        <f t="shared" si="112"/>
        <v>0</v>
      </c>
      <c r="AE139" s="27">
        <f>IF(D139/Summary!$C$4&gt;100,1,0)*E139</f>
        <v>0</v>
      </c>
      <c r="AF139" s="27">
        <f t="shared" si="113"/>
        <v>0</v>
      </c>
      <c r="AG139" s="19">
        <f t="shared" si="114"/>
        <v>0</v>
      </c>
      <c r="AH139" s="19">
        <f t="shared" si="115"/>
        <v>100</v>
      </c>
      <c r="AI139" s="19">
        <f t="shared" si="116"/>
        <v>0</v>
      </c>
      <c r="AJ139" s="27">
        <f t="shared" si="117"/>
        <v>1</v>
      </c>
      <c r="AK139" s="27">
        <f t="shared" si="118"/>
        <v>100</v>
      </c>
      <c r="AL139" s="27">
        <f t="shared" si="119"/>
        <v>2200</v>
      </c>
      <c r="AM139">
        <f t="shared" si="120"/>
        <v>0</v>
      </c>
      <c r="AN139">
        <f t="shared" si="121"/>
        <v>0</v>
      </c>
      <c r="AO139">
        <f t="shared" si="122"/>
        <v>0</v>
      </c>
      <c r="AP139">
        <f t="shared" si="123"/>
        <v>0</v>
      </c>
      <c r="AQ139">
        <f t="shared" si="124"/>
        <v>0</v>
      </c>
      <c r="AR139">
        <f t="shared" si="125"/>
        <v>0</v>
      </c>
      <c r="AS139">
        <f t="shared" si="126"/>
        <v>0</v>
      </c>
      <c r="AT139">
        <f t="shared" si="127"/>
        <v>0</v>
      </c>
      <c r="AU139">
        <f t="shared" si="128"/>
        <v>0</v>
      </c>
      <c r="AV139">
        <f t="shared" si="129"/>
        <v>0</v>
      </c>
      <c r="AW139">
        <f t="shared" si="130"/>
        <v>0</v>
      </c>
      <c r="AX139">
        <f t="shared" si="131"/>
        <v>0</v>
      </c>
      <c r="AY139">
        <f t="shared" si="132"/>
        <v>0</v>
      </c>
      <c r="AZ139">
        <f t="shared" si="133"/>
        <v>0</v>
      </c>
      <c r="BA139">
        <f t="shared" si="134"/>
        <v>0</v>
      </c>
      <c r="BB139">
        <f t="shared" si="135"/>
        <v>0</v>
      </c>
      <c r="BC139">
        <f t="shared" si="136"/>
        <v>0</v>
      </c>
      <c r="BD139">
        <f t="shared" si="137"/>
        <v>100</v>
      </c>
      <c r="BE139">
        <f t="shared" si="138"/>
        <v>2200</v>
      </c>
      <c r="BF139">
        <f t="shared" si="139"/>
        <v>0</v>
      </c>
      <c r="BG139">
        <f t="shared" si="140"/>
        <v>0</v>
      </c>
      <c r="BH139">
        <f t="shared" si="141"/>
        <v>0</v>
      </c>
      <c r="BI139">
        <f t="shared" si="142"/>
        <v>0</v>
      </c>
      <c r="BJ139">
        <f t="shared" si="143"/>
        <v>0</v>
      </c>
      <c r="BK139">
        <f t="shared" si="144"/>
        <v>0</v>
      </c>
      <c r="BL139">
        <v>0</v>
      </c>
      <c r="BM139" t="str">
        <f t="shared" si="149"/>
        <v>Big Win</v>
      </c>
      <c r="BN139" s="32" t="str">
        <f t="shared" si="150"/>
        <v>Bonus Game A</v>
      </c>
      <c r="BO139">
        <f>(D139/Summary!$C$4-Summary!$C$8)^2*E139</f>
        <v>44816.890000000007</v>
      </c>
      <c r="BP139">
        <f t="shared" si="145"/>
        <v>0</v>
      </c>
      <c r="BQ139">
        <f t="shared" si="146"/>
        <v>0</v>
      </c>
      <c r="BR139">
        <f t="shared" si="147"/>
        <v>0</v>
      </c>
      <c r="BS139">
        <f t="shared" si="148"/>
        <v>0</v>
      </c>
    </row>
    <row r="140" spans="2:71">
      <c r="B140" s="16">
        <f>Tiers!B141</f>
        <v>138</v>
      </c>
      <c r="C140" s="17" t="str">
        <f>Tiers!Y141</f>
        <v>main-8|bonusA-2|||||||| x 1</v>
      </c>
      <c r="D140" s="18">
        <f>Tiers!C141</f>
        <v>25</v>
      </c>
      <c r="E140" s="19">
        <f>Frequency!E142</f>
        <v>100</v>
      </c>
      <c r="F140" s="19">
        <f t="shared" si="102"/>
        <v>2500</v>
      </c>
      <c r="G140" s="19">
        <f>IF(Tiers!D141&gt;1,'Data Analysis'!E140,0)</f>
        <v>0</v>
      </c>
      <c r="H140" s="19">
        <f t="shared" si="103"/>
        <v>0</v>
      </c>
      <c r="I140" s="19">
        <f>IF(AND(D140/Summary!$C$4&gt;0, D140/Summary!$C$4&lt;5),E140,0) * D140</f>
        <v>0</v>
      </c>
      <c r="J140" s="19">
        <f>IF(AND(D140/Summary!$C$4&gt;= 5, D140/Summary!$C$4&lt;10),E140,0) * D140</f>
        <v>0</v>
      </c>
      <c r="K140" s="19">
        <f>IF(AND(D140/Summary!$C$4&gt;=10, D140/Summary!$C$4&lt;25),E140,0)*D140</f>
        <v>0</v>
      </c>
      <c r="L140" s="19">
        <f>IF(D140/Summary!$C$4&gt;=25,E140,0)*D140</f>
        <v>2500</v>
      </c>
      <c r="M140" s="27">
        <f>IF(AND(D140/Summary!$C$4&gt;0, D140/Summary!$C$4&lt;1),E140,0)</f>
        <v>0</v>
      </c>
      <c r="N140" s="27">
        <f t="shared" si="104"/>
        <v>0</v>
      </c>
      <c r="O140" s="27">
        <f>IF(D140/Summary!$C$4=1,1,0)*E140</f>
        <v>0</v>
      </c>
      <c r="P140" s="27">
        <f t="shared" si="105"/>
        <v>0</v>
      </c>
      <c r="Q140" s="27">
        <f>IF(AND(D140/Summary!$C$4&gt;1, D140/Summary!$C$4&lt;=2),1,0)*E140</f>
        <v>0</v>
      </c>
      <c r="R140" s="27">
        <f t="shared" si="106"/>
        <v>0</v>
      </c>
      <c r="S140" s="27">
        <f>IF(AND(D140/Summary!$C$4&gt;2,D140/Summary!$C$4&lt;=5),1,0)*E140</f>
        <v>0</v>
      </c>
      <c r="T140" s="27">
        <f t="shared" si="107"/>
        <v>0</v>
      </c>
      <c r="U140" s="27">
        <f>IF(AND(D140/Summary!$C$4&gt;5, D140/Summary!$C$4&lt;=10),1,0)*E140</f>
        <v>0</v>
      </c>
      <c r="V140" s="27">
        <f t="shared" si="108"/>
        <v>0</v>
      </c>
      <c r="W140" s="27">
        <f>IF(AND(D140/Summary!$C$4&gt;10, D140/Summary!$C$4&lt;=20),1,0)*E140</f>
        <v>0</v>
      </c>
      <c r="X140" s="27">
        <f t="shared" si="109"/>
        <v>0</v>
      </c>
      <c r="Y140" s="27">
        <f>IF(AND(D140/Summary!$C$4&gt;20, D140/Summary!$C$4&lt;=30),1,0)*E140</f>
        <v>100</v>
      </c>
      <c r="Z140" s="27">
        <f t="shared" si="110"/>
        <v>2500</v>
      </c>
      <c r="AA140" s="27">
        <f>IF(AND(D140/Summary!$C$4&gt;30, D140/Summary!$C$4&lt;=50),1,0)*E140</f>
        <v>0</v>
      </c>
      <c r="AB140" s="27">
        <f t="shared" si="111"/>
        <v>0</v>
      </c>
      <c r="AC140" s="27">
        <f>IF(AND(D140/Summary!$C$4&gt;50, D140/Summary!$C$4&lt;=100),1,0)*E140</f>
        <v>0</v>
      </c>
      <c r="AD140" s="27">
        <f t="shared" si="112"/>
        <v>0</v>
      </c>
      <c r="AE140" s="27">
        <f>IF(D140/Summary!$C$4&gt;100,1,0)*E140</f>
        <v>0</v>
      </c>
      <c r="AF140" s="27">
        <f t="shared" si="113"/>
        <v>0</v>
      </c>
      <c r="AG140" s="19">
        <f t="shared" si="114"/>
        <v>0</v>
      </c>
      <c r="AH140" s="19">
        <f t="shared" si="115"/>
        <v>100</v>
      </c>
      <c r="AI140" s="19">
        <f t="shared" si="116"/>
        <v>0</v>
      </c>
      <c r="AJ140" s="27">
        <f t="shared" si="117"/>
        <v>1</v>
      </c>
      <c r="AK140" s="27">
        <f t="shared" si="118"/>
        <v>100</v>
      </c>
      <c r="AL140" s="27">
        <f t="shared" si="119"/>
        <v>2500</v>
      </c>
      <c r="AM140">
        <f t="shared" si="120"/>
        <v>0</v>
      </c>
      <c r="AN140">
        <f t="shared" si="121"/>
        <v>0</v>
      </c>
      <c r="AO140">
        <f t="shared" si="122"/>
        <v>0</v>
      </c>
      <c r="AP140">
        <f t="shared" si="123"/>
        <v>0</v>
      </c>
      <c r="AQ140">
        <f t="shared" si="124"/>
        <v>0</v>
      </c>
      <c r="AR140">
        <f t="shared" si="125"/>
        <v>0</v>
      </c>
      <c r="AS140">
        <f t="shared" si="126"/>
        <v>0</v>
      </c>
      <c r="AT140">
        <f t="shared" si="127"/>
        <v>0</v>
      </c>
      <c r="AU140">
        <f t="shared" si="128"/>
        <v>0</v>
      </c>
      <c r="AV140">
        <f t="shared" si="129"/>
        <v>0</v>
      </c>
      <c r="AW140">
        <f t="shared" si="130"/>
        <v>0</v>
      </c>
      <c r="AX140">
        <f t="shared" si="131"/>
        <v>0</v>
      </c>
      <c r="AY140">
        <f t="shared" si="132"/>
        <v>0</v>
      </c>
      <c r="AZ140">
        <f t="shared" si="133"/>
        <v>0</v>
      </c>
      <c r="BA140">
        <f t="shared" si="134"/>
        <v>0</v>
      </c>
      <c r="BB140">
        <f t="shared" si="135"/>
        <v>0</v>
      </c>
      <c r="BC140">
        <f t="shared" si="136"/>
        <v>0</v>
      </c>
      <c r="BD140">
        <f t="shared" si="137"/>
        <v>100</v>
      </c>
      <c r="BE140">
        <f t="shared" si="138"/>
        <v>2500</v>
      </c>
      <c r="BF140">
        <f t="shared" si="139"/>
        <v>0</v>
      </c>
      <c r="BG140">
        <f t="shared" si="140"/>
        <v>0</v>
      </c>
      <c r="BH140">
        <f t="shared" si="141"/>
        <v>0</v>
      </c>
      <c r="BI140">
        <f t="shared" si="142"/>
        <v>0</v>
      </c>
      <c r="BJ140">
        <f t="shared" si="143"/>
        <v>0</v>
      </c>
      <c r="BK140">
        <f t="shared" si="144"/>
        <v>0</v>
      </c>
      <c r="BL140">
        <v>0</v>
      </c>
      <c r="BM140" t="str">
        <f t="shared" si="149"/>
        <v>Big Win</v>
      </c>
      <c r="BN140" s="32" t="str">
        <f t="shared" si="150"/>
        <v>Bonus Game A</v>
      </c>
      <c r="BO140">
        <f>(D140/Summary!$C$4-Summary!$C$8)^2*E140</f>
        <v>58418.890000000014</v>
      </c>
      <c r="BP140">
        <f t="shared" si="145"/>
        <v>0</v>
      </c>
      <c r="BQ140">
        <f t="shared" si="146"/>
        <v>0</v>
      </c>
      <c r="BR140">
        <f t="shared" si="147"/>
        <v>0</v>
      </c>
      <c r="BS140">
        <f t="shared" si="148"/>
        <v>0</v>
      </c>
    </row>
    <row r="141" spans="2:71">
      <c r="B141" s="16">
        <f>Tiers!B142</f>
        <v>139</v>
      </c>
      <c r="C141" s="17" t="str">
        <f>Tiers!Y142</f>
        <v>main-22|bonusA-2|||||||| x 1</v>
      </c>
      <c r="D141" s="18">
        <f>Tiers!C142</f>
        <v>25</v>
      </c>
      <c r="E141" s="19">
        <f>Frequency!E143</f>
        <v>100</v>
      </c>
      <c r="F141" s="19">
        <f t="shared" si="102"/>
        <v>2500</v>
      </c>
      <c r="G141" s="19">
        <f>IF(Tiers!D142&gt;1,'Data Analysis'!E141,0)</f>
        <v>0</v>
      </c>
      <c r="H141" s="19">
        <f t="shared" si="103"/>
        <v>0</v>
      </c>
      <c r="I141" s="19">
        <f>IF(AND(D141/Summary!$C$4&gt;0, D141/Summary!$C$4&lt;5),E141,0) * D141</f>
        <v>0</v>
      </c>
      <c r="J141" s="19">
        <f>IF(AND(D141/Summary!$C$4&gt;= 5, D141/Summary!$C$4&lt;10),E141,0) * D141</f>
        <v>0</v>
      </c>
      <c r="K141" s="19">
        <f>IF(AND(D141/Summary!$C$4&gt;=10, D141/Summary!$C$4&lt;25),E141,0)*D141</f>
        <v>0</v>
      </c>
      <c r="L141" s="19">
        <f>IF(D141/Summary!$C$4&gt;=25,E141,0)*D141</f>
        <v>2500</v>
      </c>
      <c r="M141" s="27">
        <f>IF(AND(D141/Summary!$C$4&gt;0, D141/Summary!$C$4&lt;1),E141,0)</f>
        <v>0</v>
      </c>
      <c r="N141" s="27">
        <f t="shared" si="104"/>
        <v>0</v>
      </c>
      <c r="O141" s="27">
        <f>IF(D141/Summary!$C$4=1,1,0)*E141</f>
        <v>0</v>
      </c>
      <c r="P141" s="27">
        <f t="shared" si="105"/>
        <v>0</v>
      </c>
      <c r="Q141" s="27">
        <f>IF(AND(D141/Summary!$C$4&gt;1, D141/Summary!$C$4&lt;=2),1,0)*E141</f>
        <v>0</v>
      </c>
      <c r="R141" s="27">
        <f t="shared" si="106"/>
        <v>0</v>
      </c>
      <c r="S141" s="27">
        <f>IF(AND(D141/Summary!$C$4&gt;2,D141/Summary!$C$4&lt;=5),1,0)*E141</f>
        <v>0</v>
      </c>
      <c r="T141" s="27">
        <f t="shared" si="107"/>
        <v>0</v>
      </c>
      <c r="U141" s="27">
        <f>IF(AND(D141/Summary!$C$4&gt;5, D141/Summary!$C$4&lt;=10),1,0)*E141</f>
        <v>0</v>
      </c>
      <c r="V141" s="27">
        <f t="shared" si="108"/>
        <v>0</v>
      </c>
      <c r="W141" s="27">
        <f>IF(AND(D141/Summary!$C$4&gt;10, D141/Summary!$C$4&lt;=20),1,0)*E141</f>
        <v>0</v>
      </c>
      <c r="X141" s="27">
        <f t="shared" si="109"/>
        <v>0</v>
      </c>
      <c r="Y141" s="27">
        <f>IF(AND(D141/Summary!$C$4&gt;20, D141/Summary!$C$4&lt;=30),1,0)*E141</f>
        <v>100</v>
      </c>
      <c r="Z141" s="27">
        <f t="shared" si="110"/>
        <v>2500</v>
      </c>
      <c r="AA141" s="27">
        <f>IF(AND(D141/Summary!$C$4&gt;30, D141/Summary!$C$4&lt;=50),1,0)*E141</f>
        <v>0</v>
      </c>
      <c r="AB141" s="27">
        <f t="shared" si="111"/>
        <v>0</v>
      </c>
      <c r="AC141" s="27">
        <f>IF(AND(D141/Summary!$C$4&gt;50, D141/Summary!$C$4&lt;=100),1,0)*E141</f>
        <v>0</v>
      </c>
      <c r="AD141" s="27">
        <f t="shared" si="112"/>
        <v>0</v>
      </c>
      <c r="AE141" s="27">
        <f>IF(D141/Summary!$C$4&gt;100,1,0)*E141</f>
        <v>0</v>
      </c>
      <c r="AF141" s="27">
        <f t="shared" si="113"/>
        <v>0</v>
      </c>
      <c r="AG141" s="19">
        <f t="shared" si="114"/>
        <v>0</v>
      </c>
      <c r="AH141" s="19">
        <f t="shared" si="115"/>
        <v>100</v>
      </c>
      <c r="AI141" s="19">
        <f t="shared" si="116"/>
        <v>0</v>
      </c>
      <c r="AJ141" s="27">
        <f t="shared" si="117"/>
        <v>1</v>
      </c>
      <c r="AK141" s="27">
        <f t="shared" si="118"/>
        <v>100</v>
      </c>
      <c r="AL141" s="27">
        <f t="shared" si="119"/>
        <v>2500</v>
      </c>
      <c r="AM141">
        <f t="shared" si="120"/>
        <v>0</v>
      </c>
      <c r="AN141">
        <f t="shared" si="121"/>
        <v>0</v>
      </c>
      <c r="AO141">
        <f t="shared" si="122"/>
        <v>0</v>
      </c>
      <c r="AP141">
        <f t="shared" si="123"/>
        <v>0</v>
      </c>
      <c r="AQ141">
        <f t="shared" si="124"/>
        <v>0</v>
      </c>
      <c r="AR141">
        <f t="shared" si="125"/>
        <v>0</v>
      </c>
      <c r="AS141">
        <f t="shared" si="126"/>
        <v>0</v>
      </c>
      <c r="AT141">
        <f t="shared" si="127"/>
        <v>0</v>
      </c>
      <c r="AU141">
        <f t="shared" si="128"/>
        <v>0</v>
      </c>
      <c r="AV141">
        <f t="shared" si="129"/>
        <v>0</v>
      </c>
      <c r="AW141">
        <f t="shared" si="130"/>
        <v>0</v>
      </c>
      <c r="AX141">
        <f t="shared" si="131"/>
        <v>0</v>
      </c>
      <c r="AY141">
        <f t="shared" si="132"/>
        <v>0</v>
      </c>
      <c r="AZ141">
        <f t="shared" si="133"/>
        <v>0</v>
      </c>
      <c r="BA141">
        <f t="shared" si="134"/>
        <v>0</v>
      </c>
      <c r="BB141">
        <f t="shared" si="135"/>
        <v>0</v>
      </c>
      <c r="BC141">
        <f t="shared" si="136"/>
        <v>0</v>
      </c>
      <c r="BD141">
        <f t="shared" si="137"/>
        <v>100</v>
      </c>
      <c r="BE141">
        <f t="shared" si="138"/>
        <v>2500</v>
      </c>
      <c r="BF141">
        <f t="shared" si="139"/>
        <v>0</v>
      </c>
      <c r="BG141">
        <f t="shared" si="140"/>
        <v>0</v>
      </c>
      <c r="BH141">
        <f t="shared" si="141"/>
        <v>0</v>
      </c>
      <c r="BI141">
        <f t="shared" si="142"/>
        <v>0</v>
      </c>
      <c r="BJ141">
        <f t="shared" si="143"/>
        <v>0</v>
      </c>
      <c r="BK141">
        <f t="shared" si="144"/>
        <v>0</v>
      </c>
      <c r="BL141">
        <v>0</v>
      </c>
      <c r="BM141" t="str">
        <f t="shared" si="149"/>
        <v>Big Win</v>
      </c>
      <c r="BN141" s="32" t="str">
        <f t="shared" si="150"/>
        <v>Bonus Game A</v>
      </c>
      <c r="BO141">
        <f>(D141/Summary!$C$4-Summary!$C$8)^2*E141</f>
        <v>58418.890000000014</v>
      </c>
      <c r="BP141">
        <f t="shared" si="145"/>
        <v>0</v>
      </c>
      <c r="BQ141">
        <f t="shared" si="146"/>
        <v>0</v>
      </c>
      <c r="BR141">
        <f t="shared" si="147"/>
        <v>0</v>
      </c>
      <c r="BS141">
        <f t="shared" si="148"/>
        <v>0</v>
      </c>
    </row>
    <row r="142" spans="2:71">
      <c r="B142" s="16">
        <f>Tiers!B143</f>
        <v>140</v>
      </c>
      <c r="C142" s="17" t="str">
        <f>Tiers!Y143</f>
        <v>main-31|bonusA-2|||||||| x 1</v>
      </c>
      <c r="D142" s="18">
        <f>Tiers!C143</f>
        <v>25</v>
      </c>
      <c r="E142" s="19">
        <f>Frequency!E144</f>
        <v>100</v>
      </c>
      <c r="F142" s="19">
        <f t="shared" si="102"/>
        <v>2500</v>
      </c>
      <c r="G142" s="19">
        <f>IF(Tiers!D143&gt;1,'Data Analysis'!E142,0)</f>
        <v>0</v>
      </c>
      <c r="H142" s="19">
        <f t="shared" si="103"/>
        <v>0</v>
      </c>
      <c r="I142" s="19">
        <f>IF(AND(D142/Summary!$C$4&gt;0, D142/Summary!$C$4&lt;5),E142,0) * D142</f>
        <v>0</v>
      </c>
      <c r="J142" s="19">
        <f>IF(AND(D142/Summary!$C$4&gt;= 5, D142/Summary!$C$4&lt;10),E142,0) * D142</f>
        <v>0</v>
      </c>
      <c r="K142" s="19">
        <f>IF(AND(D142/Summary!$C$4&gt;=10, D142/Summary!$C$4&lt;25),E142,0)*D142</f>
        <v>0</v>
      </c>
      <c r="L142" s="19">
        <f>IF(D142/Summary!$C$4&gt;=25,E142,0)*D142</f>
        <v>2500</v>
      </c>
      <c r="M142" s="27">
        <f>IF(AND(D142/Summary!$C$4&gt;0, D142/Summary!$C$4&lt;1),E142,0)</f>
        <v>0</v>
      </c>
      <c r="N142" s="27">
        <f t="shared" si="104"/>
        <v>0</v>
      </c>
      <c r="O142" s="27">
        <f>IF(D142/Summary!$C$4=1,1,0)*E142</f>
        <v>0</v>
      </c>
      <c r="P142" s="27">
        <f t="shared" si="105"/>
        <v>0</v>
      </c>
      <c r="Q142" s="27">
        <f>IF(AND(D142/Summary!$C$4&gt;1, D142/Summary!$C$4&lt;=2),1,0)*E142</f>
        <v>0</v>
      </c>
      <c r="R142" s="27">
        <f t="shared" si="106"/>
        <v>0</v>
      </c>
      <c r="S142" s="27">
        <f>IF(AND(D142/Summary!$C$4&gt;2,D142/Summary!$C$4&lt;=5),1,0)*E142</f>
        <v>0</v>
      </c>
      <c r="T142" s="27">
        <f t="shared" si="107"/>
        <v>0</v>
      </c>
      <c r="U142" s="27">
        <f>IF(AND(D142/Summary!$C$4&gt;5, D142/Summary!$C$4&lt;=10),1,0)*E142</f>
        <v>0</v>
      </c>
      <c r="V142" s="27">
        <f t="shared" si="108"/>
        <v>0</v>
      </c>
      <c r="W142" s="27">
        <f>IF(AND(D142/Summary!$C$4&gt;10, D142/Summary!$C$4&lt;=20),1,0)*E142</f>
        <v>0</v>
      </c>
      <c r="X142" s="27">
        <f t="shared" si="109"/>
        <v>0</v>
      </c>
      <c r="Y142" s="27">
        <f>IF(AND(D142/Summary!$C$4&gt;20, D142/Summary!$C$4&lt;=30),1,0)*E142</f>
        <v>100</v>
      </c>
      <c r="Z142" s="27">
        <f t="shared" si="110"/>
        <v>2500</v>
      </c>
      <c r="AA142" s="27">
        <f>IF(AND(D142/Summary!$C$4&gt;30, D142/Summary!$C$4&lt;=50),1,0)*E142</f>
        <v>0</v>
      </c>
      <c r="AB142" s="27">
        <f t="shared" si="111"/>
        <v>0</v>
      </c>
      <c r="AC142" s="27">
        <f>IF(AND(D142/Summary!$C$4&gt;50, D142/Summary!$C$4&lt;=100),1,0)*E142</f>
        <v>0</v>
      </c>
      <c r="AD142" s="27">
        <f t="shared" si="112"/>
        <v>0</v>
      </c>
      <c r="AE142" s="27">
        <f>IF(D142/Summary!$C$4&gt;100,1,0)*E142</f>
        <v>0</v>
      </c>
      <c r="AF142" s="27">
        <f t="shared" si="113"/>
        <v>0</v>
      </c>
      <c r="AG142" s="19">
        <f t="shared" si="114"/>
        <v>0</v>
      </c>
      <c r="AH142" s="19">
        <f t="shared" si="115"/>
        <v>100</v>
      </c>
      <c r="AI142" s="19">
        <f t="shared" si="116"/>
        <v>0</v>
      </c>
      <c r="AJ142" s="27">
        <f t="shared" si="117"/>
        <v>1</v>
      </c>
      <c r="AK142" s="27">
        <f t="shared" si="118"/>
        <v>100</v>
      </c>
      <c r="AL142" s="27">
        <f t="shared" si="119"/>
        <v>2500</v>
      </c>
      <c r="AM142">
        <f t="shared" si="120"/>
        <v>0</v>
      </c>
      <c r="AN142">
        <f t="shared" si="121"/>
        <v>0</v>
      </c>
      <c r="AO142">
        <f t="shared" si="122"/>
        <v>0</v>
      </c>
      <c r="AP142">
        <f t="shared" si="123"/>
        <v>0</v>
      </c>
      <c r="AQ142">
        <f t="shared" si="124"/>
        <v>0</v>
      </c>
      <c r="AR142">
        <f t="shared" si="125"/>
        <v>0</v>
      </c>
      <c r="AS142">
        <f t="shared" si="126"/>
        <v>0</v>
      </c>
      <c r="AT142">
        <f t="shared" si="127"/>
        <v>0</v>
      </c>
      <c r="AU142">
        <f t="shared" si="128"/>
        <v>0</v>
      </c>
      <c r="AV142">
        <f t="shared" si="129"/>
        <v>0</v>
      </c>
      <c r="AW142">
        <f t="shared" si="130"/>
        <v>0</v>
      </c>
      <c r="AX142">
        <f t="shared" si="131"/>
        <v>0</v>
      </c>
      <c r="AY142">
        <f t="shared" si="132"/>
        <v>0</v>
      </c>
      <c r="AZ142">
        <f t="shared" si="133"/>
        <v>0</v>
      </c>
      <c r="BA142">
        <f t="shared" si="134"/>
        <v>0</v>
      </c>
      <c r="BB142">
        <f t="shared" si="135"/>
        <v>0</v>
      </c>
      <c r="BC142">
        <f t="shared" si="136"/>
        <v>0</v>
      </c>
      <c r="BD142">
        <f t="shared" si="137"/>
        <v>100</v>
      </c>
      <c r="BE142">
        <f t="shared" si="138"/>
        <v>2500</v>
      </c>
      <c r="BF142">
        <f t="shared" si="139"/>
        <v>0</v>
      </c>
      <c r="BG142">
        <f t="shared" si="140"/>
        <v>0</v>
      </c>
      <c r="BH142">
        <f t="shared" si="141"/>
        <v>0</v>
      </c>
      <c r="BI142">
        <f t="shared" si="142"/>
        <v>0</v>
      </c>
      <c r="BJ142">
        <f t="shared" si="143"/>
        <v>0</v>
      </c>
      <c r="BK142">
        <f t="shared" si="144"/>
        <v>0</v>
      </c>
      <c r="BL142">
        <v>0</v>
      </c>
      <c r="BM142" t="str">
        <f t="shared" si="149"/>
        <v>Big Win</v>
      </c>
      <c r="BN142" s="32" t="str">
        <f t="shared" si="150"/>
        <v>Bonus Game A</v>
      </c>
      <c r="BO142">
        <f>(D142/Summary!$C$4-Summary!$C$8)^2*E142</f>
        <v>58418.890000000014</v>
      </c>
      <c r="BP142">
        <f t="shared" si="145"/>
        <v>0</v>
      </c>
      <c r="BQ142">
        <f t="shared" si="146"/>
        <v>0</v>
      </c>
      <c r="BR142">
        <f t="shared" si="147"/>
        <v>0</v>
      </c>
      <c r="BS142">
        <f t="shared" si="148"/>
        <v>0</v>
      </c>
    </row>
    <row r="143" spans="2:71">
      <c r="B143" s="16">
        <f>Tiers!B144</f>
        <v>141</v>
      </c>
      <c r="C143" s="17" t="str">
        <f>Tiers!Y144</f>
        <v>main-2|bonusA-3|||||||| x 1</v>
      </c>
      <c r="D143" s="18">
        <f>Tiers!C144</f>
        <v>25.5</v>
      </c>
      <c r="E143" s="19">
        <f>Frequency!E145</f>
        <v>100</v>
      </c>
      <c r="F143" s="19">
        <f t="shared" si="102"/>
        <v>2550</v>
      </c>
      <c r="G143" s="19">
        <f>IF(Tiers!D144&gt;1,'Data Analysis'!E143,0)</f>
        <v>0</v>
      </c>
      <c r="H143" s="19">
        <f t="shared" si="103"/>
        <v>0</v>
      </c>
      <c r="I143" s="19">
        <f>IF(AND(D143/Summary!$C$4&gt;0, D143/Summary!$C$4&lt;5),E143,0) * D143</f>
        <v>0</v>
      </c>
      <c r="J143" s="19">
        <f>IF(AND(D143/Summary!$C$4&gt;= 5, D143/Summary!$C$4&lt;10),E143,0) * D143</f>
        <v>0</v>
      </c>
      <c r="K143" s="19">
        <f>IF(AND(D143/Summary!$C$4&gt;=10, D143/Summary!$C$4&lt;25),E143,0)*D143</f>
        <v>0</v>
      </c>
      <c r="L143" s="19">
        <f>IF(D143/Summary!$C$4&gt;=25,E143,0)*D143</f>
        <v>2550</v>
      </c>
      <c r="M143" s="27">
        <f>IF(AND(D143/Summary!$C$4&gt;0, D143/Summary!$C$4&lt;1),E143,0)</f>
        <v>0</v>
      </c>
      <c r="N143" s="27">
        <f t="shared" si="104"/>
        <v>0</v>
      </c>
      <c r="O143" s="27">
        <f>IF(D143/Summary!$C$4=1,1,0)*E143</f>
        <v>0</v>
      </c>
      <c r="P143" s="27">
        <f t="shared" si="105"/>
        <v>0</v>
      </c>
      <c r="Q143" s="27">
        <f>IF(AND(D143/Summary!$C$4&gt;1, D143/Summary!$C$4&lt;=2),1,0)*E143</f>
        <v>0</v>
      </c>
      <c r="R143" s="27">
        <f t="shared" si="106"/>
        <v>0</v>
      </c>
      <c r="S143" s="27">
        <f>IF(AND(D143/Summary!$C$4&gt;2,D143/Summary!$C$4&lt;=5),1,0)*E143</f>
        <v>0</v>
      </c>
      <c r="T143" s="27">
        <f t="shared" si="107"/>
        <v>0</v>
      </c>
      <c r="U143" s="27">
        <f>IF(AND(D143/Summary!$C$4&gt;5, D143/Summary!$C$4&lt;=10),1,0)*E143</f>
        <v>0</v>
      </c>
      <c r="V143" s="27">
        <f t="shared" si="108"/>
        <v>0</v>
      </c>
      <c r="W143" s="27">
        <f>IF(AND(D143/Summary!$C$4&gt;10, D143/Summary!$C$4&lt;=20),1,0)*E143</f>
        <v>0</v>
      </c>
      <c r="X143" s="27">
        <f t="shared" si="109"/>
        <v>0</v>
      </c>
      <c r="Y143" s="27">
        <f>IF(AND(D143/Summary!$C$4&gt;20, D143/Summary!$C$4&lt;=30),1,0)*E143</f>
        <v>100</v>
      </c>
      <c r="Z143" s="27">
        <f t="shared" si="110"/>
        <v>2550</v>
      </c>
      <c r="AA143" s="27">
        <f>IF(AND(D143/Summary!$C$4&gt;30, D143/Summary!$C$4&lt;=50),1,0)*E143</f>
        <v>0</v>
      </c>
      <c r="AB143" s="27">
        <f t="shared" si="111"/>
        <v>0</v>
      </c>
      <c r="AC143" s="27">
        <f>IF(AND(D143/Summary!$C$4&gt;50, D143/Summary!$C$4&lt;=100),1,0)*E143</f>
        <v>0</v>
      </c>
      <c r="AD143" s="27">
        <f t="shared" si="112"/>
        <v>0</v>
      </c>
      <c r="AE143" s="27">
        <f>IF(D143/Summary!$C$4&gt;100,1,0)*E143</f>
        <v>0</v>
      </c>
      <c r="AF143" s="27">
        <f t="shared" si="113"/>
        <v>0</v>
      </c>
      <c r="AG143" s="19">
        <f t="shared" si="114"/>
        <v>0</v>
      </c>
      <c r="AH143" s="19">
        <f t="shared" si="115"/>
        <v>100</v>
      </c>
      <c r="AI143" s="19">
        <f t="shared" si="116"/>
        <v>0</v>
      </c>
      <c r="AJ143" s="27">
        <f t="shared" si="117"/>
        <v>1</v>
      </c>
      <c r="AK143" s="27">
        <f t="shared" si="118"/>
        <v>100</v>
      </c>
      <c r="AL143" s="27">
        <f t="shared" si="119"/>
        <v>2550</v>
      </c>
      <c r="AM143">
        <f t="shared" si="120"/>
        <v>0</v>
      </c>
      <c r="AN143">
        <f t="shared" si="121"/>
        <v>0</v>
      </c>
      <c r="AO143">
        <f t="shared" si="122"/>
        <v>0</v>
      </c>
      <c r="AP143">
        <f t="shared" si="123"/>
        <v>0</v>
      </c>
      <c r="AQ143">
        <f t="shared" si="124"/>
        <v>0</v>
      </c>
      <c r="AR143">
        <f t="shared" si="125"/>
        <v>0</v>
      </c>
      <c r="AS143">
        <f t="shared" si="126"/>
        <v>0</v>
      </c>
      <c r="AT143">
        <f t="shared" si="127"/>
        <v>0</v>
      </c>
      <c r="AU143">
        <f t="shared" si="128"/>
        <v>0</v>
      </c>
      <c r="AV143">
        <f t="shared" si="129"/>
        <v>0</v>
      </c>
      <c r="AW143">
        <f t="shared" si="130"/>
        <v>0</v>
      </c>
      <c r="AX143">
        <f t="shared" si="131"/>
        <v>0</v>
      </c>
      <c r="AY143">
        <f t="shared" si="132"/>
        <v>0</v>
      </c>
      <c r="AZ143">
        <f t="shared" si="133"/>
        <v>0</v>
      </c>
      <c r="BA143">
        <f t="shared" si="134"/>
        <v>0</v>
      </c>
      <c r="BB143">
        <f t="shared" si="135"/>
        <v>0</v>
      </c>
      <c r="BC143">
        <f t="shared" si="136"/>
        <v>0</v>
      </c>
      <c r="BD143">
        <f t="shared" si="137"/>
        <v>100</v>
      </c>
      <c r="BE143">
        <f t="shared" si="138"/>
        <v>2550</v>
      </c>
      <c r="BF143">
        <f t="shared" si="139"/>
        <v>0</v>
      </c>
      <c r="BG143">
        <f t="shared" si="140"/>
        <v>0</v>
      </c>
      <c r="BH143">
        <f t="shared" si="141"/>
        <v>0</v>
      </c>
      <c r="BI143">
        <f t="shared" si="142"/>
        <v>0</v>
      </c>
      <c r="BJ143">
        <f t="shared" si="143"/>
        <v>0</v>
      </c>
      <c r="BK143">
        <f t="shared" si="144"/>
        <v>0</v>
      </c>
      <c r="BL143">
        <v>0</v>
      </c>
      <c r="BM143" t="str">
        <f t="shared" si="149"/>
        <v>Big Win</v>
      </c>
      <c r="BN143" s="32" t="str">
        <f t="shared" si="150"/>
        <v>Bonus Game A</v>
      </c>
      <c r="BO143">
        <f>(D143/Summary!$C$4-Summary!$C$8)^2*E143</f>
        <v>60860.890000000007</v>
      </c>
      <c r="BP143">
        <f t="shared" si="145"/>
        <v>0</v>
      </c>
      <c r="BQ143">
        <f t="shared" si="146"/>
        <v>0</v>
      </c>
      <c r="BR143">
        <f t="shared" si="147"/>
        <v>0</v>
      </c>
      <c r="BS143">
        <f t="shared" si="148"/>
        <v>0</v>
      </c>
    </row>
    <row r="144" spans="2:71">
      <c r="B144" s="16">
        <f>Tiers!B145</f>
        <v>142</v>
      </c>
      <c r="C144" s="17" t="str">
        <f>Tiers!Y145</f>
        <v>main-21|bonusA-3|||||||| x 1</v>
      </c>
      <c r="D144" s="18">
        <f>Tiers!C145</f>
        <v>27</v>
      </c>
      <c r="E144" s="19">
        <f>Frequency!E146</f>
        <v>100</v>
      </c>
      <c r="F144" s="19">
        <f t="shared" si="102"/>
        <v>2700</v>
      </c>
      <c r="G144" s="19">
        <f>IF(Tiers!D145&gt;1,'Data Analysis'!E144,0)</f>
        <v>0</v>
      </c>
      <c r="H144" s="19">
        <f t="shared" si="103"/>
        <v>0</v>
      </c>
      <c r="I144" s="19">
        <f>IF(AND(D144/Summary!$C$4&gt;0, D144/Summary!$C$4&lt;5),E144,0) * D144</f>
        <v>0</v>
      </c>
      <c r="J144" s="19">
        <f>IF(AND(D144/Summary!$C$4&gt;= 5, D144/Summary!$C$4&lt;10),E144,0) * D144</f>
        <v>0</v>
      </c>
      <c r="K144" s="19">
        <f>IF(AND(D144/Summary!$C$4&gt;=10, D144/Summary!$C$4&lt;25),E144,0)*D144</f>
        <v>0</v>
      </c>
      <c r="L144" s="19">
        <f>IF(D144/Summary!$C$4&gt;=25,E144,0)*D144</f>
        <v>2700</v>
      </c>
      <c r="M144" s="27">
        <f>IF(AND(D144/Summary!$C$4&gt;0, D144/Summary!$C$4&lt;1),E144,0)</f>
        <v>0</v>
      </c>
      <c r="N144" s="27">
        <f t="shared" si="104"/>
        <v>0</v>
      </c>
      <c r="O144" s="27">
        <f>IF(D144/Summary!$C$4=1,1,0)*E144</f>
        <v>0</v>
      </c>
      <c r="P144" s="27">
        <f t="shared" si="105"/>
        <v>0</v>
      </c>
      <c r="Q144" s="27">
        <f>IF(AND(D144/Summary!$C$4&gt;1, D144/Summary!$C$4&lt;=2),1,0)*E144</f>
        <v>0</v>
      </c>
      <c r="R144" s="27">
        <f t="shared" si="106"/>
        <v>0</v>
      </c>
      <c r="S144" s="27">
        <f>IF(AND(D144/Summary!$C$4&gt;2,D144/Summary!$C$4&lt;=5),1,0)*E144</f>
        <v>0</v>
      </c>
      <c r="T144" s="27">
        <f t="shared" si="107"/>
        <v>0</v>
      </c>
      <c r="U144" s="27">
        <f>IF(AND(D144/Summary!$C$4&gt;5, D144/Summary!$C$4&lt;=10),1,0)*E144</f>
        <v>0</v>
      </c>
      <c r="V144" s="27">
        <f t="shared" si="108"/>
        <v>0</v>
      </c>
      <c r="W144" s="27">
        <f>IF(AND(D144/Summary!$C$4&gt;10, D144/Summary!$C$4&lt;=20),1,0)*E144</f>
        <v>0</v>
      </c>
      <c r="X144" s="27">
        <f t="shared" si="109"/>
        <v>0</v>
      </c>
      <c r="Y144" s="27">
        <f>IF(AND(D144/Summary!$C$4&gt;20, D144/Summary!$C$4&lt;=30),1,0)*E144</f>
        <v>100</v>
      </c>
      <c r="Z144" s="27">
        <f t="shared" si="110"/>
        <v>2700</v>
      </c>
      <c r="AA144" s="27">
        <f>IF(AND(D144/Summary!$C$4&gt;30, D144/Summary!$C$4&lt;=50),1,0)*E144</f>
        <v>0</v>
      </c>
      <c r="AB144" s="27">
        <f t="shared" si="111"/>
        <v>0</v>
      </c>
      <c r="AC144" s="27">
        <f>IF(AND(D144/Summary!$C$4&gt;50, D144/Summary!$C$4&lt;=100),1,0)*E144</f>
        <v>0</v>
      </c>
      <c r="AD144" s="27">
        <f t="shared" si="112"/>
        <v>0</v>
      </c>
      <c r="AE144" s="27">
        <f>IF(D144/Summary!$C$4&gt;100,1,0)*E144</f>
        <v>0</v>
      </c>
      <c r="AF144" s="27">
        <f t="shared" si="113"/>
        <v>0</v>
      </c>
      <c r="AG144" s="19">
        <f t="shared" si="114"/>
        <v>0</v>
      </c>
      <c r="AH144" s="19">
        <f t="shared" si="115"/>
        <v>100</v>
      </c>
      <c r="AI144" s="19">
        <f t="shared" si="116"/>
        <v>0</v>
      </c>
      <c r="AJ144" s="27">
        <f t="shared" si="117"/>
        <v>1</v>
      </c>
      <c r="AK144" s="27">
        <f t="shared" si="118"/>
        <v>100</v>
      </c>
      <c r="AL144" s="27">
        <f t="shared" si="119"/>
        <v>2700</v>
      </c>
      <c r="AM144">
        <f t="shared" si="120"/>
        <v>0</v>
      </c>
      <c r="AN144">
        <f t="shared" si="121"/>
        <v>0</v>
      </c>
      <c r="AO144">
        <f t="shared" si="122"/>
        <v>0</v>
      </c>
      <c r="AP144">
        <f t="shared" si="123"/>
        <v>0</v>
      </c>
      <c r="AQ144">
        <f t="shared" si="124"/>
        <v>0</v>
      </c>
      <c r="AR144">
        <f t="shared" si="125"/>
        <v>0</v>
      </c>
      <c r="AS144">
        <f t="shared" si="126"/>
        <v>0</v>
      </c>
      <c r="AT144">
        <f t="shared" si="127"/>
        <v>0</v>
      </c>
      <c r="AU144">
        <f t="shared" si="128"/>
        <v>0</v>
      </c>
      <c r="AV144">
        <f t="shared" si="129"/>
        <v>0</v>
      </c>
      <c r="AW144">
        <f t="shared" si="130"/>
        <v>0</v>
      </c>
      <c r="AX144">
        <f t="shared" si="131"/>
        <v>0</v>
      </c>
      <c r="AY144">
        <f t="shared" si="132"/>
        <v>0</v>
      </c>
      <c r="AZ144">
        <f t="shared" si="133"/>
        <v>0</v>
      </c>
      <c r="BA144">
        <f t="shared" si="134"/>
        <v>0</v>
      </c>
      <c r="BB144">
        <f t="shared" si="135"/>
        <v>0</v>
      </c>
      <c r="BC144">
        <f t="shared" si="136"/>
        <v>0</v>
      </c>
      <c r="BD144">
        <f t="shared" si="137"/>
        <v>100</v>
      </c>
      <c r="BE144">
        <f t="shared" si="138"/>
        <v>2700</v>
      </c>
      <c r="BF144">
        <f t="shared" si="139"/>
        <v>0</v>
      </c>
      <c r="BG144">
        <f t="shared" si="140"/>
        <v>0</v>
      </c>
      <c r="BH144">
        <f t="shared" si="141"/>
        <v>0</v>
      </c>
      <c r="BI144">
        <f t="shared" si="142"/>
        <v>0</v>
      </c>
      <c r="BJ144">
        <f t="shared" si="143"/>
        <v>0</v>
      </c>
      <c r="BK144">
        <f t="shared" si="144"/>
        <v>0</v>
      </c>
      <c r="BL144">
        <v>0</v>
      </c>
      <c r="BM144" t="str">
        <f t="shared" si="149"/>
        <v>Big Win</v>
      </c>
      <c r="BN144" s="32" t="str">
        <f t="shared" si="150"/>
        <v>Bonus Game A</v>
      </c>
      <c r="BO144">
        <f>(D144/Summary!$C$4-Summary!$C$8)^2*E144</f>
        <v>68486.89</v>
      </c>
      <c r="BP144">
        <f t="shared" si="145"/>
        <v>0</v>
      </c>
      <c r="BQ144">
        <f t="shared" si="146"/>
        <v>0</v>
      </c>
      <c r="BR144">
        <f t="shared" si="147"/>
        <v>0</v>
      </c>
      <c r="BS144">
        <f t="shared" si="148"/>
        <v>0</v>
      </c>
    </row>
    <row r="145" spans="2:71">
      <c r="B145" s="16">
        <f>Tiers!B146</f>
        <v>143</v>
      </c>
      <c r="C145" s="17" t="str">
        <f>Tiers!Y146</f>
        <v>main-7|bonusA-3|||||||| x 1</v>
      </c>
      <c r="D145" s="18">
        <f>Tiers!C146</f>
        <v>28</v>
      </c>
      <c r="E145" s="19">
        <f>Frequency!E147</f>
        <v>100</v>
      </c>
      <c r="F145" s="19">
        <f t="shared" si="102"/>
        <v>2800</v>
      </c>
      <c r="G145" s="19">
        <f>IF(Tiers!D146&gt;1,'Data Analysis'!E145,0)</f>
        <v>0</v>
      </c>
      <c r="H145" s="19">
        <f t="shared" si="103"/>
        <v>0</v>
      </c>
      <c r="I145" s="19">
        <f>IF(AND(D145/Summary!$C$4&gt;0, D145/Summary!$C$4&lt;5),E145,0) * D145</f>
        <v>0</v>
      </c>
      <c r="J145" s="19">
        <f>IF(AND(D145/Summary!$C$4&gt;= 5, D145/Summary!$C$4&lt;10),E145,0) * D145</f>
        <v>0</v>
      </c>
      <c r="K145" s="19">
        <f>IF(AND(D145/Summary!$C$4&gt;=10, D145/Summary!$C$4&lt;25),E145,0)*D145</f>
        <v>0</v>
      </c>
      <c r="L145" s="19">
        <f>IF(D145/Summary!$C$4&gt;=25,E145,0)*D145</f>
        <v>2800</v>
      </c>
      <c r="M145" s="27">
        <f>IF(AND(D145/Summary!$C$4&gt;0, D145/Summary!$C$4&lt;1),E145,0)</f>
        <v>0</v>
      </c>
      <c r="N145" s="27">
        <f t="shared" si="104"/>
        <v>0</v>
      </c>
      <c r="O145" s="27">
        <f>IF(D145/Summary!$C$4=1,1,0)*E145</f>
        <v>0</v>
      </c>
      <c r="P145" s="27">
        <f t="shared" si="105"/>
        <v>0</v>
      </c>
      <c r="Q145" s="27">
        <f>IF(AND(D145/Summary!$C$4&gt;1, D145/Summary!$C$4&lt;=2),1,0)*E145</f>
        <v>0</v>
      </c>
      <c r="R145" s="27">
        <f t="shared" si="106"/>
        <v>0</v>
      </c>
      <c r="S145" s="27">
        <f>IF(AND(D145/Summary!$C$4&gt;2,D145/Summary!$C$4&lt;=5),1,0)*E145</f>
        <v>0</v>
      </c>
      <c r="T145" s="27">
        <f t="shared" si="107"/>
        <v>0</v>
      </c>
      <c r="U145" s="27">
        <f>IF(AND(D145/Summary!$C$4&gt;5, D145/Summary!$C$4&lt;=10),1,0)*E145</f>
        <v>0</v>
      </c>
      <c r="V145" s="27">
        <f t="shared" si="108"/>
        <v>0</v>
      </c>
      <c r="W145" s="27">
        <f>IF(AND(D145/Summary!$C$4&gt;10, D145/Summary!$C$4&lt;=20),1,0)*E145</f>
        <v>0</v>
      </c>
      <c r="X145" s="27">
        <f t="shared" si="109"/>
        <v>0</v>
      </c>
      <c r="Y145" s="27">
        <f>IF(AND(D145/Summary!$C$4&gt;20, D145/Summary!$C$4&lt;=30),1,0)*E145</f>
        <v>100</v>
      </c>
      <c r="Z145" s="27">
        <f t="shared" si="110"/>
        <v>2800</v>
      </c>
      <c r="AA145" s="27">
        <f>IF(AND(D145/Summary!$C$4&gt;30, D145/Summary!$C$4&lt;=50),1,0)*E145</f>
        <v>0</v>
      </c>
      <c r="AB145" s="27">
        <f t="shared" si="111"/>
        <v>0</v>
      </c>
      <c r="AC145" s="27">
        <f>IF(AND(D145/Summary!$C$4&gt;50, D145/Summary!$C$4&lt;=100),1,0)*E145</f>
        <v>0</v>
      </c>
      <c r="AD145" s="27">
        <f t="shared" si="112"/>
        <v>0</v>
      </c>
      <c r="AE145" s="27">
        <f>IF(D145/Summary!$C$4&gt;100,1,0)*E145</f>
        <v>0</v>
      </c>
      <c r="AF145" s="27">
        <f t="shared" si="113"/>
        <v>0</v>
      </c>
      <c r="AG145" s="19">
        <f t="shared" si="114"/>
        <v>0</v>
      </c>
      <c r="AH145" s="19">
        <f t="shared" si="115"/>
        <v>100</v>
      </c>
      <c r="AI145" s="19">
        <f t="shared" si="116"/>
        <v>0</v>
      </c>
      <c r="AJ145" s="27">
        <f t="shared" si="117"/>
        <v>1</v>
      </c>
      <c r="AK145" s="27">
        <f t="shared" si="118"/>
        <v>100</v>
      </c>
      <c r="AL145" s="27">
        <f t="shared" si="119"/>
        <v>2800</v>
      </c>
      <c r="AM145">
        <f t="shared" si="120"/>
        <v>0</v>
      </c>
      <c r="AN145">
        <f t="shared" si="121"/>
        <v>0</v>
      </c>
      <c r="AO145">
        <f t="shared" si="122"/>
        <v>0</v>
      </c>
      <c r="AP145">
        <f t="shared" si="123"/>
        <v>0</v>
      </c>
      <c r="AQ145">
        <f t="shared" si="124"/>
        <v>0</v>
      </c>
      <c r="AR145">
        <f t="shared" si="125"/>
        <v>0</v>
      </c>
      <c r="AS145">
        <f t="shared" si="126"/>
        <v>0</v>
      </c>
      <c r="AT145">
        <f t="shared" si="127"/>
        <v>0</v>
      </c>
      <c r="AU145">
        <f t="shared" si="128"/>
        <v>0</v>
      </c>
      <c r="AV145">
        <f t="shared" si="129"/>
        <v>0</v>
      </c>
      <c r="AW145">
        <f t="shared" si="130"/>
        <v>0</v>
      </c>
      <c r="AX145">
        <f t="shared" si="131"/>
        <v>0</v>
      </c>
      <c r="AY145">
        <f t="shared" si="132"/>
        <v>0</v>
      </c>
      <c r="AZ145">
        <f t="shared" si="133"/>
        <v>0</v>
      </c>
      <c r="BA145">
        <f t="shared" si="134"/>
        <v>0</v>
      </c>
      <c r="BB145">
        <f t="shared" si="135"/>
        <v>0</v>
      </c>
      <c r="BC145">
        <f t="shared" si="136"/>
        <v>0</v>
      </c>
      <c r="BD145">
        <f t="shared" si="137"/>
        <v>100</v>
      </c>
      <c r="BE145">
        <f t="shared" si="138"/>
        <v>2800</v>
      </c>
      <c r="BF145">
        <f t="shared" si="139"/>
        <v>0</v>
      </c>
      <c r="BG145">
        <f t="shared" si="140"/>
        <v>0</v>
      </c>
      <c r="BH145">
        <f t="shared" si="141"/>
        <v>0</v>
      </c>
      <c r="BI145">
        <f t="shared" si="142"/>
        <v>0</v>
      </c>
      <c r="BJ145">
        <f t="shared" si="143"/>
        <v>0</v>
      </c>
      <c r="BK145">
        <f t="shared" si="144"/>
        <v>0</v>
      </c>
      <c r="BL145">
        <v>0</v>
      </c>
      <c r="BM145" t="str">
        <f t="shared" si="149"/>
        <v>Big Win</v>
      </c>
      <c r="BN145" s="32" t="str">
        <f t="shared" si="150"/>
        <v>Bonus Game A</v>
      </c>
      <c r="BO145">
        <f>(D145/Summary!$C$4-Summary!$C$8)^2*E145</f>
        <v>73820.890000000014</v>
      </c>
      <c r="BP145">
        <f t="shared" si="145"/>
        <v>0</v>
      </c>
      <c r="BQ145">
        <f t="shared" si="146"/>
        <v>0</v>
      </c>
      <c r="BR145">
        <f t="shared" si="147"/>
        <v>0</v>
      </c>
      <c r="BS145">
        <f t="shared" si="148"/>
        <v>0</v>
      </c>
    </row>
    <row r="146" spans="2:71">
      <c r="B146" s="16">
        <f>Tiers!B147</f>
        <v>144</v>
      </c>
      <c r="C146" s="17" t="str">
        <f>Tiers!Y147</f>
        <v>main-9|bonusA-1|||||||| x 1</v>
      </c>
      <c r="D146" s="18">
        <f>Tiers!C147</f>
        <v>25</v>
      </c>
      <c r="E146" s="19">
        <f>Frequency!E148</f>
        <v>100</v>
      </c>
      <c r="F146" s="19">
        <f t="shared" si="102"/>
        <v>2500</v>
      </c>
      <c r="G146" s="19">
        <f>IF(Tiers!D147&gt;1,'Data Analysis'!E146,0)</f>
        <v>0</v>
      </c>
      <c r="H146" s="19">
        <f t="shared" si="103"/>
        <v>0</v>
      </c>
      <c r="I146" s="19">
        <f>IF(AND(D146/Summary!$C$4&gt;0, D146/Summary!$C$4&lt;5),E146,0) * D146</f>
        <v>0</v>
      </c>
      <c r="J146" s="19">
        <f>IF(AND(D146/Summary!$C$4&gt;= 5, D146/Summary!$C$4&lt;10),E146,0) * D146</f>
        <v>0</v>
      </c>
      <c r="K146" s="19">
        <f>IF(AND(D146/Summary!$C$4&gt;=10, D146/Summary!$C$4&lt;25),E146,0)*D146</f>
        <v>0</v>
      </c>
      <c r="L146" s="19">
        <f>IF(D146/Summary!$C$4&gt;=25,E146,0)*D146</f>
        <v>2500</v>
      </c>
      <c r="M146" s="27">
        <f>IF(AND(D146/Summary!$C$4&gt;0, D146/Summary!$C$4&lt;1),E146,0)</f>
        <v>0</v>
      </c>
      <c r="N146" s="27">
        <f t="shared" si="104"/>
        <v>0</v>
      </c>
      <c r="O146" s="27">
        <f>IF(D146/Summary!$C$4=1,1,0)*E146</f>
        <v>0</v>
      </c>
      <c r="P146" s="27">
        <f t="shared" si="105"/>
        <v>0</v>
      </c>
      <c r="Q146" s="27">
        <f>IF(AND(D146/Summary!$C$4&gt;1, D146/Summary!$C$4&lt;=2),1,0)*E146</f>
        <v>0</v>
      </c>
      <c r="R146" s="27">
        <f t="shared" si="106"/>
        <v>0</v>
      </c>
      <c r="S146" s="27">
        <f>IF(AND(D146/Summary!$C$4&gt;2,D146/Summary!$C$4&lt;=5),1,0)*E146</f>
        <v>0</v>
      </c>
      <c r="T146" s="27">
        <f t="shared" si="107"/>
        <v>0</v>
      </c>
      <c r="U146" s="27">
        <f>IF(AND(D146/Summary!$C$4&gt;5, D146/Summary!$C$4&lt;=10),1,0)*E146</f>
        <v>0</v>
      </c>
      <c r="V146" s="27">
        <f t="shared" si="108"/>
        <v>0</v>
      </c>
      <c r="W146" s="27">
        <f>IF(AND(D146/Summary!$C$4&gt;10, D146/Summary!$C$4&lt;=20),1,0)*E146</f>
        <v>0</v>
      </c>
      <c r="X146" s="27">
        <f t="shared" si="109"/>
        <v>0</v>
      </c>
      <c r="Y146" s="27">
        <f>IF(AND(D146/Summary!$C$4&gt;20, D146/Summary!$C$4&lt;=30),1,0)*E146</f>
        <v>100</v>
      </c>
      <c r="Z146" s="27">
        <f t="shared" si="110"/>
        <v>2500</v>
      </c>
      <c r="AA146" s="27">
        <f>IF(AND(D146/Summary!$C$4&gt;30, D146/Summary!$C$4&lt;=50),1,0)*E146</f>
        <v>0</v>
      </c>
      <c r="AB146" s="27">
        <f t="shared" si="111"/>
        <v>0</v>
      </c>
      <c r="AC146" s="27">
        <f>IF(AND(D146/Summary!$C$4&gt;50, D146/Summary!$C$4&lt;=100),1,0)*E146</f>
        <v>0</v>
      </c>
      <c r="AD146" s="27">
        <f t="shared" si="112"/>
        <v>0</v>
      </c>
      <c r="AE146" s="27">
        <f>IF(D146/Summary!$C$4&gt;100,1,0)*E146</f>
        <v>0</v>
      </c>
      <c r="AF146" s="27">
        <f t="shared" si="113"/>
        <v>0</v>
      </c>
      <c r="AG146" s="19">
        <f t="shared" si="114"/>
        <v>0</v>
      </c>
      <c r="AH146" s="19">
        <f t="shared" si="115"/>
        <v>100</v>
      </c>
      <c r="AI146" s="19">
        <f t="shared" si="116"/>
        <v>0</v>
      </c>
      <c r="AJ146" s="27">
        <f t="shared" si="117"/>
        <v>1</v>
      </c>
      <c r="AK146" s="27">
        <f t="shared" si="118"/>
        <v>100</v>
      </c>
      <c r="AL146" s="27">
        <f t="shared" si="119"/>
        <v>2500</v>
      </c>
      <c r="AM146">
        <f t="shared" si="120"/>
        <v>0</v>
      </c>
      <c r="AN146">
        <f t="shared" si="121"/>
        <v>0</v>
      </c>
      <c r="AO146">
        <f t="shared" si="122"/>
        <v>0</v>
      </c>
      <c r="AP146">
        <f t="shared" si="123"/>
        <v>0</v>
      </c>
      <c r="AQ146">
        <f t="shared" si="124"/>
        <v>0</v>
      </c>
      <c r="AR146">
        <f t="shared" si="125"/>
        <v>0</v>
      </c>
      <c r="AS146">
        <f t="shared" si="126"/>
        <v>0</v>
      </c>
      <c r="AT146">
        <f t="shared" si="127"/>
        <v>0</v>
      </c>
      <c r="AU146">
        <f t="shared" si="128"/>
        <v>0</v>
      </c>
      <c r="AV146">
        <f t="shared" si="129"/>
        <v>0</v>
      </c>
      <c r="AW146">
        <f t="shared" si="130"/>
        <v>0</v>
      </c>
      <c r="AX146">
        <f t="shared" si="131"/>
        <v>0</v>
      </c>
      <c r="AY146">
        <f t="shared" si="132"/>
        <v>0</v>
      </c>
      <c r="AZ146">
        <f t="shared" si="133"/>
        <v>0</v>
      </c>
      <c r="BA146">
        <f t="shared" si="134"/>
        <v>0</v>
      </c>
      <c r="BB146">
        <f t="shared" si="135"/>
        <v>0</v>
      </c>
      <c r="BC146">
        <f t="shared" si="136"/>
        <v>0</v>
      </c>
      <c r="BD146">
        <f t="shared" si="137"/>
        <v>100</v>
      </c>
      <c r="BE146">
        <f t="shared" si="138"/>
        <v>2500</v>
      </c>
      <c r="BF146">
        <f t="shared" si="139"/>
        <v>0</v>
      </c>
      <c r="BG146">
        <f t="shared" si="140"/>
        <v>0</v>
      </c>
      <c r="BH146">
        <f t="shared" si="141"/>
        <v>0</v>
      </c>
      <c r="BI146">
        <f t="shared" si="142"/>
        <v>0</v>
      </c>
      <c r="BJ146">
        <f t="shared" si="143"/>
        <v>0</v>
      </c>
      <c r="BK146">
        <f t="shared" si="144"/>
        <v>0</v>
      </c>
      <c r="BL146">
        <v>0</v>
      </c>
      <c r="BM146" t="str">
        <f t="shared" si="149"/>
        <v>Big Win</v>
      </c>
      <c r="BN146" s="32" t="str">
        <f t="shared" si="150"/>
        <v>Bonus Game A</v>
      </c>
      <c r="BO146">
        <f>(D146/Summary!$C$4-Summary!$C$8)^2*E146</f>
        <v>58418.890000000014</v>
      </c>
      <c r="BP146">
        <f t="shared" si="145"/>
        <v>0</v>
      </c>
      <c r="BQ146">
        <f t="shared" si="146"/>
        <v>0</v>
      </c>
      <c r="BR146">
        <f t="shared" si="147"/>
        <v>0</v>
      </c>
      <c r="BS146">
        <f t="shared" si="148"/>
        <v>0</v>
      </c>
    </row>
    <row r="147" spans="2:71">
      <c r="B147" s="16">
        <f>Tiers!B148</f>
        <v>145</v>
      </c>
      <c r="C147" s="17" t="str">
        <f>Tiers!Y148</f>
        <v>main-23|bonusA-1|||||||| x 1</v>
      </c>
      <c r="D147" s="18">
        <f>Tiers!C148</f>
        <v>25</v>
      </c>
      <c r="E147" s="19">
        <f>Frequency!E149</f>
        <v>100</v>
      </c>
      <c r="F147" s="19">
        <f t="shared" si="102"/>
        <v>2500</v>
      </c>
      <c r="G147" s="19">
        <f>IF(Tiers!D148&gt;1,'Data Analysis'!E147,0)</f>
        <v>0</v>
      </c>
      <c r="H147" s="19">
        <f t="shared" si="103"/>
        <v>0</v>
      </c>
      <c r="I147" s="19">
        <f>IF(AND(D147/Summary!$C$4&gt;0, D147/Summary!$C$4&lt;5),E147,0) * D147</f>
        <v>0</v>
      </c>
      <c r="J147" s="19">
        <f>IF(AND(D147/Summary!$C$4&gt;= 5, D147/Summary!$C$4&lt;10),E147,0) * D147</f>
        <v>0</v>
      </c>
      <c r="K147" s="19">
        <f>IF(AND(D147/Summary!$C$4&gt;=10, D147/Summary!$C$4&lt;25),E147,0)*D147</f>
        <v>0</v>
      </c>
      <c r="L147" s="19">
        <f>IF(D147/Summary!$C$4&gt;=25,E147,0)*D147</f>
        <v>2500</v>
      </c>
      <c r="M147" s="27">
        <f>IF(AND(D147/Summary!$C$4&gt;0, D147/Summary!$C$4&lt;1),E147,0)</f>
        <v>0</v>
      </c>
      <c r="N147" s="27">
        <f t="shared" si="104"/>
        <v>0</v>
      </c>
      <c r="O147" s="27">
        <f>IF(D147/Summary!$C$4=1,1,0)*E147</f>
        <v>0</v>
      </c>
      <c r="P147" s="27">
        <f t="shared" si="105"/>
        <v>0</v>
      </c>
      <c r="Q147" s="27">
        <f>IF(AND(D147/Summary!$C$4&gt;1, D147/Summary!$C$4&lt;=2),1,0)*E147</f>
        <v>0</v>
      </c>
      <c r="R147" s="27">
        <f t="shared" si="106"/>
        <v>0</v>
      </c>
      <c r="S147" s="27">
        <f>IF(AND(D147/Summary!$C$4&gt;2,D147/Summary!$C$4&lt;=5),1,0)*E147</f>
        <v>0</v>
      </c>
      <c r="T147" s="27">
        <f t="shared" si="107"/>
        <v>0</v>
      </c>
      <c r="U147" s="27">
        <f>IF(AND(D147/Summary!$C$4&gt;5, D147/Summary!$C$4&lt;=10),1,0)*E147</f>
        <v>0</v>
      </c>
      <c r="V147" s="27">
        <f t="shared" si="108"/>
        <v>0</v>
      </c>
      <c r="W147" s="27">
        <f>IF(AND(D147/Summary!$C$4&gt;10, D147/Summary!$C$4&lt;=20),1,0)*E147</f>
        <v>0</v>
      </c>
      <c r="X147" s="27">
        <f t="shared" si="109"/>
        <v>0</v>
      </c>
      <c r="Y147" s="27">
        <f>IF(AND(D147/Summary!$C$4&gt;20, D147/Summary!$C$4&lt;=30),1,0)*E147</f>
        <v>100</v>
      </c>
      <c r="Z147" s="27">
        <f t="shared" si="110"/>
        <v>2500</v>
      </c>
      <c r="AA147" s="27">
        <f>IF(AND(D147/Summary!$C$4&gt;30, D147/Summary!$C$4&lt;=50),1,0)*E147</f>
        <v>0</v>
      </c>
      <c r="AB147" s="27">
        <f t="shared" si="111"/>
        <v>0</v>
      </c>
      <c r="AC147" s="27">
        <f>IF(AND(D147/Summary!$C$4&gt;50, D147/Summary!$C$4&lt;=100),1,0)*E147</f>
        <v>0</v>
      </c>
      <c r="AD147" s="27">
        <f t="shared" si="112"/>
        <v>0</v>
      </c>
      <c r="AE147" s="27">
        <f>IF(D147/Summary!$C$4&gt;100,1,0)*E147</f>
        <v>0</v>
      </c>
      <c r="AF147" s="27">
        <f t="shared" si="113"/>
        <v>0</v>
      </c>
      <c r="AG147" s="19">
        <f t="shared" si="114"/>
        <v>0</v>
      </c>
      <c r="AH147" s="19">
        <f t="shared" si="115"/>
        <v>100</v>
      </c>
      <c r="AI147" s="19">
        <f t="shared" si="116"/>
        <v>0</v>
      </c>
      <c r="AJ147" s="27">
        <f t="shared" si="117"/>
        <v>1</v>
      </c>
      <c r="AK147" s="27">
        <f t="shared" si="118"/>
        <v>100</v>
      </c>
      <c r="AL147" s="27">
        <f t="shared" si="119"/>
        <v>2500</v>
      </c>
      <c r="AM147">
        <f t="shared" si="120"/>
        <v>0</v>
      </c>
      <c r="AN147">
        <f t="shared" si="121"/>
        <v>0</v>
      </c>
      <c r="AO147">
        <f t="shared" si="122"/>
        <v>0</v>
      </c>
      <c r="AP147">
        <f t="shared" si="123"/>
        <v>0</v>
      </c>
      <c r="AQ147">
        <f t="shared" si="124"/>
        <v>0</v>
      </c>
      <c r="AR147">
        <f t="shared" si="125"/>
        <v>0</v>
      </c>
      <c r="AS147">
        <f t="shared" si="126"/>
        <v>0</v>
      </c>
      <c r="AT147">
        <f t="shared" si="127"/>
        <v>0</v>
      </c>
      <c r="AU147">
        <f t="shared" si="128"/>
        <v>0</v>
      </c>
      <c r="AV147">
        <f t="shared" si="129"/>
        <v>0</v>
      </c>
      <c r="AW147">
        <f t="shared" si="130"/>
        <v>0</v>
      </c>
      <c r="AX147">
        <f t="shared" si="131"/>
        <v>0</v>
      </c>
      <c r="AY147">
        <f t="shared" si="132"/>
        <v>0</v>
      </c>
      <c r="AZ147">
        <f t="shared" si="133"/>
        <v>0</v>
      </c>
      <c r="BA147">
        <f t="shared" si="134"/>
        <v>0</v>
      </c>
      <c r="BB147">
        <f t="shared" si="135"/>
        <v>0</v>
      </c>
      <c r="BC147">
        <f t="shared" si="136"/>
        <v>0</v>
      </c>
      <c r="BD147">
        <f t="shared" si="137"/>
        <v>100</v>
      </c>
      <c r="BE147">
        <f t="shared" si="138"/>
        <v>2500</v>
      </c>
      <c r="BF147">
        <f t="shared" si="139"/>
        <v>0</v>
      </c>
      <c r="BG147">
        <f t="shared" si="140"/>
        <v>0</v>
      </c>
      <c r="BH147">
        <f t="shared" si="141"/>
        <v>0</v>
      </c>
      <c r="BI147">
        <f t="shared" si="142"/>
        <v>0</v>
      </c>
      <c r="BJ147">
        <f t="shared" si="143"/>
        <v>0</v>
      </c>
      <c r="BK147">
        <f t="shared" si="144"/>
        <v>0</v>
      </c>
      <c r="BL147">
        <v>0</v>
      </c>
      <c r="BM147" t="str">
        <f t="shared" si="149"/>
        <v>Big Win</v>
      </c>
      <c r="BN147" s="32" t="str">
        <f t="shared" si="150"/>
        <v>Bonus Game A</v>
      </c>
      <c r="BO147">
        <f>(D147/Summary!$C$4-Summary!$C$8)^2*E147</f>
        <v>58418.890000000014</v>
      </c>
      <c r="BP147">
        <f t="shared" si="145"/>
        <v>0</v>
      </c>
      <c r="BQ147">
        <f t="shared" si="146"/>
        <v>0</v>
      </c>
      <c r="BR147">
        <f t="shared" si="147"/>
        <v>0</v>
      </c>
      <c r="BS147">
        <f t="shared" si="148"/>
        <v>0</v>
      </c>
    </row>
    <row r="148" spans="2:71">
      <c r="B148" s="16">
        <f>Tiers!B149</f>
        <v>146</v>
      </c>
      <c r="C148" s="17" t="str">
        <f>Tiers!Y149</f>
        <v>main-13|bonusA-3|||||||| x 1</v>
      </c>
      <c r="D148" s="18">
        <f>Tiers!C149</f>
        <v>30</v>
      </c>
      <c r="E148" s="19">
        <f>Frequency!E150</f>
        <v>100</v>
      </c>
      <c r="F148" s="19">
        <f t="shared" si="102"/>
        <v>3000</v>
      </c>
      <c r="G148" s="19">
        <f>IF(Tiers!D149&gt;1,'Data Analysis'!E148,0)</f>
        <v>0</v>
      </c>
      <c r="H148" s="19">
        <f t="shared" si="103"/>
        <v>0</v>
      </c>
      <c r="I148" s="19">
        <f>IF(AND(D148/Summary!$C$4&gt;0, D148/Summary!$C$4&lt;5),E148,0) * D148</f>
        <v>0</v>
      </c>
      <c r="J148" s="19">
        <f>IF(AND(D148/Summary!$C$4&gt;= 5, D148/Summary!$C$4&lt;10),E148,0) * D148</f>
        <v>0</v>
      </c>
      <c r="K148" s="19">
        <f>IF(AND(D148/Summary!$C$4&gt;=10, D148/Summary!$C$4&lt;25),E148,0)*D148</f>
        <v>0</v>
      </c>
      <c r="L148" s="19">
        <f>IF(D148/Summary!$C$4&gt;=25,E148,0)*D148</f>
        <v>3000</v>
      </c>
      <c r="M148" s="27">
        <f>IF(AND(D148/Summary!$C$4&gt;0, D148/Summary!$C$4&lt;1),E148,0)</f>
        <v>0</v>
      </c>
      <c r="N148" s="27">
        <f t="shared" si="104"/>
        <v>0</v>
      </c>
      <c r="O148" s="27">
        <f>IF(D148/Summary!$C$4=1,1,0)*E148</f>
        <v>0</v>
      </c>
      <c r="P148" s="27">
        <f t="shared" si="105"/>
        <v>0</v>
      </c>
      <c r="Q148" s="27">
        <f>IF(AND(D148/Summary!$C$4&gt;1, D148/Summary!$C$4&lt;=2),1,0)*E148</f>
        <v>0</v>
      </c>
      <c r="R148" s="27">
        <f t="shared" si="106"/>
        <v>0</v>
      </c>
      <c r="S148" s="27">
        <f>IF(AND(D148/Summary!$C$4&gt;2,D148/Summary!$C$4&lt;=5),1,0)*E148</f>
        <v>0</v>
      </c>
      <c r="T148" s="27">
        <f t="shared" si="107"/>
        <v>0</v>
      </c>
      <c r="U148" s="27">
        <f>IF(AND(D148/Summary!$C$4&gt;5, D148/Summary!$C$4&lt;=10),1,0)*E148</f>
        <v>0</v>
      </c>
      <c r="V148" s="27">
        <f t="shared" si="108"/>
        <v>0</v>
      </c>
      <c r="W148" s="27">
        <f>IF(AND(D148/Summary!$C$4&gt;10, D148/Summary!$C$4&lt;=20),1,0)*E148</f>
        <v>0</v>
      </c>
      <c r="X148" s="27">
        <f t="shared" si="109"/>
        <v>0</v>
      </c>
      <c r="Y148" s="27">
        <f>IF(AND(D148/Summary!$C$4&gt;20, D148/Summary!$C$4&lt;=30),1,0)*E148</f>
        <v>100</v>
      </c>
      <c r="Z148" s="27">
        <f t="shared" si="110"/>
        <v>3000</v>
      </c>
      <c r="AA148" s="27">
        <f>IF(AND(D148/Summary!$C$4&gt;30, D148/Summary!$C$4&lt;=50),1,0)*E148</f>
        <v>0</v>
      </c>
      <c r="AB148" s="27">
        <f t="shared" si="111"/>
        <v>0</v>
      </c>
      <c r="AC148" s="27">
        <f>IF(AND(D148/Summary!$C$4&gt;50, D148/Summary!$C$4&lt;=100),1,0)*E148</f>
        <v>0</v>
      </c>
      <c r="AD148" s="27">
        <f t="shared" si="112"/>
        <v>0</v>
      </c>
      <c r="AE148" s="27">
        <f>IF(D148/Summary!$C$4&gt;100,1,0)*E148</f>
        <v>0</v>
      </c>
      <c r="AF148" s="27">
        <f t="shared" si="113"/>
        <v>0</v>
      </c>
      <c r="AG148" s="19">
        <f t="shared" si="114"/>
        <v>0</v>
      </c>
      <c r="AH148" s="19">
        <f t="shared" si="115"/>
        <v>100</v>
      </c>
      <c r="AI148" s="19">
        <f t="shared" si="116"/>
        <v>0</v>
      </c>
      <c r="AJ148" s="27">
        <f t="shared" si="117"/>
        <v>1</v>
      </c>
      <c r="AK148" s="27">
        <f t="shared" si="118"/>
        <v>100</v>
      </c>
      <c r="AL148" s="27">
        <f t="shared" si="119"/>
        <v>3000</v>
      </c>
      <c r="AM148">
        <f t="shared" si="120"/>
        <v>0</v>
      </c>
      <c r="AN148">
        <f t="shared" si="121"/>
        <v>0</v>
      </c>
      <c r="AO148">
        <f t="shared" si="122"/>
        <v>0</v>
      </c>
      <c r="AP148">
        <f t="shared" si="123"/>
        <v>0</v>
      </c>
      <c r="AQ148">
        <f t="shared" si="124"/>
        <v>0</v>
      </c>
      <c r="AR148">
        <f t="shared" si="125"/>
        <v>0</v>
      </c>
      <c r="AS148">
        <f t="shared" si="126"/>
        <v>0</v>
      </c>
      <c r="AT148">
        <f t="shared" si="127"/>
        <v>0</v>
      </c>
      <c r="AU148">
        <f t="shared" si="128"/>
        <v>0</v>
      </c>
      <c r="AV148">
        <f t="shared" si="129"/>
        <v>0</v>
      </c>
      <c r="AW148">
        <f t="shared" si="130"/>
        <v>0</v>
      </c>
      <c r="AX148">
        <f t="shared" si="131"/>
        <v>0</v>
      </c>
      <c r="AY148">
        <f t="shared" si="132"/>
        <v>0</v>
      </c>
      <c r="AZ148">
        <f t="shared" si="133"/>
        <v>0</v>
      </c>
      <c r="BA148">
        <f t="shared" si="134"/>
        <v>0</v>
      </c>
      <c r="BB148">
        <f t="shared" si="135"/>
        <v>0</v>
      </c>
      <c r="BC148">
        <f t="shared" si="136"/>
        <v>0</v>
      </c>
      <c r="BD148">
        <f t="shared" si="137"/>
        <v>100</v>
      </c>
      <c r="BE148">
        <f t="shared" si="138"/>
        <v>3000</v>
      </c>
      <c r="BF148">
        <f t="shared" si="139"/>
        <v>0</v>
      </c>
      <c r="BG148">
        <f t="shared" si="140"/>
        <v>0</v>
      </c>
      <c r="BH148">
        <f t="shared" si="141"/>
        <v>0</v>
      </c>
      <c r="BI148">
        <f t="shared" si="142"/>
        <v>0</v>
      </c>
      <c r="BJ148">
        <f t="shared" si="143"/>
        <v>0</v>
      </c>
      <c r="BK148">
        <f t="shared" si="144"/>
        <v>0</v>
      </c>
      <c r="BL148">
        <v>0</v>
      </c>
      <c r="BM148" t="str">
        <f t="shared" si="149"/>
        <v>Big Win</v>
      </c>
      <c r="BN148" s="32" t="str">
        <f t="shared" si="150"/>
        <v>Bonus Game A</v>
      </c>
      <c r="BO148">
        <f>(D148/Summary!$C$4-Summary!$C$8)^2*E148</f>
        <v>85088.890000000014</v>
      </c>
      <c r="BP148">
        <f t="shared" si="145"/>
        <v>0</v>
      </c>
      <c r="BQ148">
        <f t="shared" si="146"/>
        <v>0</v>
      </c>
      <c r="BR148">
        <f t="shared" si="147"/>
        <v>0</v>
      </c>
      <c r="BS148">
        <f t="shared" si="148"/>
        <v>0</v>
      </c>
    </row>
    <row r="149" spans="2:71">
      <c r="B149" s="16">
        <f>Tiers!B150</f>
        <v>147</v>
      </c>
      <c r="C149" s="17" t="str">
        <f>Tiers!Y150</f>
        <v>main-24|bonusA-0|||||||| x 1</v>
      </c>
      <c r="D149" s="18">
        <f>Tiers!C150</f>
        <v>25</v>
      </c>
      <c r="E149" s="19">
        <f>Frequency!E151</f>
        <v>40</v>
      </c>
      <c r="F149" s="19">
        <f t="shared" si="102"/>
        <v>1000</v>
      </c>
      <c r="G149" s="19">
        <f>IF(Tiers!D150&gt;1,'Data Analysis'!E149,0)</f>
        <v>0</v>
      </c>
      <c r="H149" s="19">
        <f t="shared" si="103"/>
        <v>0</v>
      </c>
      <c r="I149" s="19">
        <f>IF(AND(D149/Summary!$C$4&gt;0, D149/Summary!$C$4&lt;5),E149,0) * D149</f>
        <v>0</v>
      </c>
      <c r="J149" s="19">
        <f>IF(AND(D149/Summary!$C$4&gt;= 5, D149/Summary!$C$4&lt;10),E149,0) * D149</f>
        <v>0</v>
      </c>
      <c r="K149" s="19">
        <f>IF(AND(D149/Summary!$C$4&gt;=10, D149/Summary!$C$4&lt;25),E149,0)*D149</f>
        <v>0</v>
      </c>
      <c r="L149" s="19">
        <f>IF(D149/Summary!$C$4&gt;=25,E149,0)*D149</f>
        <v>1000</v>
      </c>
      <c r="M149" s="27">
        <f>IF(AND(D149/Summary!$C$4&gt;0, D149/Summary!$C$4&lt;1),E149,0)</f>
        <v>0</v>
      </c>
      <c r="N149" s="27">
        <f t="shared" si="104"/>
        <v>0</v>
      </c>
      <c r="O149" s="27">
        <f>IF(D149/Summary!$C$4=1,1,0)*E149</f>
        <v>0</v>
      </c>
      <c r="P149" s="27">
        <f t="shared" si="105"/>
        <v>0</v>
      </c>
      <c r="Q149" s="27">
        <f>IF(AND(D149/Summary!$C$4&gt;1, D149/Summary!$C$4&lt;=2),1,0)*E149</f>
        <v>0</v>
      </c>
      <c r="R149" s="27">
        <f t="shared" si="106"/>
        <v>0</v>
      </c>
      <c r="S149" s="27">
        <f>IF(AND(D149/Summary!$C$4&gt;2,D149/Summary!$C$4&lt;=5),1,0)*E149</f>
        <v>0</v>
      </c>
      <c r="T149" s="27">
        <f t="shared" si="107"/>
        <v>0</v>
      </c>
      <c r="U149" s="27">
        <f>IF(AND(D149/Summary!$C$4&gt;5, D149/Summary!$C$4&lt;=10),1,0)*E149</f>
        <v>0</v>
      </c>
      <c r="V149" s="27">
        <f t="shared" si="108"/>
        <v>0</v>
      </c>
      <c r="W149" s="27">
        <f>IF(AND(D149/Summary!$C$4&gt;10, D149/Summary!$C$4&lt;=20),1,0)*E149</f>
        <v>0</v>
      </c>
      <c r="X149" s="27">
        <f t="shared" si="109"/>
        <v>0</v>
      </c>
      <c r="Y149" s="27">
        <f>IF(AND(D149/Summary!$C$4&gt;20, D149/Summary!$C$4&lt;=30),1,0)*E149</f>
        <v>40</v>
      </c>
      <c r="Z149" s="27">
        <f t="shared" si="110"/>
        <v>1000</v>
      </c>
      <c r="AA149" s="27">
        <f>IF(AND(D149/Summary!$C$4&gt;30, D149/Summary!$C$4&lt;=50),1,0)*E149</f>
        <v>0</v>
      </c>
      <c r="AB149" s="27">
        <f t="shared" si="111"/>
        <v>0</v>
      </c>
      <c r="AC149" s="27">
        <f>IF(AND(D149/Summary!$C$4&gt;50, D149/Summary!$C$4&lt;=100),1,0)*E149</f>
        <v>0</v>
      </c>
      <c r="AD149" s="27">
        <f t="shared" si="112"/>
        <v>0</v>
      </c>
      <c r="AE149" s="27">
        <f>IF(D149/Summary!$C$4&gt;100,1,0)*E149</f>
        <v>0</v>
      </c>
      <c r="AF149" s="27">
        <f t="shared" si="113"/>
        <v>0</v>
      </c>
      <c r="AG149" s="19">
        <f t="shared" si="114"/>
        <v>0</v>
      </c>
      <c r="AH149" s="19">
        <f t="shared" si="115"/>
        <v>40</v>
      </c>
      <c r="AI149" s="19">
        <f t="shared" si="116"/>
        <v>0</v>
      </c>
      <c r="AJ149" s="27">
        <f t="shared" si="117"/>
        <v>1</v>
      </c>
      <c r="AK149" s="27">
        <f t="shared" si="118"/>
        <v>40</v>
      </c>
      <c r="AL149" s="27">
        <f t="shared" si="119"/>
        <v>1000</v>
      </c>
      <c r="AM149">
        <f t="shared" si="120"/>
        <v>0</v>
      </c>
      <c r="AN149">
        <f t="shared" si="121"/>
        <v>0</v>
      </c>
      <c r="AO149">
        <f t="shared" si="122"/>
        <v>0</v>
      </c>
      <c r="AP149">
        <f t="shared" si="123"/>
        <v>0</v>
      </c>
      <c r="AQ149">
        <f t="shared" si="124"/>
        <v>0</v>
      </c>
      <c r="AR149">
        <f t="shared" si="125"/>
        <v>0</v>
      </c>
      <c r="AS149">
        <f t="shared" si="126"/>
        <v>0</v>
      </c>
      <c r="AT149">
        <f t="shared" si="127"/>
        <v>0</v>
      </c>
      <c r="AU149">
        <f t="shared" si="128"/>
        <v>0</v>
      </c>
      <c r="AV149">
        <f t="shared" si="129"/>
        <v>0</v>
      </c>
      <c r="AW149">
        <f t="shared" si="130"/>
        <v>0</v>
      </c>
      <c r="AX149">
        <f t="shared" si="131"/>
        <v>0</v>
      </c>
      <c r="AY149">
        <f t="shared" si="132"/>
        <v>0</v>
      </c>
      <c r="AZ149">
        <f t="shared" si="133"/>
        <v>0</v>
      </c>
      <c r="BA149">
        <f t="shared" si="134"/>
        <v>0</v>
      </c>
      <c r="BB149">
        <f t="shared" si="135"/>
        <v>0</v>
      </c>
      <c r="BC149">
        <f t="shared" si="136"/>
        <v>0</v>
      </c>
      <c r="BD149">
        <f t="shared" si="137"/>
        <v>40</v>
      </c>
      <c r="BE149">
        <f t="shared" si="138"/>
        <v>1000</v>
      </c>
      <c r="BF149">
        <f t="shared" si="139"/>
        <v>0</v>
      </c>
      <c r="BG149">
        <f t="shared" si="140"/>
        <v>0</v>
      </c>
      <c r="BH149">
        <f t="shared" si="141"/>
        <v>0</v>
      </c>
      <c r="BI149">
        <f t="shared" si="142"/>
        <v>0</v>
      </c>
      <c r="BJ149">
        <f t="shared" si="143"/>
        <v>0</v>
      </c>
      <c r="BK149">
        <f t="shared" si="144"/>
        <v>0</v>
      </c>
      <c r="BL149">
        <v>0</v>
      </c>
      <c r="BM149" t="str">
        <f t="shared" si="149"/>
        <v>Big Win</v>
      </c>
      <c r="BN149" s="32" t="str">
        <f t="shared" si="150"/>
        <v>Bonus Game A</v>
      </c>
      <c r="BO149">
        <f>(D149/Summary!$C$4-Summary!$C$8)^2*E149</f>
        <v>23367.556000000004</v>
      </c>
      <c r="BP149">
        <f t="shared" si="145"/>
        <v>0</v>
      </c>
      <c r="BQ149">
        <f t="shared" si="146"/>
        <v>0</v>
      </c>
      <c r="BR149">
        <f t="shared" si="147"/>
        <v>0</v>
      </c>
      <c r="BS149">
        <f t="shared" si="148"/>
        <v>0</v>
      </c>
    </row>
    <row r="150" spans="2:71">
      <c r="B150" s="16">
        <f>Tiers!B151</f>
        <v>148</v>
      </c>
      <c r="C150" s="17" t="str">
        <f>Tiers!Y151</f>
        <v>main-20|bonusA-4|||||||| x 1</v>
      </c>
      <c r="D150" s="18">
        <f>Tiers!C151</f>
        <v>31.5</v>
      </c>
      <c r="E150" s="19">
        <f>Frequency!E152</f>
        <v>100</v>
      </c>
      <c r="F150" s="19">
        <f t="shared" si="102"/>
        <v>3150</v>
      </c>
      <c r="G150" s="19">
        <f>IF(Tiers!D151&gt;1,'Data Analysis'!E150,0)</f>
        <v>0</v>
      </c>
      <c r="H150" s="19">
        <f t="shared" si="103"/>
        <v>0</v>
      </c>
      <c r="I150" s="19">
        <f>IF(AND(D150/Summary!$C$4&gt;0, D150/Summary!$C$4&lt;5),E150,0) * D150</f>
        <v>0</v>
      </c>
      <c r="J150" s="19">
        <f>IF(AND(D150/Summary!$C$4&gt;= 5, D150/Summary!$C$4&lt;10),E150,0) * D150</f>
        <v>0</v>
      </c>
      <c r="K150" s="19">
        <f>IF(AND(D150/Summary!$C$4&gt;=10, D150/Summary!$C$4&lt;25),E150,0)*D150</f>
        <v>0</v>
      </c>
      <c r="L150" s="19">
        <f>IF(D150/Summary!$C$4&gt;=25,E150,0)*D150</f>
        <v>3150</v>
      </c>
      <c r="M150" s="27">
        <f>IF(AND(D150/Summary!$C$4&gt;0, D150/Summary!$C$4&lt;1),E150,0)</f>
        <v>0</v>
      </c>
      <c r="N150" s="27">
        <f t="shared" si="104"/>
        <v>0</v>
      </c>
      <c r="O150" s="27">
        <f>IF(D150/Summary!$C$4=1,1,0)*E150</f>
        <v>0</v>
      </c>
      <c r="P150" s="27">
        <f t="shared" si="105"/>
        <v>0</v>
      </c>
      <c r="Q150" s="27">
        <f>IF(AND(D150/Summary!$C$4&gt;1, D150/Summary!$C$4&lt;=2),1,0)*E150</f>
        <v>0</v>
      </c>
      <c r="R150" s="27">
        <f t="shared" si="106"/>
        <v>0</v>
      </c>
      <c r="S150" s="27">
        <f>IF(AND(D150/Summary!$C$4&gt;2,D150/Summary!$C$4&lt;=5),1,0)*E150</f>
        <v>0</v>
      </c>
      <c r="T150" s="27">
        <f t="shared" si="107"/>
        <v>0</v>
      </c>
      <c r="U150" s="27">
        <f>IF(AND(D150/Summary!$C$4&gt;5, D150/Summary!$C$4&lt;=10),1,0)*E150</f>
        <v>0</v>
      </c>
      <c r="V150" s="27">
        <f t="shared" si="108"/>
        <v>0</v>
      </c>
      <c r="W150" s="27">
        <f>IF(AND(D150/Summary!$C$4&gt;10, D150/Summary!$C$4&lt;=20),1,0)*E150</f>
        <v>0</v>
      </c>
      <c r="X150" s="27">
        <f t="shared" si="109"/>
        <v>0</v>
      </c>
      <c r="Y150" s="27">
        <f>IF(AND(D150/Summary!$C$4&gt;20, D150/Summary!$C$4&lt;=30),1,0)*E150</f>
        <v>0</v>
      </c>
      <c r="Z150" s="27">
        <f t="shared" si="110"/>
        <v>0</v>
      </c>
      <c r="AA150" s="27">
        <f>IF(AND(D150/Summary!$C$4&gt;30, D150/Summary!$C$4&lt;=50),1,0)*E150</f>
        <v>100</v>
      </c>
      <c r="AB150" s="27">
        <f t="shared" si="111"/>
        <v>3150</v>
      </c>
      <c r="AC150" s="27">
        <f>IF(AND(D150/Summary!$C$4&gt;50, D150/Summary!$C$4&lt;=100),1,0)*E150</f>
        <v>0</v>
      </c>
      <c r="AD150" s="27">
        <f t="shared" si="112"/>
        <v>0</v>
      </c>
      <c r="AE150" s="27">
        <f>IF(D150/Summary!$C$4&gt;100,1,0)*E150</f>
        <v>0</v>
      </c>
      <c r="AF150" s="27">
        <f t="shared" si="113"/>
        <v>0</v>
      </c>
      <c r="AG150" s="19">
        <f t="shared" si="114"/>
        <v>0</v>
      </c>
      <c r="AH150" s="19">
        <f t="shared" si="115"/>
        <v>100</v>
      </c>
      <c r="AI150" s="19">
        <f t="shared" si="116"/>
        <v>0</v>
      </c>
      <c r="AJ150" s="27">
        <f t="shared" si="117"/>
        <v>1</v>
      </c>
      <c r="AK150" s="27">
        <f t="shared" si="118"/>
        <v>100</v>
      </c>
      <c r="AL150" s="27">
        <f t="shared" si="119"/>
        <v>3150</v>
      </c>
      <c r="AM150">
        <f t="shared" si="120"/>
        <v>0</v>
      </c>
      <c r="AN150">
        <f t="shared" si="121"/>
        <v>0</v>
      </c>
      <c r="AO150">
        <f t="shared" si="122"/>
        <v>0</v>
      </c>
      <c r="AP150">
        <f t="shared" si="123"/>
        <v>0</v>
      </c>
      <c r="AQ150">
        <f t="shared" si="124"/>
        <v>0</v>
      </c>
      <c r="AR150">
        <f t="shared" si="125"/>
        <v>0</v>
      </c>
      <c r="AS150">
        <f t="shared" si="126"/>
        <v>0</v>
      </c>
      <c r="AT150">
        <f t="shared" si="127"/>
        <v>0</v>
      </c>
      <c r="AU150">
        <f t="shared" si="128"/>
        <v>0</v>
      </c>
      <c r="AV150">
        <f t="shared" si="129"/>
        <v>0</v>
      </c>
      <c r="AW150">
        <f t="shared" si="130"/>
        <v>0</v>
      </c>
      <c r="AX150">
        <f t="shared" si="131"/>
        <v>0</v>
      </c>
      <c r="AY150">
        <f t="shared" si="132"/>
        <v>0</v>
      </c>
      <c r="AZ150">
        <f t="shared" si="133"/>
        <v>0</v>
      </c>
      <c r="BA150">
        <f t="shared" si="134"/>
        <v>0</v>
      </c>
      <c r="BB150">
        <f t="shared" si="135"/>
        <v>0</v>
      </c>
      <c r="BC150">
        <f t="shared" si="136"/>
        <v>0</v>
      </c>
      <c r="BD150">
        <f t="shared" si="137"/>
        <v>100</v>
      </c>
      <c r="BE150">
        <f t="shared" si="138"/>
        <v>3150</v>
      </c>
      <c r="BF150">
        <f t="shared" si="139"/>
        <v>0</v>
      </c>
      <c r="BG150">
        <f t="shared" si="140"/>
        <v>0</v>
      </c>
      <c r="BH150">
        <f t="shared" si="141"/>
        <v>0</v>
      </c>
      <c r="BI150">
        <f t="shared" si="142"/>
        <v>0</v>
      </c>
      <c r="BJ150">
        <f t="shared" si="143"/>
        <v>0</v>
      </c>
      <c r="BK150">
        <f t="shared" si="144"/>
        <v>0</v>
      </c>
      <c r="BL150">
        <v>0</v>
      </c>
      <c r="BM150" t="str">
        <f t="shared" si="149"/>
        <v>Big Win</v>
      </c>
      <c r="BN150" s="32" t="str">
        <f t="shared" si="150"/>
        <v>Bonus Game A</v>
      </c>
      <c r="BO150">
        <f>(D150/Summary!$C$4-Summary!$C$8)^2*E150</f>
        <v>94064.890000000014</v>
      </c>
      <c r="BP150">
        <f t="shared" si="145"/>
        <v>0</v>
      </c>
      <c r="BQ150">
        <f t="shared" si="146"/>
        <v>0</v>
      </c>
      <c r="BR150">
        <f t="shared" si="147"/>
        <v>0</v>
      </c>
      <c r="BS150">
        <f t="shared" si="148"/>
        <v>0</v>
      </c>
    </row>
    <row r="151" spans="2:71">
      <c r="B151" s="16">
        <f>Tiers!B152</f>
        <v>149</v>
      </c>
      <c r="C151" s="17" t="str">
        <f>Tiers!Y152</f>
        <v>main-6|bonusA-4|||||||| x 1</v>
      </c>
      <c r="D151" s="18">
        <f>Tiers!C152</f>
        <v>32.5</v>
      </c>
      <c r="E151" s="19">
        <f>Frequency!E153</f>
        <v>100</v>
      </c>
      <c r="F151" s="19">
        <f t="shared" si="102"/>
        <v>3250</v>
      </c>
      <c r="G151" s="19">
        <f>IF(Tiers!D152&gt;1,'Data Analysis'!E151,0)</f>
        <v>0</v>
      </c>
      <c r="H151" s="19">
        <f t="shared" si="103"/>
        <v>0</v>
      </c>
      <c r="I151" s="19">
        <f>IF(AND(D151/Summary!$C$4&gt;0, D151/Summary!$C$4&lt;5),E151,0) * D151</f>
        <v>0</v>
      </c>
      <c r="J151" s="19">
        <f>IF(AND(D151/Summary!$C$4&gt;= 5, D151/Summary!$C$4&lt;10),E151,0) * D151</f>
        <v>0</v>
      </c>
      <c r="K151" s="19">
        <f>IF(AND(D151/Summary!$C$4&gt;=10, D151/Summary!$C$4&lt;25),E151,0)*D151</f>
        <v>0</v>
      </c>
      <c r="L151" s="19">
        <f>IF(D151/Summary!$C$4&gt;=25,E151,0)*D151</f>
        <v>3250</v>
      </c>
      <c r="M151" s="27">
        <f>IF(AND(D151/Summary!$C$4&gt;0, D151/Summary!$C$4&lt;1),E151,0)</f>
        <v>0</v>
      </c>
      <c r="N151" s="27">
        <f t="shared" si="104"/>
        <v>0</v>
      </c>
      <c r="O151" s="27">
        <f>IF(D151/Summary!$C$4=1,1,0)*E151</f>
        <v>0</v>
      </c>
      <c r="P151" s="27">
        <f t="shared" si="105"/>
        <v>0</v>
      </c>
      <c r="Q151" s="27">
        <f>IF(AND(D151/Summary!$C$4&gt;1, D151/Summary!$C$4&lt;=2),1,0)*E151</f>
        <v>0</v>
      </c>
      <c r="R151" s="27">
        <f t="shared" si="106"/>
        <v>0</v>
      </c>
      <c r="S151" s="27">
        <f>IF(AND(D151/Summary!$C$4&gt;2,D151/Summary!$C$4&lt;=5),1,0)*E151</f>
        <v>0</v>
      </c>
      <c r="T151" s="27">
        <f t="shared" si="107"/>
        <v>0</v>
      </c>
      <c r="U151" s="27">
        <f>IF(AND(D151/Summary!$C$4&gt;5, D151/Summary!$C$4&lt;=10),1,0)*E151</f>
        <v>0</v>
      </c>
      <c r="V151" s="27">
        <f t="shared" si="108"/>
        <v>0</v>
      </c>
      <c r="W151" s="27">
        <f>IF(AND(D151/Summary!$C$4&gt;10, D151/Summary!$C$4&lt;=20),1,0)*E151</f>
        <v>0</v>
      </c>
      <c r="X151" s="27">
        <f t="shared" si="109"/>
        <v>0</v>
      </c>
      <c r="Y151" s="27">
        <f>IF(AND(D151/Summary!$C$4&gt;20, D151/Summary!$C$4&lt;=30),1,0)*E151</f>
        <v>0</v>
      </c>
      <c r="Z151" s="27">
        <f t="shared" si="110"/>
        <v>0</v>
      </c>
      <c r="AA151" s="27">
        <f>IF(AND(D151/Summary!$C$4&gt;30, D151/Summary!$C$4&lt;=50),1,0)*E151</f>
        <v>100</v>
      </c>
      <c r="AB151" s="27">
        <f t="shared" si="111"/>
        <v>3250</v>
      </c>
      <c r="AC151" s="27">
        <f>IF(AND(D151/Summary!$C$4&gt;50, D151/Summary!$C$4&lt;=100),1,0)*E151</f>
        <v>0</v>
      </c>
      <c r="AD151" s="27">
        <f t="shared" si="112"/>
        <v>0</v>
      </c>
      <c r="AE151" s="27">
        <f>IF(D151/Summary!$C$4&gt;100,1,0)*E151</f>
        <v>0</v>
      </c>
      <c r="AF151" s="27">
        <f t="shared" si="113"/>
        <v>0</v>
      </c>
      <c r="AG151" s="19">
        <f t="shared" si="114"/>
        <v>0</v>
      </c>
      <c r="AH151" s="19">
        <f t="shared" si="115"/>
        <v>100</v>
      </c>
      <c r="AI151" s="19">
        <f t="shared" si="116"/>
        <v>0</v>
      </c>
      <c r="AJ151" s="27">
        <f t="shared" si="117"/>
        <v>1</v>
      </c>
      <c r="AK151" s="27">
        <f t="shared" si="118"/>
        <v>100</v>
      </c>
      <c r="AL151" s="27">
        <f t="shared" si="119"/>
        <v>3250</v>
      </c>
      <c r="AM151">
        <f t="shared" si="120"/>
        <v>0</v>
      </c>
      <c r="AN151">
        <f t="shared" si="121"/>
        <v>0</v>
      </c>
      <c r="AO151">
        <f t="shared" si="122"/>
        <v>0</v>
      </c>
      <c r="AP151">
        <f t="shared" si="123"/>
        <v>0</v>
      </c>
      <c r="AQ151">
        <f t="shared" si="124"/>
        <v>0</v>
      </c>
      <c r="AR151">
        <f t="shared" si="125"/>
        <v>0</v>
      </c>
      <c r="AS151">
        <f t="shared" si="126"/>
        <v>0</v>
      </c>
      <c r="AT151">
        <f t="shared" si="127"/>
        <v>0</v>
      </c>
      <c r="AU151">
        <f t="shared" si="128"/>
        <v>0</v>
      </c>
      <c r="AV151">
        <f t="shared" si="129"/>
        <v>0</v>
      </c>
      <c r="AW151">
        <f t="shared" si="130"/>
        <v>0</v>
      </c>
      <c r="AX151">
        <f t="shared" si="131"/>
        <v>0</v>
      </c>
      <c r="AY151">
        <f t="shared" si="132"/>
        <v>0</v>
      </c>
      <c r="AZ151">
        <f t="shared" si="133"/>
        <v>0</v>
      </c>
      <c r="BA151">
        <f t="shared" si="134"/>
        <v>0</v>
      </c>
      <c r="BB151">
        <f t="shared" si="135"/>
        <v>0</v>
      </c>
      <c r="BC151">
        <f t="shared" si="136"/>
        <v>0</v>
      </c>
      <c r="BD151">
        <f t="shared" si="137"/>
        <v>100</v>
      </c>
      <c r="BE151">
        <f t="shared" si="138"/>
        <v>3250</v>
      </c>
      <c r="BF151">
        <f t="shared" si="139"/>
        <v>0</v>
      </c>
      <c r="BG151">
        <f t="shared" si="140"/>
        <v>0</v>
      </c>
      <c r="BH151">
        <f t="shared" si="141"/>
        <v>0</v>
      </c>
      <c r="BI151">
        <f t="shared" si="142"/>
        <v>0</v>
      </c>
      <c r="BJ151">
        <f t="shared" si="143"/>
        <v>0</v>
      </c>
      <c r="BK151">
        <f t="shared" si="144"/>
        <v>0</v>
      </c>
      <c r="BL151">
        <v>0</v>
      </c>
      <c r="BM151" t="str">
        <f t="shared" si="149"/>
        <v>Big Win</v>
      </c>
      <c r="BN151" s="32" t="str">
        <f t="shared" si="150"/>
        <v>Bonus Game A</v>
      </c>
      <c r="BO151">
        <f>(D151/Summary!$C$4-Summary!$C$8)^2*E151</f>
        <v>100298.89</v>
      </c>
      <c r="BP151">
        <f t="shared" si="145"/>
        <v>0</v>
      </c>
      <c r="BQ151">
        <f t="shared" si="146"/>
        <v>0</v>
      </c>
      <c r="BR151">
        <f t="shared" si="147"/>
        <v>0</v>
      </c>
      <c r="BS151">
        <f t="shared" si="148"/>
        <v>0</v>
      </c>
    </row>
    <row r="152" spans="2:71">
      <c r="B152" s="16">
        <f>Tiers!B153</f>
        <v>150</v>
      </c>
      <c r="C152" s="17" t="str">
        <f>Tiers!Y153</f>
        <v>main-32|bonusA-3|||||||| x 1</v>
      </c>
      <c r="D152" s="18">
        <f>Tiers!C153</f>
        <v>35</v>
      </c>
      <c r="E152" s="19">
        <f>Frequency!E154</f>
        <v>194</v>
      </c>
      <c r="F152" s="19">
        <f t="shared" si="102"/>
        <v>6790</v>
      </c>
      <c r="G152" s="19">
        <f>IF(Tiers!D153&gt;1,'Data Analysis'!E152,0)</f>
        <v>0</v>
      </c>
      <c r="H152" s="19">
        <f t="shared" si="103"/>
        <v>0</v>
      </c>
      <c r="I152" s="19">
        <f>IF(AND(D152/Summary!$C$4&gt;0, D152/Summary!$C$4&lt;5),E152,0) * D152</f>
        <v>0</v>
      </c>
      <c r="J152" s="19">
        <f>IF(AND(D152/Summary!$C$4&gt;= 5, D152/Summary!$C$4&lt;10),E152,0) * D152</f>
        <v>0</v>
      </c>
      <c r="K152" s="19">
        <f>IF(AND(D152/Summary!$C$4&gt;=10, D152/Summary!$C$4&lt;25),E152,0)*D152</f>
        <v>0</v>
      </c>
      <c r="L152" s="19">
        <f>IF(D152/Summary!$C$4&gt;=25,E152,0)*D152</f>
        <v>6790</v>
      </c>
      <c r="M152" s="27">
        <f>IF(AND(D152/Summary!$C$4&gt;0, D152/Summary!$C$4&lt;1),E152,0)</f>
        <v>0</v>
      </c>
      <c r="N152" s="27">
        <f t="shared" si="104"/>
        <v>0</v>
      </c>
      <c r="O152" s="27">
        <f>IF(D152/Summary!$C$4=1,1,0)*E152</f>
        <v>0</v>
      </c>
      <c r="P152" s="27">
        <f t="shared" si="105"/>
        <v>0</v>
      </c>
      <c r="Q152" s="27">
        <f>IF(AND(D152/Summary!$C$4&gt;1, D152/Summary!$C$4&lt;=2),1,0)*E152</f>
        <v>0</v>
      </c>
      <c r="R152" s="27">
        <f t="shared" si="106"/>
        <v>0</v>
      </c>
      <c r="S152" s="27">
        <f>IF(AND(D152/Summary!$C$4&gt;2,D152/Summary!$C$4&lt;=5),1,0)*E152</f>
        <v>0</v>
      </c>
      <c r="T152" s="27">
        <f t="shared" si="107"/>
        <v>0</v>
      </c>
      <c r="U152" s="27">
        <f>IF(AND(D152/Summary!$C$4&gt;5, D152/Summary!$C$4&lt;=10),1,0)*E152</f>
        <v>0</v>
      </c>
      <c r="V152" s="27">
        <f t="shared" si="108"/>
        <v>0</v>
      </c>
      <c r="W152" s="27">
        <f>IF(AND(D152/Summary!$C$4&gt;10, D152/Summary!$C$4&lt;=20),1,0)*E152</f>
        <v>0</v>
      </c>
      <c r="X152" s="27">
        <f t="shared" si="109"/>
        <v>0</v>
      </c>
      <c r="Y152" s="27">
        <f>IF(AND(D152/Summary!$C$4&gt;20, D152/Summary!$C$4&lt;=30),1,0)*E152</f>
        <v>0</v>
      </c>
      <c r="Z152" s="27">
        <f t="shared" si="110"/>
        <v>0</v>
      </c>
      <c r="AA152" s="27">
        <f>IF(AND(D152/Summary!$C$4&gt;30, D152/Summary!$C$4&lt;=50),1,0)*E152</f>
        <v>194</v>
      </c>
      <c r="AB152" s="27">
        <f t="shared" si="111"/>
        <v>6790</v>
      </c>
      <c r="AC152" s="27">
        <f>IF(AND(D152/Summary!$C$4&gt;50, D152/Summary!$C$4&lt;=100),1,0)*E152</f>
        <v>0</v>
      </c>
      <c r="AD152" s="27">
        <f t="shared" si="112"/>
        <v>0</v>
      </c>
      <c r="AE152" s="27">
        <f>IF(D152/Summary!$C$4&gt;100,1,0)*E152</f>
        <v>0</v>
      </c>
      <c r="AF152" s="27">
        <f t="shared" si="113"/>
        <v>0</v>
      </c>
      <c r="AG152" s="19">
        <f t="shared" si="114"/>
        <v>0</v>
      </c>
      <c r="AH152" s="19">
        <f t="shared" si="115"/>
        <v>194</v>
      </c>
      <c r="AI152" s="19">
        <f t="shared" si="116"/>
        <v>0</v>
      </c>
      <c r="AJ152" s="27">
        <f t="shared" si="117"/>
        <v>1</v>
      </c>
      <c r="AK152" s="27">
        <f t="shared" si="118"/>
        <v>194</v>
      </c>
      <c r="AL152" s="27">
        <f t="shared" si="119"/>
        <v>6790</v>
      </c>
      <c r="AM152">
        <f t="shared" si="120"/>
        <v>0</v>
      </c>
      <c r="AN152">
        <f t="shared" si="121"/>
        <v>0</v>
      </c>
      <c r="AO152">
        <f t="shared" si="122"/>
        <v>0</v>
      </c>
      <c r="AP152">
        <f t="shared" si="123"/>
        <v>0</v>
      </c>
      <c r="AQ152">
        <f t="shared" si="124"/>
        <v>0</v>
      </c>
      <c r="AR152">
        <f t="shared" si="125"/>
        <v>0</v>
      </c>
      <c r="AS152">
        <f t="shared" si="126"/>
        <v>0</v>
      </c>
      <c r="AT152">
        <f t="shared" si="127"/>
        <v>0</v>
      </c>
      <c r="AU152">
        <f t="shared" si="128"/>
        <v>0</v>
      </c>
      <c r="AV152">
        <f t="shared" si="129"/>
        <v>0</v>
      </c>
      <c r="AW152">
        <f t="shared" si="130"/>
        <v>0</v>
      </c>
      <c r="AX152">
        <f t="shared" si="131"/>
        <v>0</v>
      </c>
      <c r="AY152">
        <f t="shared" si="132"/>
        <v>0</v>
      </c>
      <c r="AZ152">
        <f t="shared" si="133"/>
        <v>0</v>
      </c>
      <c r="BA152">
        <f t="shared" si="134"/>
        <v>0</v>
      </c>
      <c r="BB152">
        <f t="shared" si="135"/>
        <v>0</v>
      </c>
      <c r="BC152">
        <f t="shared" si="136"/>
        <v>0</v>
      </c>
      <c r="BD152">
        <f t="shared" si="137"/>
        <v>194</v>
      </c>
      <c r="BE152">
        <f t="shared" si="138"/>
        <v>6790</v>
      </c>
      <c r="BF152">
        <f t="shared" si="139"/>
        <v>0</v>
      </c>
      <c r="BG152">
        <f t="shared" si="140"/>
        <v>0</v>
      </c>
      <c r="BH152">
        <f t="shared" si="141"/>
        <v>0</v>
      </c>
      <c r="BI152">
        <f t="shared" si="142"/>
        <v>0</v>
      </c>
      <c r="BJ152">
        <f t="shared" si="143"/>
        <v>0</v>
      </c>
      <c r="BK152">
        <f t="shared" si="144"/>
        <v>0</v>
      </c>
      <c r="BL152">
        <v>0</v>
      </c>
      <c r="BM152" t="str">
        <f t="shared" si="149"/>
        <v>Big Win</v>
      </c>
      <c r="BN152" s="32" t="str">
        <f t="shared" si="150"/>
        <v>Bonus Game A</v>
      </c>
      <c r="BO152">
        <f>(D152/Summary!$C$4-Summary!$C$8)^2*E152</f>
        <v>226512.24660000004</v>
      </c>
      <c r="BP152">
        <f t="shared" si="145"/>
        <v>0</v>
      </c>
      <c r="BQ152">
        <f t="shared" si="146"/>
        <v>0</v>
      </c>
      <c r="BR152">
        <f t="shared" si="147"/>
        <v>0</v>
      </c>
      <c r="BS152">
        <f t="shared" si="148"/>
        <v>0</v>
      </c>
    </row>
    <row r="153" spans="2:71">
      <c r="B153" s="16">
        <f>Tiers!B154</f>
        <v>151</v>
      </c>
      <c r="C153" s="17" t="str">
        <f>Tiers!Y154</f>
        <v>main-14|bonusA-4|||||||| x 1</v>
      </c>
      <c r="D153" s="18">
        <f>Tiers!C154</f>
        <v>40</v>
      </c>
      <c r="E153" s="19">
        <f>Frequency!E155</f>
        <v>20</v>
      </c>
      <c r="F153" s="19">
        <f t="shared" si="102"/>
        <v>800</v>
      </c>
      <c r="G153" s="19">
        <f>IF(Tiers!D154&gt;1,'Data Analysis'!E153,0)</f>
        <v>0</v>
      </c>
      <c r="H153" s="19">
        <f t="shared" si="103"/>
        <v>0</v>
      </c>
      <c r="I153" s="19">
        <f>IF(AND(D153/Summary!$C$4&gt;0, D153/Summary!$C$4&lt;5),E153,0) * D153</f>
        <v>0</v>
      </c>
      <c r="J153" s="19">
        <f>IF(AND(D153/Summary!$C$4&gt;= 5, D153/Summary!$C$4&lt;10),E153,0) * D153</f>
        <v>0</v>
      </c>
      <c r="K153" s="19">
        <f>IF(AND(D153/Summary!$C$4&gt;=10, D153/Summary!$C$4&lt;25),E153,0)*D153</f>
        <v>0</v>
      </c>
      <c r="L153" s="19">
        <f>IF(D153/Summary!$C$4&gt;=25,E153,0)*D153</f>
        <v>800</v>
      </c>
      <c r="M153" s="27">
        <f>IF(AND(D153/Summary!$C$4&gt;0, D153/Summary!$C$4&lt;1),E153,0)</f>
        <v>0</v>
      </c>
      <c r="N153" s="27">
        <f t="shared" si="104"/>
        <v>0</v>
      </c>
      <c r="O153" s="27">
        <f>IF(D153/Summary!$C$4=1,1,0)*E153</f>
        <v>0</v>
      </c>
      <c r="P153" s="27">
        <f t="shared" si="105"/>
        <v>0</v>
      </c>
      <c r="Q153" s="27">
        <f>IF(AND(D153/Summary!$C$4&gt;1, D153/Summary!$C$4&lt;=2),1,0)*E153</f>
        <v>0</v>
      </c>
      <c r="R153" s="27">
        <f t="shared" si="106"/>
        <v>0</v>
      </c>
      <c r="S153" s="27">
        <f>IF(AND(D153/Summary!$C$4&gt;2,D153/Summary!$C$4&lt;=5),1,0)*E153</f>
        <v>0</v>
      </c>
      <c r="T153" s="27">
        <f t="shared" si="107"/>
        <v>0</v>
      </c>
      <c r="U153" s="27">
        <f>IF(AND(D153/Summary!$C$4&gt;5, D153/Summary!$C$4&lt;=10),1,0)*E153</f>
        <v>0</v>
      </c>
      <c r="V153" s="27">
        <f t="shared" si="108"/>
        <v>0</v>
      </c>
      <c r="W153" s="27">
        <f>IF(AND(D153/Summary!$C$4&gt;10, D153/Summary!$C$4&lt;=20),1,0)*E153</f>
        <v>0</v>
      </c>
      <c r="X153" s="27">
        <f t="shared" si="109"/>
        <v>0</v>
      </c>
      <c r="Y153" s="27">
        <f>IF(AND(D153/Summary!$C$4&gt;20, D153/Summary!$C$4&lt;=30),1,0)*E153</f>
        <v>0</v>
      </c>
      <c r="Z153" s="27">
        <f t="shared" si="110"/>
        <v>0</v>
      </c>
      <c r="AA153" s="27">
        <f>IF(AND(D153/Summary!$C$4&gt;30, D153/Summary!$C$4&lt;=50),1,0)*E153</f>
        <v>20</v>
      </c>
      <c r="AB153" s="27">
        <f t="shared" si="111"/>
        <v>800</v>
      </c>
      <c r="AC153" s="27">
        <f>IF(AND(D153/Summary!$C$4&gt;50, D153/Summary!$C$4&lt;=100),1,0)*E153</f>
        <v>0</v>
      </c>
      <c r="AD153" s="27">
        <f t="shared" si="112"/>
        <v>0</v>
      </c>
      <c r="AE153" s="27">
        <f>IF(D153/Summary!$C$4&gt;100,1,0)*E153</f>
        <v>0</v>
      </c>
      <c r="AF153" s="27">
        <f t="shared" si="113"/>
        <v>0</v>
      </c>
      <c r="AG153" s="19">
        <f t="shared" si="114"/>
        <v>0</v>
      </c>
      <c r="AH153" s="19">
        <f t="shared" si="115"/>
        <v>20</v>
      </c>
      <c r="AI153" s="19">
        <f t="shared" si="116"/>
        <v>0</v>
      </c>
      <c r="AJ153" s="27">
        <f t="shared" si="117"/>
        <v>1</v>
      </c>
      <c r="AK153" s="27">
        <f t="shared" si="118"/>
        <v>20</v>
      </c>
      <c r="AL153" s="27">
        <f t="shared" si="119"/>
        <v>800</v>
      </c>
      <c r="AM153">
        <f t="shared" si="120"/>
        <v>0</v>
      </c>
      <c r="AN153">
        <f t="shared" si="121"/>
        <v>0</v>
      </c>
      <c r="AO153">
        <f t="shared" si="122"/>
        <v>0</v>
      </c>
      <c r="AP153">
        <f t="shared" si="123"/>
        <v>0</v>
      </c>
      <c r="AQ153">
        <f t="shared" si="124"/>
        <v>0</v>
      </c>
      <c r="AR153">
        <f t="shared" si="125"/>
        <v>0</v>
      </c>
      <c r="AS153">
        <f t="shared" si="126"/>
        <v>0</v>
      </c>
      <c r="AT153">
        <f t="shared" si="127"/>
        <v>0</v>
      </c>
      <c r="AU153">
        <f t="shared" si="128"/>
        <v>0</v>
      </c>
      <c r="AV153">
        <f t="shared" si="129"/>
        <v>0</v>
      </c>
      <c r="AW153">
        <f t="shared" si="130"/>
        <v>0</v>
      </c>
      <c r="AX153">
        <f t="shared" si="131"/>
        <v>0</v>
      </c>
      <c r="AY153">
        <f t="shared" si="132"/>
        <v>0</v>
      </c>
      <c r="AZ153">
        <f t="shared" si="133"/>
        <v>0</v>
      </c>
      <c r="BA153">
        <f t="shared" si="134"/>
        <v>0</v>
      </c>
      <c r="BB153">
        <f t="shared" si="135"/>
        <v>0</v>
      </c>
      <c r="BC153">
        <f t="shared" si="136"/>
        <v>0</v>
      </c>
      <c r="BD153">
        <f t="shared" si="137"/>
        <v>20</v>
      </c>
      <c r="BE153">
        <f t="shared" si="138"/>
        <v>800</v>
      </c>
      <c r="BF153">
        <f t="shared" si="139"/>
        <v>0</v>
      </c>
      <c r="BG153">
        <f t="shared" si="140"/>
        <v>0</v>
      </c>
      <c r="BH153">
        <f t="shared" si="141"/>
        <v>0</v>
      </c>
      <c r="BI153">
        <f t="shared" si="142"/>
        <v>0</v>
      </c>
      <c r="BJ153">
        <f t="shared" si="143"/>
        <v>0</v>
      </c>
      <c r="BK153">
        <f t="shared" si="144"/>
        <v>0</v>
      </c>
      <c r="BL153">
        <v>0</v>
      </c>
      <c r="BM153" t="str">
        <f t="shared" si="149"/>
        <v>Big Win</v>
      </c>
      <c r="BN153" s="32" t="str">
        <f t="shared" si="150"/>
        <v>Bonus Game A</v>
      </c>
      <c r="BO153">
        <f>(D153/Summary!$C$4-Summary!$C$8)^2*E153</f>
        <v>30685.778000000006</v>
      </c>
      <c r="BP153">
        <f t="shared" si="145"/>
        <v>0</v>
      </c>
      <c r="BQ153">
        <f t="shared" si="146"/>
        <v>0</v>
      </c>
      <c r="BR153">
        <f t="shared" si="147"/>
        <v>0</v>
      </c>
      <c r="BS153">
        <f t="shared" si="148"/>
        <v>0</v>
      </c>
    </row>
    <row r="154" spans="2:71">
      <c r="B154" s="16">
        <f>Tiers!B155</f>
        <v>152</v>
      </c>
      <c r="C154" s="17" t="str">
        <f>Tiers!Y155</f>
        <v>main-3|bonusA-5|||||||| x 1</v>
      </c>
      <c r="D154" s="18">
        <f>Tiers!C155</f>
        <v>51</v>
      </c>
      <c r="E154" s="19">
        <f>Frequency!E156</f>
        <v>20</v>
      </c>
      <c r="F154" s="19">
        <f t="shared" si="102"/>
        <v>1020</v>
      </c>
      <c r="G154" s="19">
        <f>IF(Tiers!D155&gt;1,'Data Analysis'!E154,0)</f>
        <v>0</v>
      </c>
      <c r="H154" s="19">
        <f t="shared" si="103"/>
        <v>0</v>
      </c>
      <c r="I154" s="19">
        <f>IF(AND(D154/Summary!$C$4&gt;0, D154/Summary!$C$4&lt;5),E154,0) * D154</f>
        <v>0</v>
      </c>
      <c r="J154" s="19">
        <f>IF(AND(D154/Summary!$C$4&gt;= 5, D154/Summary!$C$4&lt;10),E154,0) * D154</f>
        <v>0</v>
      </c>
      <c r="K154" s="19">
        <f>IF(AND(D154/Summary!$C$4&gt;=10, D154/Summary!$C$4&lt;25),E154,0)*D154</f>
        <v>0</v>
      </c>
      <c r="L154" s="19">
        <f>IF(D154/Summary!$C$4&gt;=25,E154,0)*D154</f>
        <v>1020</v>
      </c>
      <c r="M154" s="27">
        <f>IF(AND(D154/Summary!$C$4&gt;0, D154/Summary!$C$4&lt;1),E154,0)</f>
        <v>0</v>
      </c>
      <c r="N154" s="27">
        <f t="shared" si="104"/>
        <v>0</v>
      </c>
      <c r="O154" s="27">
        <f>IF(D154/Summary!$C$4=1,1,0)*E154</f>
        <v>0</v>
      </c>
      <c r="P154" s="27">
        <f t="shared" si="105"/>
        <v>0</v>
      </c>
      <c r="Q154" s="27">
        <f>IF(AND(D154/Summary!$C$4&gt;1, D154/Summary!$C$4&lt;=2),1,0)*E154</f>
        <v>0</v>
      </c>
      <c r="R154" s="27">
        <f t="shared" si="106"/>
        <v>0</v>
      </c>
      <c r="S154" s="27">
        <f>IF(AND(D154/Summary!$C$4&gt;2,D154/Summary!$C$4&lt;=5),1,0)*E154</f>
        <v>0</v>
      </c>
      <c r="T154" s="27">
        <f t="shared" si="107"/>
        <v>0</v>
      </c>
      <c r="U154" s="27">
        <f>IF(AND(D154/Summary!$C$4&gt;5, D154/Summary!$C$4&lt;=10),1,0)*E154</f>
        <v>0</v>
      </c>
      <c r="V154" s="27">
        <f t="shared" si="108"/>
        <v>0</v>
      </c>
      <c r="W154" s="27">
        <f>IF(AND(D154/Summary!$C$4&gt;10, D154/Summary!$C$4&lt;=20),1,0)*E154</f>
        <v>0</v>
      </c>
      <c r="X154" s="27">
        <f t="shared" si="109"/>
        <v>0</v>
      </c>
      <c r="Y154" s="27">
        <f>IF(AND(D154/Summary!$C$4&gt;20, D154/Summary!$C$4&lt;=30),1,0)*E154</f>
        <v>0</v>
      </c>
      <c r="Z154" s="27">
        <f t="shared" si="110"/>
        <v>0</v>
      </c>
      <c r="AA154" s="27">
        <f>IF(AND(D154/Summary!$C$4&gt;30, D154/Summary!$C$4&lt;=50),1,0)*E154</f>
        <v>0</v>
      </c>
      <c r="AB154" s="27">
        <f t="shared" si="111"/>
        <v>0</v>
      </c>
      <c r="AC154" s="27">
        <f>IF(AND(D154/Summary!$C$4&gt;50, D154/Summary!$C$4&lt;=100),1,0)*E154</f>
        <v>20</v>
      </c>
      <c r="AD154" s="27">
        <f t="shared" si="112"/>
        <v>1020</v>
      </c>
      <c r="AE154" s="27">
        <f>IF(D154/Summary!$C$4&gt;100,1,0)*E154</f>
        <v>0</v>
      </c>
      <c r="AF154" s="27">
        <f t="shared" si="113"/>
        <v>0</v>
      </c>
      <c r="AG154" s="19">
        <f t="shared" si="114"/>
        <v>0</v>
      </c>
      <c r="AH154" s="19">
        <f t="shared" si="115"/>
        <v>20</v>
      </c>
      <c r="AI154" s="19">
        <f t="shared" si="116"/>
        <v>0</v>
      </c>
      <c r="AJ154" s="27">
        <f t="shared" si="117"/>
        <v>1</v>
      </c>
      <c r="AK154" s="27">
        <f t="shared" si="118"/>
        <v>20</v>
      </c>
      <c r="AL154" s="27">
        <f t="shared" si="119"/>
        <v>1020</v>
      </c>
      <c r="AM154">
        <f t="shared" si="120"/>
        <v>0</v>
      </c>
      <c r="AN154">
        <f t="shared" si="121"/>
        <v>0</v>
      </c>
      <c r="AO154">
        <f t="shared" si="122"/>
        <v>0</v>
      </c>
      <c r="AP154">
        <f t="shared" si="123"/>
        <v>0</v>
      </c>
      <c r="AQ154">
        <f t="shared" si="124"/>
        <v>0</v>
      </c>
      <c r="AR154">
        <f t="shared" si="125"/>
        <v>0</v>
      </c>
      <c r="AS154">
        <f t="shared" si="126"/>
        <v>0</v>
      </c>
      <c r="AT154">
        <f t="shared" si="127"/>
        <v>0</v>
      </c>
      <c r="AU154">
        <f t="shared" si="128"/>
        <v>0</v>
      </c>
      <c r="AV154">
        <f t="shared" si="129"/>
        <v>0</v>
      </c>
      <c r="AW154">
        <f t="shared" si="130"/>
        <v>0</v>
      </c>
      <c r="AX154">
        <f t="shared" si="131"/>
        <v>0</v>
      </c>
      <c r="AY154">
        <f t="shared" si="132"/>
        <v>0</v>
      </c>
      <c r="AZ154">
        <f t="shared" si="133"/>
        <v>0</v>
      </c>
      <c r="BA154">
        <f t="shared" si="134"/>
        <v>0</v>
      </c>
      <c r="BB154">
        <f t="shared" si="135"/>
        <v>0</v>
      </c>
      <c r="BC154">
        <f t="shared" si="136"/>
        <v>0</v>
      </c>
      <c r="BD154">
        <f t="shared" si="137"/>
        <v>20</v>
      </c>
      <c r="BE154">
        <f t="shared" si="138"/>
        <v>1020</v>
      </c>
      <c r="BF154">
        <f t="shared" si="139"/>
        <v>0</v>
      </c>
      <c r="BG154">
        <f t="shared" si="140"/>
        <v>0</v>
      </c>
      <c r="BH154">
        <f t="shared" si="141"/>
        <v>0</v>
      </c>
      <c r="BI154">
        <f t="shared" si="142"/>
        <v>0</v>
      </c>
      <c r="BJ154">
        <f t="shared" si="143"/>
        <v>0</v>
      </c>
      <c r="BK154">
        <f t="shared" si="144"/>
        <v>0</v>
      </c>
      <c r="BL154">
        <v>0</v>
      </c>
      <c r="BM154" t="str">
        <f t="shared" si="149"/>
        <v>Huge Win</v>
      </c>
      <c r="BN154" s="32" t="str">
        <f t="shared" si="150"/>
        <v>Bonus Game A</v>
      </c>
      <c r="BO154">
        <f>(D154/Summary!$C$4-Summary!$C$8)^2*E154</f>
        <v>50340.578000000009</v>
      </c>
      <c r="BP154">
        <f t="shared" si="145"/>
        <v>0</v>
      </c>
      <c r="BQ154">
        <f t="shared" si="146"/>
        <v>0</v>
      </c>
      <c r="BR154">
        <f t="shared" si="147"/>
        <v>0</v>
      </c>
      <c r="BS154">
        <f t="shared" si="148"/>
        <v>0</v>
      </c>
    </row>
    <row r="155" spans="2:71">
      <c r="B155" s="16">
        <f>Tiers!B156</f>
        <v>153</v>
      </c>
      <c r="C155" s="17" t="str">
        <f>Tiers!Y156</f>
        <v>main-5|bonusA-5|||||||| x 1</v>
      </c>
      <c r="D155" s="18">
        <f>Tiers!C156</f>
        <v>52</v>
      </c>
      <c r="E155" s="19">
        <f>Frequency!E157</f>
        <v>20</v>
      </c>
      <c r="F155" s="19">
        <f t="shared" si="102"/>
        <v>1040</v>
      </c>
      <c r="G155" s="19">
        <f>IF(Tiers!D156&gt;1,'Data Analysis'!E155,0)</f>
        <v>0</v>
      </c>
      <c r="H155" s="19">
        <f t="shared" si="103"/>
        <v>0</v>
      </c>
      <c r="I155" s="19">
        <f>IF(AND(D155/Summary!$C$4&gt;0, D155/Summary!$C$4&lt;5),E155,0) * D155</f>
        <v>0</v>
      </c>
      <c r="J155" s="19">
        <f>IF(AND(D155/Summary!$C$4&gt;= 5, D155/Summary!$C$4&lt;10),E155,0) * D155</f>
        <v>0</v>
      </c>
      <c r="K155" s="19">
        <f>IF(AND(D155/Summary!$C$4&gt;=10, D155/Summary!$C$4&lt;25),E155,0)*D155</f>
        <v>0</v>
      </c>
      <c r="L155" s="19">
        <f>IF(D155/Summary!$C$4&gt;=25,E155,0)*D155</f>
        <v>1040</v>
      </c>
      <c r="M155" s="27">
        <f>IF(AND(D155/Summary!$C$4&gt;0, D155/Summary!$C$4&lt;1),E155,0)</f>
        <v>0</v>
      </c>
      <c r="N155" s="27">
        <f t="shared" si="104"/>
        <v>0</v>
      </c>
      <c r="O155" s="27">
        <f>IF(D155/Summary!$C$4=1,1,0)*E155</f>
        <v>0</v>
      </c>
      <c r="P155" s="27">
        <f t="shared" si="105"/>
        <v>0</v>
      </c>
      <c r="Q155" s="27">
        <f>IF(AND(D155/Summary!$C$4&gt;1, D155/Summary!$C$4&lt;=2),1,0)*E155</f>
        <v>0</v>
      </c>
      <c r="R155" s="27">
        <f t="shared" si="106"/>
        <v>0</v>
      </c>
      <c r="S155" s="27">
        <f>IF(AND(D155/Summary!$C$4&gt;2,D155/Summary!$C$4&lt;=5),1,0)*E155</f>
        <v>0</v>
      </c>
      <c r="T155" s="27">
        <f t="shared" si="107"/>
        <v>0</v>
      </c>
      <c r="U155" s="27">
        <f>IF(AND(D155/Summary!$C$4&gt;5, D155/Summary!$C$4&lt;=10),1,0)*E155</f>
        <v>0</v>
      </c>
      <c r="V155" s="27">
        <f t="shared" si="108"/>
        <v>0</v>
      </c>
      <c r="W155" s="27">
        <f>IF(AND(D155/Summary!$C$4&gt;10, D155/Summary!$C$4&lt;=20),1,0)*E155</f>
        <v>0</v>
      </c>
      <c r="X155" s="27">
        <f t="shared" si="109"/>
        <v>0</v>
      </c>
      <c r="Y155" s="27">
        <f>IF(AND(D155/Summary!$C$4&gt;20, D155/Summary!$C$4&lt;=30),1,0)*E155</f>
        <v>0</v>
      </c>
      <c r="Z155" s="27">
        <f t="shared" si="110"/>
        <v>0</v>
      </c>
      <c r="AA155" s="27">
        <f>IF(AND(D155/Summary!$C$4&gt;30, D155/Summary!$C$4&lt;=50),1,0)*E155</f>
        <v>0</v>
      </c>
      <c r="AB155" s="27">
        <f t="shared" si="111"/>
        <v>0</v>
      </c>
      <c r="AC155" s="27">
        <f>IF(AND(D155/Summary!$C$4&gt;50, D155/Summary!$C$4&lt;=100),1,0)*E155</f>
        <v>20</v>
      </c>
      <c r="AD155" s="27">
        <f t="shared" si="112"/>
        <v>1040</v>
      </c>
      <c r="AE155" s="27">
        <f>IF(D155/Summary!$C$4&gt;100,1,0)*E155</f>
        <v>0</v>
      </c>
      <c r="AF155" s="27">
        <f t="shared" si="113"/>
        <v>0</v>
      </c>
      <c r="AG155" s="19">
        <f t="shared" si="114"/>
        <v>0</v>
      </c>
      <c r="AH155" s="19">
        <f t="shared" si="115"/>
        <v>20</v>
      </c>
      <c r="AI155" s="19">
        <f t="shared" si="116"/>
        <v>0</v>
      </c>
      <c r="AJ155" s="27">
        <f t="shared" si="117"/>
        <v>1</v>
      </c>
      <c r="AK155" s="27">
        <f t="shared" si="118"/>
        <v>20</v>
      </c>
      <c r="AL155" s="27">
        <f t="shared" si="119"/>
        <v>1040</v>
      </c>
      <c r="AM155">
        <f t="shared" si="120"/>
        <v>0</v>
      </c>
      <c r="AN155">
        <f t="shared" si="121"/>
        <v>0</v>
      </c>
      <c r="AO155">
        <f t="shared" si="122"/>
        <v>0</v>
      </c>
      <c r="AP155">
        <f t="shared" si="123"/>
        <v>0</v>
      </c>
      <c r="AQ155">
        <f t="shared" si="124"/>
        <v>0</v>
      </c>
      <c r="AR155">
        <f t="shared" si="125"/>
        <v>0</v>
      </c>
      <c r="AS155">
        <f t="shared" si="126"/>
        <v>0</v>
      </c>
      <c r="AT155">
        <f t="shared" si="127"/>
        <v>0</v>
      </c>
      <c r="AU155">
        <f t="shared" si="128"/>
        <v>0</v>
      </c>
      <c r="AV155">
        <f t="shared" si="129"/>
        <v>0</v>
      </c>
      <c r="AW155">
        <f t="shared" si="130"/>
        <v>0</v>
      </c>
      <c r="AX155">
        <f t="shared" si="131"/>
        <v>0</v>
      </c>
      <c r="AY155">
        <f t="shared" si="132"/>
        <v>0</v>
      </c>
      <c r="AZ155">
        <f t="shared" si="133"/>
        <v>0</v>
      </c>
      <c r="BA155">
        <f t="shared" si="134"/>
        <v>0</v>
      </c>
      <c r="BB155">
        <f t="shared" si="135"/>
        <v>0</v>
      </c>
      <c r="BC155">
        <f t="shared" si="136"/>
        <v>0</v>
      </c>
      <c r="BD155">
        <f t="shared" si="137"/>
        <v>20</v>
      </c>
      <c r="BE155">
        <f t="shared" si="138"/>
        <v>1040</v>
      </c>
      <c r="BF155">
        <f t="shared" si="139"/>
        <v>0</v>
      </c>
      <c r="BG155">
        <f t="shared" si="140"/>
        <v>0</v>
      </c>
      <c r="BH155">
        <f t="shared" si="141"/>
        <v>0</v>
      </c>
      <c r="BI155">
        <f t="shared" si="142"/>
        <v>0</v>
      </c>
      <c r="BJ155">
        <f t="shared" si="143"/>
        <v>0</v>
      </c>
      <c r="BK155">
        <f t="shared" si="144"/>
        <v>0</v>
      </c>
      <c r="BL155">
        <v>0</v>
      </c>
      <c r="BM155" t="str">
        <f t="shared" si="149"/>
        <v>Huge Win</v>
      </c>
      <c r="BN155" s="32" t="str">
        <f t="shared" si="150"/>
        <v>Bonus Game A</v>
      </c>
      <c r="BO155">
        <f>(D155/Summary!$C$4-Summary!$C$8)^2*E155</f>
        <v>52367.378000000012</v>
      </c>
      <c r="BP155">
        <f t="shared" si="145"/>
        <v>0</v>
      </c>
      <c r="BQ155">
        <f t="shared" si="146"/>
        <v>0</v>
      </c>
      <c r="BR155">
        <f t="shared" si="147"/>
        <v>0</v>
      </c>
      <c r="BS155">
        <f t="shared" si="148"/>
        <v>0</v>
      </c>
    </row>
    <row r="156" spans="2:71">
      <c r="B156" s="16">
        <f>Tiers!B157</f>
        <v>154</v>
      </c>
      <c r="C156" s="17" t="str">
        <f>Tiers!Y157</f>
        <v>main-16|bonusA-5|||||||| x 1</v>
      </c>
      <c r="D156" s="18">
        <f>Tiers!C157</f>
        <v>70</v>
      </c>
      <c r="E156" s="19">
        <f>Frequency!E158</f>
        <v>9</v>
      </c>
      <c r="F156" s="19">
        <f t="shared" si="102"/>
        <v>630</v>
      </c>
      <c r="G156" s="19">
        <f>IF(Tiers!D157&gt;1,'Data Analysis'!E156,0)</f>
        <v>0</v>
      </c>
      <c r="H156" s="19">
        <f t="shared" si="103"/>
        <v>0</v>
      </c>
      <c r="I156" s="19">
        <f>IF(AND(D156/Summary!$C$4&gt;0, D156/Summary!$C$4&lt;5),E156,0) * D156</f>
        <v>0</v>
      </c>
      <c r="J156" s="19">
        <f>IF(AND(D156/Summary!$C$4&gt;= 5, D156/Summary!$C$4&lt;10),E156,0) * D156</f>
        <v>0</v>
      </c>
      <c r="K156" s="19">
        <f>IF(AND(D156/Summary!$C$4&gt;=10, D156/Summary!$C$4&lt;25),E156,0)*D156</f>
        <v>0</v>
      </c>
      <c r="L156" s="19">
        <f>IF(D156/Summary!$C$4&gt;=25,E156,0)*D156</f>
        <v>630</v>
      </c>
      <c r="M156" s="27">
        <f>IF(AND(D156/Summary!$C$4&gt;0, D156/Summary!$C$4&lt;1),E156,0)</f>
        <v>0</v>
      </c>
      <c r="N156" s="27">
        <f t="shared" si="104"/>
        <v>0</v>
      </c>
      <c r="O156" s="27">
        <f>IF(D156/Summary!$C$4=1,1,0)*E156</f>
        <v>0</v>
      </c>
      <c r="P156" s="27">
        <f t="shared" si="105"/>
        <v>0</v>
      </c>
      <c r="Q156" s="27">
        <f>IF(AND(D156/Summary!$C$4&gt;1, D156/Summary!$C$4&lt;=2),1,0)*E156</f>
        <v>0</v>
      </c>
      <c r="R156" s="27">
        <f t="shared" si="106"/>
        <v>0</v>
      </c>
      <c r="S156" s="27">
        <f>IF(AND(D156/Summary!$C$4&gt;2,D156/Summary!$C$4&lt;=5),1,0)*E156</f>
        <v>0</v>
      </c>
      <c r="T156" s="27">
        <f t="shared" si="107"/>
        <v>0</v>
      </c>
      <c r="U156" s="27">
        <f>IF(AND(D156/Summary!$C$4&gt;5, D156/Summary!$C$4&lt;=10),1,0)*E156</f>
        <v>0</v>
      </c>
      <c r="V156" s="27">
        <f t="shared" si="108"/>
        <v>0</v>
      </c>
      <c r="W156" s="27">
        <f>IF(AND(D156/Summary!$C$4&gt;10, D156/Summary!$C$4&lt;=20),1,0)*E156</f>
        <v>0</v>
      </c>
      <c r="X156" s="27">
        <f t="shared" si="109"/>
        <v>0</v>
      </c>
      <c r="Y156" s="27">
        <f>IF(AND(D156/Summary!$C$4&gt;20, D156/Summary!$C$4&lt;=30),1,0)*E156</f>
        <v>0</v>
      </c>
      <c r="Z156" s="27">
        <f t="shared" si="110"/>
        <v>0</v>
      </c>
      <c r="AA156" s="27">
        <f>IF(AND(D156/Summary!$C$4&gt;30, D156/Summary!$C$4&lt;=50),1,0)*E156</f>
        <v>0</v>
      </c>
      <c r="AB156" s="27">
        <f t="shared" si="111"/>
        <v>0</v>
      </c>
      <c r="AC156" s="27">
        <f>IF(AND(D156/Summary!$C$4&gt;50, D156/Summary!$C$4&lt;=100),1,0)*E156</f>
        <v>9</v>
      </c>
      <c r="AD156" s="27">
        <f t="shared" si="112"/>
        <v>630</v>
      </c>
      <c r="AE156" s="27">
        <f>IF(D156/Summary!$C$4&gt;100,1,0)*E156</f>
        <v>0</v>
      </c>
      <c r="AF156" s="27">
        <f t="shared" si="113"/>
        <v>0</v>
      </c>
      <c r="AG156" s="19">
        <f t="shared" si="114"/>
        <v>0</v>
      </c>
      <c r="AH156" s="19">
        <f t="shared" si="115"/>
        <v>9</v>
      </c>
      <c r="AI156" s="19">
        <f t="shared" si="116"/>
        <v>0</v>
      </c>
      <c r="AJ156" s="27">
        <f t="shared" si="117"/>
        <v>1</v>
      </c>
      <c r="AK156" s="27">
        <f t="shared" si="118"/>
        <v>9</v>
      </c>
      <c r="AL156" s="27">
        <f t="shared" si="119"/>
        <v>630</v>
      </c>
      <c r="AM156">
        <f t="shared" si="120"/>
        <v>0</v>
      </c>
      <c r="AN156">
        <f t="shared" si="121"/>
        <v>0</v>
      </c>
      <c r="AO156">
        <f t="shared" si="122"/>
        <v>0</v>
      </c>
      <c r="AP156">
        <f t="shared" si="123"/>
        <v>0</v>
      </c>
      <c r="AQ156">
        <f t="shared" si="124"/>
        <v>0</v>
      </c>
      <c r="AR156">
        <f t="shared" si="125"/>
        <v>0</v>
      </c>
      <c r="AS156">
        <f t="shared" si="126"/>
        <v>0</v>
      </c>
      <c r="AT156">
        <f t="shared" si="127"/>
        <v>0</v>
      </c>
      <c r="AU156">
        <f t="shared" si="128"/>
        <v>0</v>
      </c>
      <c r="AV156">
        <f t="shared" si="129"/>
        <v>0</v>
      </c>
      <c r="AW156">
        <f t="shared" si="130"/>
        <v>0</v>
      </c>
      <c r="AX156">
        <f t="shared" si="131"/>
        <v>0</v>
      </c>
      <c r="AY156">
        <f t="shared" si="132"/>
        <v>0</v>
      </c>
      <c r="AZ156">
        <f t="shared" si="133"/>
        <v>0</v>
      </c>
      <c r="BA156">
        <f t="shared" si="134"/>
        <v>0</v>
      </c>
      <c r="BB156">
        <f t="shared" si="135"/>
        <v>0</v>
      </c>
      <c r="BC156">
        <f t="shared" si="136"/>
        <v>0</v>
      </c>
      <c r="BD156">
        <f t="shared" si="137"/>
        <v>9</v>
      </c>
      <c r="BE156">
        <f t="shared" si="138"/>
        <v>630</v>
      </c>
      <c r="BF156">
        <f t="shared" si="139"/>
        <v>0</v>
      </c>
      <c r="BG156">
        <f t="shared" si="140"/>
        <v>0</v>
      </c>
      <c r="BH156">
        <f t="shared" si="141"/>
        <v>0</v>
      </c>
      <c r="BI156">
        <f t="shared" si="142"/>
        <v>0</v>
      </c>
      <c r="BJ156">
        <f t="shared" si="143"/>
        <v>0</v>
      </c>
      <c r="BK156">
        <f t="shared" si="144"/>
        <v>0</v>
      </c>
      <c r="BL156">
        <v>0</v>
      </c>
      <c r="BM156" t="str">
        <f t="shared" si="149"/>
        <v>Huge Win</v>
      </c>
      <c r="BN156" s="32" t="str">
        <f t="shared" si="150"/>
        <v>Bonus Game A</v>
      </c>
      <c r="BO156">
        <f>(D156/Summary!$C$4-Summary!$C$8)^2*E156</f>
        <v>43060.400099999999</v>
      </c>
      <c r="BP156">
        <f t="shared" si="145"/>
        <v>0</v>
      </c>
      <c r="BQ156">
        <f t="shared" si="146"/>
        <v>0</v>
      </c>
      <c r="BR156">
        <f t="shared" si="147"/>
        <v>0</v>
      </c>
      <c r="BS156">
        <f t="shared" si="148"/>
        <v>0</v>
      </c>
    </row>
    <row r="157" spans="2:71">
      <c r="B157" s="16">
        <f>Tiers!B158</f>
        <v>155</v>
      </c>
      <c r="C157" s="17" t="str">
        <f>Tiers!Y158</f>
        <v>main-25|bonusA-5|||||||| x 1</v>
      </c>
      <c r="D157" s="18">
        <f>Tiers!C158</f>
        <v>70</v>
      </c>
      <c r="E157" s="19">
        <f>Frequency!E159</f>
        <v>9</v>
      </c>
      <c r="F157" s="19">
        <f t="shared" si="102"/>
        <v>630</v>
      </c>
      <c r="G157" s="19">
        <f>IF(Tiers!D158&gt;1,'Data Analysis'!E157,0)</f>
        <v>0</v>
      </c>
      <c r="H157" s="19">
        <f t="shared" si="103"/>
        <v>0</v>
      </c>
      <c r="I157" s="19">
        <f>IF(AND(D157/Summary!$C$4&gt;0, D157/Summary!$C$4&lt;5),E157,0) * D157</f>
        <v>0</v>
      </c>
      <c r="J157" s="19">
        <f>IF(AND(D157/Summary!$C$4&gt;= 5, D157/Summary!$C$4&lt;10),E157,0) * D157</f>
        <v>0</v>
      </c>
      <c r="K157" s="19">
        <f>IF(AND(D157/Summary!$C$4&gt;=10, D157/Summary!$C$4&lt;25),E157,0)*D157</f>
        <v>0</v>
      </c>
      <c r="L157" s="19">
        <f>IF(D157/Summary!$C$4&gt;=25,E157,0)*D157</f>
        <v>630</v>
      </c>
      <c r="M157" s="27">
        <f>IF(AND(D157/Summary!$C$4&gt;0, D157/Summary!$C$4&lt;1),E157,0)</f>
        <v>0</v>
      </c>
      <c r="N157" s="27">
        <f t="shared" si="104"/>
        <v>0</v>
      </c>
      <c r="O157" s="27">
        <f>IF(D157/Summary!$C$4=1,1,0)*E157</f>
        <v>0</v>
      </c>
      <c r="P157" s="27">
        <f t="shared" si="105"/>
        <v>0</v>
      </c>
      <c r="Q157" s="27">
        <f>IF(AND(D157/Summary!$C$4&gt;1, D157/Summary!$C$4&lt;=2),1,0)*E157</f>
        <v>0</v>
      </c>
      <c r="R157" s="27">
        <f t="shared" si="106"/>
        <v>0</v>
      </c>
      <c r="S157" s="27">
        <f>IF(AND(D157/Summary!$C$4&gt;2,D157/Summary!$C$4&lt;=5),1,0)*E157</f>
        <v>0</v>
      </c>
      <c r="T157" s="27">
        <f t="shared" si="107"/>
        <v>0</v>
      </c>
      <c r="U157" s="27">
        <f>IF(AND(D157/Summary!$C$4&gt;5, D157/Summary!$C$4&lt;=10),1,0)*E157</f>
        <v>0</v>
      </c>
      <c r="V157" s="27">
        <f t="shared" si="108"/>
        <v>0</v>
      </c>
      <c r="W157" s="27">
        <f>IF(AND(D157/Summary!$C$4&gt;10, D157/Summary!$C$4&lt;=20),1,0)*E157</f>
        <v>0</v>
      </c>
      <c r="X157" s="27">
        <f t="shared" si="109"/>
        <v>0</v>
      </c>
      <c r="Y157" s="27">
        <f>IF(AND(D157/Summary!$C$4&gt;20, D157/Summary!$C$4&lt;=30),1,0)*E157</f>
        <v>0</v>
      </c>
      <c r="Z157" s="27">
        <f t="shared" si="110"/>
        <v>0</v>
      </c>
      <c r="AA157" s="27">
        <f>IF(AND(D157/Summary!$C$4&gt;30, D157/Summary!$C$4&lt;=50),1,0)*E157</f>
        <v>0</v>
      </c>
      <c r="AB157" s="27">
        <f t="shared" si="111"/>
        <v>0</v>
      </c>
      <c r="AC157" s="27">
        <f>IF(AND(D157/Summary!$C$4&gt;50, D157/Summary!$C$4&lt;=100),1,0)*E157</f>
        <v>9</v>
      </c>
      <c r="AD157" s="27">
        <f t="shared" si="112"/>
        <v>630</v>
      </c>
      <c r="AE157" s="27">
        <f>IF(D157/Summary!$C$4&gt;100,1,0)*E157</f>
        <v>0</v>
      </c>
      <c r="AF157" s="27">
        <f t="shared" si="113"/>
        <v>0</v>
      </c>
      <c r="AG157" s="19">
        <f t="shared" si="114"/>
        <v>0</v>
      </c>
      <c r="AH157" s="19">
        <f t="shared" si="115"/>
        <v>9</v>
      </c>
      <c r="AI157" s="19">
        <f t="shared" si="116"/>
        <v>0</v>
      </c>
      <c r="AJ157" s="27">
        <f t="shared" si="117"/>
        <v>1</v>
      </c>
      <c r="AK157" s="27">
        <f t="shared" si="118"/>
        <v>9</v>
      </c>
      <c r="AL157" s="27">
        <f t="shared" si="119"/>
        <v>630</v>
      </c>
      <c r="AM157">
        <f t="shared" si="120"/>
        <v>0</v>
      </c>
      <c r="AN157">
        <f t="shared" si="121"/>
        <v>0</v>
      </c>
      <c r="AO157">
        <f t="shared" si="122"/>
        <v>0</v>
      </c>
      <c r="AP157">
        <f t="shared" si="123"/>
        <v>0</v>
      </c>
      <c r="AQ157">
        <f t="shared" si="124"/>
        <v>0</v>
      </c>
      <c r="AR157">
        <f t="shared" si="125"/>
        <v>0</v>
      </c>
      <c r="AS157">
        <f t="shared" si="126"/>
        <v>0</v>
      </c>
      <c r="AT157">
        <f t="shared" si="127"/>
        <v>0</v>
      </c>
      <c r="AU157">
        <f t="shared" si="128"/>
        <v>0</v>
      </c>
      <c r="AV157">
        <f t="shared" si="129"/>
        <v>0</v>
      </c>
      <c r="AW157">
        <f t="shared" si="130"/>
        <v>0</v>
      </c>
      <c r="AX157">
        <f t="shared" si="131"/>
        <v>0</v>
      </c>
      <c r="AY157">
        <f t="shared" si="132"/>
        <v>0</v>
      </c>
      <c r="AZ157">
        <f t="shared" si="133"/>
        <v>0</v>
      </c>
      <c r="BA157">
        <f t="shared" si="134"/>
        <v>0</v>
      </c>
      <c r="BB157">
        <f t="shared" si="135"/>
        <v>0</v>
      </c>
      <c r="BC157">
        <f t="shared" si="136"/>
        <v>0</v>
      </c>
      <c r="BD157">
        <f t="shared" si="137"/>
        <v>9</v>
      </c>
      <c r="BE157">
        <f t="shared" si="138"/>
        <v>630</v>
      </c>
      <c r="BF157">
        <f t="shared" si="139"/>
        <v>0</v>
      </c>
      <c r="BG157">
        <f t="shared" si="140"/>
        <v>0</v>
      </c>
      <c r="BH157">
        <f t="shared" si="141"/>
        <v>0</v>
      </c>
      <c r="BI157">
        <f t="shared" si="142"/>
        <v>0</v>
      </c>
      <c r="BJ157">
        <f t="shared" si="143"/>
        <v>0</v>
      </c>
      <c r="BK157">
        <f t="shared" si="144"/>
        <v>0</v>
      </c>
      <c r="BL157">
        <v>0</v>
      </c>
      <c r="BM157" t="str">
        <f t="shared" si="149"/>
        <v>Huge Win</v>
      </c>
      <c r="BN157" s="32" t="str">
        <f t="shared" si="150"/>
        <v>Bonus Game A</v>
      </c>
      <c r="BO157">
        <f>(D157/Summary!$C$4-Summary!$C$8)^2*E157</f>
        <v>43060.400099999999</v>
      </c>
      <c r="BP157">
        <f t="shared" si="145"/>
        <v>0</v>
      </c>
      <c r="BQ157">
        <f t="shared" si="146"/>
        <v>0</v>
      </c>
      <c r="BR157">
        <f t="shared" si="147"/>
        <v>0</v>
      </c>
      <c r="BS157">
        <f t="shared" si="148"/>
        <v>0</v>
      </c>
    </row>
    <row r="158" spans="2:71">
      <c r="B158" s="16">
        <f>Tiers!B159</f>
        <v>156</v>
      </c>
      <c r="C158" s="17" t="str">
        <f>Tiers!Y159</f>
        <v>main-15|bonusA-6|||||||| x 1</v>
      </c>
      <c r="D158" s="18">
        <f>Tiers!C159</f>
        <v>115</v>
      </c>
      <c r="E158" s="19">
        <f>Frequency!E160</f>
        <v>2</v>
      </c>
      <c r="F158" s="19">
        <f t="shared" si="102"/>
        <v>230</v>
      </c>
      <c r="G158" s="19">
        <f>IF(Tiers!D159&gt;1,'Data Analysis'!E158,0)</f>
        <v>0</v>
      </c>
      <c r="H158" s="19">
        <f t="shared" si="103"/>
        <v>0</v>
      </c>
      <c r="I158" s="19">
        <f>IF(AND(D158/Summary!$C$4&gt;0, D158/Summary!$C$4&lt;5),E158,0) * D158</f>
        <v>0</v>
      </c>
      <c r="J158" s="19">
        <f>IF(AND(D158/Summary!$C$4&gt;= 5, D158/Summary!$C$4&lt;10),E158,0) * D158</f>
        <v>0</v>
      </c>
      <c r="K158" s="19">
        <f>IF(AND(D158/Summary!$C$4&gt;=10, D158/Summary!$C$4&lt;25),E158,0)*D158</f>
        <v>0</v>
      </c>
      <c r="L158" s="19">
        <f>IF(D158/Summary!$C$4&gt;=25,E158,0)*D158</f>
        <v>230</v>
      </c>
      <c r="M158" s="27">
        <f>IF(AND(D158/Summary!$C$4&gt;0, D158/Summary!$C$4&lt;1),E158,0)</f>
        <v>0</v>
      </c>
      <c r="N158" s="27">
        <f t="shared" si="104"/>
        <v>0</v>
      </c>
      <c r="O158" s="27">
        <f>IF(D158/Summary!$C$4=1,1,0)*E158</f>
        <v>0</v>
      </c>
      <c r="P158" s="27">
        <f t="shared" si="105"/>
        <v>0</v>
      </c>
      <c r="Q158" s="27">
        <f>IF(AND(D158/Summary!$C$4&gt;1, D158/Summary!$C$4&lt;=2),1,0)*E158</f>
        <v>0</v>
      </c>
      <c r="R158" s="27">
        <f t="shared" si="106"/>
        <v>0</v>
      </c>
      <c r="S158" s="27">
        <f>IF(AND(D158/Summary!$C$4&gt;2,D158/Summary!$C$4&lt;=5),1,0)*E158</f>
        <v>0</v>
      </c>
      <c r="T158" s="27">
        <f t="shared" si="107"/>
        <v>0</v>
      </c>
      <c r="U158" s="27">
        <f>IF(AND(D158/Summary!$C$4&gt;5, D158/Summary!$C$4&lt;=10),1,0)*E158</f>
        <v>0</v>
      </c>
      <c r="V158" s="27">
        <f t="shared" si="108"/>
        <v>0</v>
      </c>
      <c r="W158" s="27">
        <f>IF(AND(D158/Summary!$C$4&gt;10, D158/Summary!$C$4&lt;=20),1,0)*E158</f>
        <v>0</v>
      </c>
      <c r="X158" s="27">
        <f t="shared" si="109"/>
        <v>0</v>
      </c>
      <c r="Y158" s="27">
        <f>IF(AND(D158/Summary!$C$4&gt;20, D158/Summary!$C$4&lt;=30),1,0)*E158</f>
        <v>0</v>
      </c>
      <c r="Z158" s="27">
        <f t="shared" si="110"/>
        <v>0</v>
      </c>
      <c r="AA158" s="27">
        <f>IF(AND(D158/Summary!$C$4&gt;30, D158/Summary!$C$4&lt;=50),1,0)*E158</f>
        <v>0</v>
      </c>
      <c r="AB158" s="27">
        <f t="shared" si="111"/>
        <v>0</v>
      </c>
      <c r="AC158" s="27">
        <f>IF(AND(D158/Summary!$C$4&gt;50, D158/Summary!$C$4&lt;=100),1,0)*E158</f>
        <v>0</v>
      </c>
      <c r="AD158" s="27">
        <f t="shared" si="112"/>
        <v>0</v>
      </c>
      <c r="AE158" s="27">
        <f>IF(D158/Summary!$C$4&gt;100,1,0)*E158</f>
        <v>2</v>
      </c>
      <c r="AF158" s="27">
        <f t="shared" si="113"/>
        <v>230</v>
      </c>
      <c r="AG158" s="19">
        <f t="shared" si="114"/>
        <v>0</v>
      </c>
      <c r="AH158" s="19">
        <f t="shared" si="115"/>
        <v>2</v>
      </c>
      <c r="AI158" s="19">
        <f t="shared" si="116"/>
        <v>0</v>
      </c>
      <c r="AJ158" s="27">
        <f t="shared" si="117"/>
        <v>1</v>
      </c>
      <c r="AK158" s="27">
        <f t="shared" si="118"/>
        <v>2</v>
      </c>
      <c r="AL158" s="27">
        <f t="shared" si="119"/>
        <v>230</v>
      </c>
      <c r="AM158">
        <f t="shared" si="120"/>
        <v>0</v>
      </c>
      <c r="AN158">
        <f t="shared" si="121"/>
        <v>0</v>
      </c>
      <c r="AO158">
        <f t="shared" si="122"/>
        <v>0</v>
      </c>
      <c r="AP158">
        <f t="shared" si="123"/>
        <v>0</v>
      </c>
      <c r="AQ158">
        <f t="shared" si="124"/>
        <v>0</v>
      </c>
      <c r="AR158">
        <f t="shared" si="125"/>
        <v>0</v>
      </c>
      <c r="AS158">
        <f t="shared" si="126"/>
        <v>0</v>
      </c>
      <c r="AT158">
        <f t="shared" si="127"/>
        <v>0</v>
      </c>
      <c r="AU158">
        <f t="shared" si="128"/>
        <v>0</v>
      </c>
      <c r="AV158">
        <f t="shared" si="129"/>
        <v>0</v>
      </c>
      <c r="AW158">
        <f t="shared" si="130"/>
        <v>0</v>
      </c>
      <c r="AX158">
        <f t="shared" si="131"/>
        <v>0</v>
      </c>
      <c r="AY158">
        <f t="shared" si="132"/>
        <v>0</v>
      </c>
      <c r="AZ158">
        <f t="shared" si="133"/>
        <v>0</v>
      </c>
      <c r="BA158">
        <f t="shared" si="134"/>
        <v>0</v>
      </c>
      <c r="BB158">
        <f t="shared" si="135"/>
        <v>0</v>
      </c>
      <c r="BC158">
        <f t="shared" si="136"/>
        <v>0</v>
      </c>
      <c r="BD158">
        <f t="shared" si="137"/>
        <v>2</v>
      </c>
      <c r="BE158">
        <f t="shared" si="138"/>
        <v>230</v>
      </c>
      <c r="BF158">
        <f t="shared" si="139"/>
        <v>0</v>
      </c>
      <c r="BG158">
        <f t="shared" si="140"/>
        <v>0</v>
      </c>
      <c r="BH158">
        <f t="shared" si="141"/>
        <v>0</v>
      </c>
      <c r="BI158">
        <f t="shared" si="142"/>
        <v>0</v>
      </c>
      <c r="BJ158">
        <f t="shared" si="143"/>
        <v>0</v>
      </c>
      <c r="BK158">
        <f t="shared" si="144"/>
        <v>0</v>
      </c>
      <c r="BL158">
        <v>0</v>
      </c>
      <c r="BM158" t="str">
        <f t="shared" si="149"/>
        <v>Huge Win</v>
      </c>
      <c r="BN158" s="32" t="str">
        <f t="shared" si="150"/>
        <v>Bonus Game A</v>
      </c>
      <c r="BO158">
        <f>(D158/Summary!$C$4-Summary!$C$8)^2*E158</f>
        <v>26069.577799999999</v>
      </c>
      <c r="BP158">
        <f t="shared" si="145"/>
        <v>0</v>
      </c>
      <c r="BQ158">
        <f t="shared" si="146"/>
        <v>0</v>
      </c>
      <c r="BR158">
        <f t="shared" si="147"/>
        <v>0</v>
      </c>
      <c r="BS158">
        <f t="shared" si="148"/>
        <v>0</v>
      </c>
    </row>
    <row r="159" spans="2:71">
      <c r="B159" s="16">
        <f>Tiers!B160</f>
        <v>157</v>
      </c>
      <c r="C159" s="17" t="str">
        <f>Tiers!Y160</f>
        <v>main-0|main-2|bonusA-1||||||| x 1</v>
      </c>
      <c r="D159" s="18">
        <f>Tiers!C160</f>
        <v>15.6</v>
      </c>
      <c r="E159" s="19">
        <f>Frequency!E161</f>
        <v>162</v>
      </c>
      <c r="F159" s="19">
        <f t="shared" si="102"/>
        <v>2527.1999999999998</v>
      </c>
      <c r="G159" s="19">
        <f>IF(Tiers!D160&gt;1,'Data Analysis'!E159,0)</f>
        <v>0</v>
      </c>
      <c r="H159" s="19">
        <f t="shared" si="103"/>
        <v>0</v>
      </c>
      <c r="I159" s="19">
        <f>IF(AND(D159/Summary!$C$4&gt;0, D159/Summary!$C$4&lt;5),E159,0) * D159</f>
        <v>0</v>
      </c>
      <c r="J159" s="19">
        <f>IF(AND(D159/Summary!$C$4&gt;= 5, D159/Summary!$C$4&lt;10),E159,0) * D159</f>
        <v>0</v>
      </c>
      <c r="K159" s="19">
        <f>IF(AND(D159/Summary!$C$4&gt;=10, D159/Summary!$C$4&lt;25),E159,0)*D159</f>
        <v>2527.1999999999998</v>
      </c>
      <c r="L159" s="19">
        <f>IF(D159/Summary!$C$4&gt;=25,E159,0)*D159</f>
        <v>0</v>
      </c>
      <c r="M159" s="27">
        <f>IF(AND(D159/Summary!$C$4&gt;0, D159/Summary!$C$4&lt;1),E159,0)</f>
        <v>0</v>
      </c>
      <c r="N159" s="27">
        <f t="shared" si="104"/>
        <v>0</v>
      </c>
      <c r="O159" s="27">
        <f>IF(D159/Summary!$C$4=1,1,0)*E159</f>
        <v>0</v>
      </c>
      <c r="P159" s="27">
        <f t="shared" si="105"/>
        <v>0</v>
      </c>
      <c r="Q159" s="27">
        <f>IF(AND(D159/Summary!$C$4&gt;1, D159/Summary!$C$4&lt;=2),1,0)*E159</f>
        <v>0</v>
      </c>
      <c r="R159" s="27">
        <f t="shared" si="106"/>
        <v>0</v>
      </c>
      <c r="S159" s="27">
        <f>IF(AND(D159/Summary!$C$4&gt;2,D159/Summary!$C$4&lt;=5),1,0)*E159</f>
        <v>0</v>
      </c>
      <c r="T159" s="27">
        <f t="shared" si="107"/>
        <v>0</v>
      </c>
      <c r="U159" s="27">
        <f>IF(AND(D159/Summary!$C$4&gt;5, D159/Summary!$C$4&lt;=10),1,0)*E159</f>
        <v>0</v>
      </c>
      <c r="V159" s="27">
        <f t="shared" si="108"/>
        <v>0</v>
      </c>
      <c r="W159" s="27">
        <f>IF(AND(D159/Summary!$C$4&gt;10, D159/Summary!$C$4&lt;=20),1,0)*E159</f>
        <v>162</v>
      </c>
      <c r="X159" s="27">
        <f t="shared" si="109"/>
        <v>2527.1999999999998</v>
      </c>
      <c r="Y159" s="27">
        <f>IF(AND(D159/Summary!$C$4&gt;20, D159/Summary!$C$4&lt;=30),1,0)*E159</f>
        <v>0</v>
      </c>
      <c r="Z159" s="27">
        <f t="shared" si="110"/>
        <v>0</v>
      </c>
      <c r="AA159" s="27">
        <f>IF(AND(D159/Summary!$C$4&gt;30, D159/Summary!$C$4&lt;=50),1,0)*E159</f>
        <v>0</v>
      </c>
      <c r="AB159" s="27">
        <f t="shared" si="111"/>
        <v>0</v>
      </c>
      <c r="AC159" s="27">
        <f>IF(AND(D159/Summary!$C$4&gt;50, D159/Summary!$C$4&lt;=100),1,0)*E159</f>
        <v>0</v>
      </c>
      <c r="AD159" s="27">
        <f t="shared" si="112"/>
        <v>0</v>
      </c>
      <c r="AE159" s="27">
        <f>IF(D159/Summary!$C$4&gt;100,1,0)*E159</f>
        <v>0</v>
      </c>
      <c r="AF159" s="27">
        <f t="shared" si="113"/>
        <v>0</v>
      </c>
      <c r="AG159" s="19">
        <f t="shared" si="114"/>
        <v>0</v>
      </c>
      <c r="AH159" s="19">
        <f t="shared" si="115"/>
        <v>162</v>
      </c>
      <c r="AI159" s="19">
        <f t="shared" si="116"/>
        <v>0</v>
      </c>
      <c r="AJ159" s="27">
        <f t="shared" si="117"/>
        <v>1</v>
      </c>
      <c r="AK159" s="27">
        <f t="shared" si="118"/>
        <v>162</v>
      </c>
      <c r="AL159" s="27">
        <f t="shared" si="119"/>
        <v>2527.1999999999998</v>
      </c>
      <c r="AM159">
        <f t="shared" si="120"/>
        <v>0</v>
      </c>
      <c r="AN159">
        <f t="shared" si="121"/>
        <v>0</v>
      </c>
      <c r="AO159">
        <f t="shared" si="122"/>
        <v>0</v>
      </c>
      <c r="AP159">
        <f t="shared" si="123"/>
        <v>0</v>
      </c>
      <c r="AQ159">
        <f t="shared" si="124"/>
        <v>0</v>
      </c>
      <c r="AR159">
        <f t="shared" si="125"/>
        <v>0</v>
      </c>
      <c r="AS159">
        <f t="shared" si="126"/>
        <v>0</v>
      </c>
      <c r="AT159">
        <f t="shared" si="127"/>
        <v>0</v>
      </c>
      <c r="AU159">
        <f t="shared" si="128"/>
        <v>0</v>
      </c>
      <c r="AV159">
        <f t="shared" si="129"/>
        <v>0</v>
      </c>
      <c r="AW159">
        <f t="shared" si="130"/>
        <v>0</v>
      </c>
      <c r="AX159">
        <f t="shared" si="131"/>
        <v>0</v>
      </c>
      <c r="AY159">
        <f t="shared" si="132"/>
        <v>0</v>
      </c>
      <c r="AZ159">
        <f t="shared" si="133"/>
        <v>0</v>
      </c>
      <c r="BA159">
        <f t="shared" si="134"/>
        <v>0</v>
      </c>
      <c r="BB159">
        <f t="shared" si="135"/>
        <v>0</v>
      </c>
      <c r="BC159">
        <f t="shared" si="136"/>
        <v>0</v>
      </c>
      <c r="BD159">
        <f t="shared" si="137"/>
        <v>162</v>
      </c>
      <c r="BE159">
        <f t="shared" si="138"/>
        <v>2527.1999999999998</v>
      </c>
      <c r="BF159">
        <f t="shared" si="139"/>
        <v>0</v>
      </c>
      <c r="BG159">
        <f t="shared" si="140"/>
        <v>0</v>
      </c>
      <c r="BH159">
        <f t="shared" si="141"/>
        <v>0</v>
      </c>
      <c r="BI159">
        <f t="shared" si="142"/>
        <v>0</v>
      </c>
      <c r="BJ159">
        <f t="shared" si="143"/>
        <v>0</v>
      </c>
      <c r="BK159">
        <f t="shared" si="144"/>
        <v>0</v>
      </c>
      <c r="BL159">
        <v>0</v>
      </c>
      <c r="BM159" t="str">
        <f t="shared" si="149"/>
        <v>Big Win</v>
      </c>
      <c r="BN159" s="32" t="str">
        <f t="shared" si="150"/>
        <v>Bonus Game A</v>
      </c>
      <c r="BO159">
        <f>(D159/Summary!$C$4-Summary!$C$8)^2*E159</f>
        <v>35340.769799999995</v>
      </c>
      <c r="BP159">
        <f t="shared" si="145"/>
        <v>0</v>
      </c>
      <c r="BQ159">
        <f t="shared" si="146"/>
        <v>0</v>
      </c>
      <c r="BR159">
        <f t="shared" si="147"/>
        <v>0</v>
      </c>
      <c r="BS159">
        <f t="shared" si="148"/>
        <v>0</v>
      </c>
    </row>
    <row r="160" spans="2:71">
      <c r="B160" s="16">
        <f>Tiers!B161</f>
        <v>158</v>
      </c>
      <c r="C160" s="17" t="str">
        <f>Tiers!Y161</f>
        <v>main-11|main-2|bonusA-3||||||| x 1</v>
      </c>
      <c r="D160" s="18">
        <f>Tiers!C161</f>
        <v>27</v>
      </c>
      <c r="E160" s="19">
        <f>Frequency!E162</f>
        <v>20</v>
      </c>
      <c r="F160" s="19">
        <f t="shared" si="102"/>
        <v>540</v>
      </c>
      <c r="G160" s="19">
        <f>IF(Tiers!D161&gt;1,'Data Analysis'!E160,0)</f>
        <v>0</v>
      </c>
      <c r="H160" s="19">
        <f t="shared" si="103"/>
        <v>0</v>
      </c>
      <c r="I160" s="19">
        <f>IF(AND(D160/Summary!$C$4&gt;0, D160/Summary!$C$4&lt;5),E160,0) * D160</f>
        <v>0</v>
      </c>
      <c r="J160" s="19">
        <f>IF(AND(D160/Summary!$C$4&gt;= 5, D160/Summary!$C$4&lt;10),E160,0) * D160</f>
        <v>0</v>
      </c>
      <c r="K160" s="19">
        <f>IF(AND(D160/Summary!$C$4&gt;=10, D160/Summary!$C$4&lt;25),E160,0)*D160</f>
        <v>0</v>
      </c>
      <c r="L160" s="19">
        <f>IF(D160/Summary!$C$4&gt;=25,E160,0)*D160</f>
        <v>540</v>
      </c>
      <c r="M160" s="27">
        <f>IF(AND(D160/Summary!$C$4&gt;0, D160/Summary!$C$4&lt;1),E160,0)</f>
        <v>0</v>
      </c>
      <c r="N160" s="27">
        <f t="shared" si="104"/>
        <v>0</v>
      </c>
      <c r="O160" s="27">
        <f>IF(D160/Summary!$C$4=1,1,0)*E160</f>
        <v>0</v>
      </c>
      <c r="P160" s="27">
        <f t="shared" si="105"/>
        <v>0</v>
      </c>
      <c r="Q160" s="27">
        <f>IF(AND(D160/Summary!$C$4&gt;1, D160/Summary!$C$4&lt;=2),1,0)*E160</f>
        <v>0</v>
      </c>
      <c r="R160" s="27">
        <f t="shared" si="106"/>
        <v>0</v>
      </c>
      <c r="S160" s="27">
        <f>IF(AND(D160/Summary!$C$4&gt;2,D160/Summary!$C$4&lt;=5),1,0)*E160</f>
        <v>0</v>
      </c>
      <c r="T160" s="27">
        <f t="shared" si="107"/>
        <v>0</v>
      </c>
      <c r="U160" s="27">
        <f>IF(AND(D160/Summary!$C$4&gt;5, D160/Summary!$C$4&lt;=10),1,0)*E160</f>
        <v>0</v>
      </c>
      <c r="V160" s="27">
        <f t="shared" si="108"/>
        <v>0</v>
      </c>
      <c r="W160" s="27">
        <f>IF(AND(D160/Summary!$C$4&gt;10, D160/Summary!$C$4&lt;=20),1,0)*E160</f>
        <v>0</v>
      </c>
      <c r="X160" s="27">
        <f t="shared" si="109"/>
        <v>0</v>
      </c>
      <c r="Y160" s="27">
        <f>IF(AND(D160/Summary!$C$4&gt;20, D160/Summary!$C$4&lt;=30),1,0)*E160</f>
        <v>20</v>
      </c>
      <c r="Z160" s="27">
        <f t="shared" si="110"/>
        <v>540</v>
      </c>
      <c r="AA160" s="27">
        <f>IF(AND(D160/Summary!$C$4&gt;30, D160/Summary!$C$4&lt;=50),1,0)*E160</f>
        <v>0</v>
      </c>
      <c r="AB160" s="27">
        <f t="shared" si="111"/>
        <v>0</v>
      </c>
      <c r="AC160" s="27">
        <f>IF(AND(D160/Summary!$C$4&gt;50, D160/Summary!$C$4&lt;=100),1,0)*E160</f>
        <v>0</v>
      </c>
      <c r="AD160" s="27">
        <f t="shared" si="112"/>
        <v>0</v>
      </c>
      <c r="AE160" s="27">
        <f>IF(D160/Summary!$C$4&gt;100,1,0)*E160</f>
        <v>0</v>
      </c>
      <c r="AF160" s="27">
        <f t="shared" si="113"/>
        <v>0</v>
      </c>
      <c r="AG160" s="19">
        <f t="shared" si="114"/>
        <v>0</v>
      </c>
      <c r="AH160" s="19">
        <f t="shared" si="115"/>
        <v>20</v>
      </c>
      <c r="AI160" s="19">
        <f t="shared" si="116"/>
        <v>0</v>
      </c>
      <c r="AJ160" s="27">
        <f t="shared" si="117"/>
        <v>1</v>
      </c>
      <c r="AK160" s="27">
        <f t="shared" si="118"/>
        <v>20</v>
      </c>
      <c r="AL160" s="27">
        <f t="shared" si="119"/>
        <v>540</v>
      </c>
      <c r="AM160">
        <f t="shared" si="120"/>
        <v>0</v>
      </c>
      <c r="AN160">
        <f t="shared" si="121"/>
        <v>0</v>
      </c>
      <c r="AO160">
        <f t="shared" si="122"/>
        <v>0</v>
      </c>
      <c r="AP160">
        <f t="shared" si="123"/>
        <v>0</v>
      </c>
      <c r="AQ160">
        <f t="shared" si="124"/>
        <v>0</v>
      </c>
      <c r="AR160">
        <f t="shared" si="125"/>
        <v>0</v>
      </c>
      <c r="AS160">
        <f t="shared" si="126"/>
        <v>0</v>
      </c>
      <c r="AT160">
        <f t="shared" si="127"/>
        <v>0</v>
      </c>
      <c r="AU160">
        <f t="shared" si="128"/>
        <v>0</v>
      </c>
      <c r="AV160">
        <f t="shared" si="129"/>
        <v>0</v>
      </c>
      <c r="AW160">
        <f t="shared" si="130"/>
        <v>0</v>
      </c>
      <c r="AX160">
        <f t="shared" si="131"/>
        <v>0</v>
      </c>
      <c r="AY160">
        <f t="shared" si="132"/>
        <v>0</v>
      </c>
      <c r="AZ160">
        <f t="shared" si="133"/>
        <v>0</v>
      </c>
      <c r="BA160">
        <f t="shared" si="134"/>
        <v>0</v>
      </c>
      <c r="BB160">
        <f t="shared" si="135"/>
        <v>0</v>
      </c>
      <c r="BC160">
        <f t="shared" si="136"/>
        <v>0</v>
      </c>
      <c r="BD160">
        <f t="shared" si="137"/>
        <v>20</v>
      </c>
      <c r="BE160">
        <f t="shared" si="138"/>
        <v>540</v>
      </c>
      <c r="BF160">
        <f t="shared" si="139"/>
        <v>0</v>
      </c>
      <c r="BG160">
        <f t="shared" si="140"/>
        <v>0</v>
      </c>
      <c r="BH160">
        <f t="shared" si="141"/>
        <v>0</v>
      </c>
      <c r="BI160">
        <f t="shared" si="142"/>
        <v>0</v>
      </c>
      <c r="BJ160">
        <f t="shared" si="143"/>
        <v>0</v>
      </c>
      <c r="BK160">
        <f t="shared" si="144"/>
        <v>0</v>
      </c>
      <c r="BL160">
        <v>0</v>
      </c>
      <c r="BM160" t="str">
        <f t="shared" si="149"/>
        <v>Big Win</v>
      </c>
      <c r="BN160" s="32" t="str">
        <f t="shared" si="150"/>
        <v>Bonus Game A</v>
      </c>
      <c r="BO160">
        <f>(D160/Summary!$C$4-Summary!$C$8)^2*E160</f>
        <v>13697.378000000001</v>
      </c>
      <c r="BP160">
        <f t="shared" si="145"/>
        <v>0</v>
      </c>
      <c r="BQ160">
        <f t="shared" si="146"/>
        <v>0</v>
      </c>
      <c r="BR160">
        <f t="shared" si="147"/>
        <v>0</v>
      </c>
      <c r="BS160">
        <f t="shared" si="148"/>
        <v>0</v>
      </c>
    </row>
    <row r="161" spans="2:71">
      <c r="B161" s="16">
        <f>Tiers!B162</f>
        <v>159</v>
      </c>
      <c r="C161" s="17" t="str">
        <f>Tiers!Y162</f>
        <v>main-3|main-2|bonusA-0||||||| x 1</v>
      </c>
      <c r="D161" s="18">
        <f>Tiers!C162</f>
        <v>11.5</v>
      </c>
      <c r="E161" s="19">
        <f>Frequency!E163</f>
        <v>744</v>
      </c>
      <c r="F161" s="19">
        <f t="shared" si="102"/>
        <v>8556</v>
      </c>
      <c r="G161" s="19">
        <f>IF(Tiers!D162&gt;1,'Data Analysis'!E161,0)</f>
        <v>0</v>
      </c>
      <c r="H161" s="19">
        <f t="shared" si="103"/>
        <v>0</v>
      </c>
      <c r="I161" s="19">
        <f>IF(AND(D161/Summary!$C$4&gt;0, D161/Summary!$C$4&lt;5),E161,0) * D161</f>
        <v>0</v>
      </c>
      <c r="J161" s="19">
        <f>IF(AND(D161/Summary!$C$4&gt;= 5, D161/Summary!$C$4&lt;10),E161,0) * D161</f>
        <v>0</v>
      </c>
      <c r="K161" s="19">
        <f>IF(AND(D161/Summary!$C$4&gt;=10, D161/Summary!$C$4&lt;25),E161,0)*D161</f>
        <v>8556</v>
      </c>
      <c r="L161" s="19">
        <f>IF(D161/Summary!$C$4&gt;=25,E161,0)*D161</f>
        <v>0</v>
      </c>
      <c r="M161" s="27">
        <f>IF(AND(D161/Summary!$C$4&gt;0, D161/Summary!$C$4&lt;1),E161,0)</f>
        <v>0</v>
      </c>
      <c r="N161" s="27">
        <f t="shared" si="104"/>
        <v>0</v>
      </c>
      <c r="O161" s="27">
        <f>IF(D161/Summary!$C$4=1,1,0)*E161</f>
        <v>0</v>
      </c>
      <c r="P161" s="27">
        <f t="shared" si="105"/>
        <v>0</v>
      </c>
      <c r="Q161" s="27">
        <f>IF(AND(D161/Summary!$C$4&gt;1, D161/Summary!$C$4&lt;=2),1,0)*E161</f>
        <v>0</v>
      </c>
      <c r="R161" s="27">
        <f t="shared" si="106"/>
        <v>0</v>
      </c>
      <c r="S161" s="27">
        <f>IF(AND(D161/Summary!$C$4&gt;2,D161/Summary!$C$4&lt;=5),1,0)*E161</f>
        <v>0</v>
      </c>
      <c r="T161" s="27">
        <f t="shared" si="107"/>
        <v>0</v>
      </c>
      <c r="U161" s="27">
        <f>IF(AND(D161/Summary!$C$4&gt;5, D161/Summary!$C$4&lt;=10),1,0)*E161</f>
        <v>0</v>
      </c>
      <c r="V161" s="27">
        <f t="shared" si="108"/>
        <v>0</v>
      </c>
      <c r="W161" s="27">
        <f>IF(AND(D161/Summary!$C$4&gt;10, D161/Summary!$C$4&lt;=20),1,0)*E161</f>
        <v>744</v>
      </c>
      <c r="X161" s="27">
        <f t="shared" si="109"/>
        <v>8556</v>
      </c>
      <c r="Y161" s="27">
        <f>IF(AND(D161/Summary!$C$4&gt;20, D161/Summary!$C$4&lt;=30),1,0)*E161</f>
        <v>0</v>
      </c>
      <c r="Z161" s="27">
        <f t="shared" si="110"/>
        <v>0</v>
      </c>
      <c r="AA161" s="27">
        <f>IF(AND(D161/Summary!$C$4&gt;30, D161/Summary!$C$4&lt;=50),1,0)*E161</f>
        <v>0</v>
      </c>
      <c r="AB161" s="27">
        <f t="shared" si="111"/>
        <v>0</v>
      </c>
      <c r="AC161" s="27">
        <f>IF(AND(D161/Summary!$C$4&gt;50, D161/Summary!$C$4&lt;=100),1,0)*E161</f>
        <v>0</v>
      </c>
      <c r="AD161" s="27">
        <f t="shared" si="112"/>
        <v>0</v>
      </c>
      <c r="AE161" s="27">
        <f>IF(D161/Summary!$C$4&gt;100,1,0)*E161</f>
        <v>0</v>
      </c>
      <c r="AF161" s="27">
        <f t="shared" si="113"/>
        <v>0</v>
      </c>
      <c r="AG161" s="19">
        <f t="shared" si="114"/>
        <v>0</v>
      </c>
      <c r="AH161" s="19">
        <f t="shared" si="115"/>
        <v>744</v>
      </c>
      <c r="AI161" s="19">
        <f t="shared" si="116"/>
        <v>0</v>
      </c>
      <c r="AJ161" s="27">
        <f t="shared" si="117"/>
        <v>1</v>
      </c>
      <c r="AK161" s="27">
        <f t="shared" si="118"/>
        <v>744</v>
      </c>
      <c r="AL161" s="27">
        <f t="shared" si="119"/>
        <v>8556</v>
      </c>
      <c r="AM161">
        <f t="shared" si="120"/>
        <v>0</v>
      </c>
      <c r="AN161">
        <f t="shared" si="121"/>
        <v>0</v>
      </c>
      <c r="AO161">
        <f t="shared" si="122"/>
        <v>0</v>
      </c>
      <c r="AP161">
        <f t="shared" si="123"/>
        <v>0</v>
      </c>
      <c r="AQ161">
        <f t="shared" si="124"/>
        <v>0</v>
      </c>
      <c r="AR161">
        <f t="shared" si="125"/>
        <v>0</v>
      </c>
      <c r="AS161">
        <f t="shared" si="126"/>
        <v>0</v>
      </c>
      <c r="AT161">
        <f t="shared" si="127"/>
        <v>0</v>
      </c>
      <c r="AU161">
        <f t="shared" si="128"/>
        <v>0</v>
      </c>
      <c r="AV161">
        <f t="shared" si="129"/>
        <v>0</v>
      </c>
      <c r="AW161">
        <f t="shared" si="130"/>
        <v>0</v>
      </c>
      <c r="AX161">
        <f t="shared" si="131"/>
        <v>0</v>
      </c>
      <c r="AY161">
        <f t="shared" si="132"/>
        <v>0</v>
      </c>
      <c r="AZ161">
        <f t="shared" si="133"/>
        <v>0</v>
      </c>
      <c r="BA161">
        <f t="shared" si="134"/>
        <v>0</v>
      </c>
      <c r="BB161">
        <f t="shared" si="135"/>
        <v>0</v>
      </c>
      <c r="BC161">
        <f t="shared" si="136"/>
        <v>0</v>
      </c>
      <c r="BD161">
        <f t="shared" si="137"/>
        <v>744</v>
      </c>
      <c r="BE161">
        <f t="shared" si="138"/>
        <v>8556</v>
      </c>
      <c r="BF161">
        <f t="shared" si="139"/>
        <v>0</v>
      </c>
      <c r="BG161">
        <f t="shared" si="140"/>
        <v>0</v>
      </c>
      <c r="BH161">
        <f t="shared" si="141"/>
        <v>0</v>
      </c>
      <c r="BI161">
        <f t="shared" si="142"/>
        <v>0</v>
      </c>
      <c r="BJ161">
        <f t="shared" si="143"/>
        <v>0</v>
      </c>
      <c r="BK161">
        <f t="shared" si="144"/>
        <v>0</v>
      </c>
      <c r="BL161">
        <v>0</v>
      </c>
      <c r="BM161" t="str">
        <f t="shared" si="149"/>
        <v>Big Win</v>
      </c>
      <c r="BN161" s="32" t="str">
        <f t="shared" si="150"/>
        <v>Bonus Game A</v>
      </c>
      <c r="BO161">
        <f>(D161/Summary!$C$4-Summary!$C$8)^2*E161</f>
        <v>84703.581600000005</v>
      </c>
      <c r="BP161">
        <f t="shared" si="145"/>
        <v>0</v>
      </c>
      <c r="BQ161">
        <f t="shared" si="146"/>
        <v>0</v>
      </c>
      <c r="BR161">
        <f t="shared" si="147"/>
        <v>0</v>
      </c>
      <c r="BS161">
        <f t="shared" si="148"/>
        <v>0</v>
      </c>
    </row>
    <row r="162" spans="2:71">
      <c r="B162" s="16">
        <f>Tiers!B163</f>
        <v>160</v>
      </c>
      <c r="C162" s="17" t="str">
        <f>Tiers!Y163</f>
        <v>main-3|main-21|bonusA-3||||||| x 1</v>
      </c>
      <c r="D162" s="18">
        <f>Tiers!C163</f>
        <v>28</v>
      </c>
      <c r="E162" s="19">
        <f>Frequency!E164</f>
        <v>162</v>
      </c>
      <c r="F162" s="19">
        <f t="shared" si="102"/>
        <v>4536</v>
      </c>
      <c r="G162" s="19">
        <f>IF(Tiers!D163&gt;1,'Data Analysis'!E162,0)</f>
        <v>0</v>
      </c>
      <c r="H162" s="19">
        <f t="shared" si="103"/>
        <v>0</v>
      </c>
      <c r="I162" s="19">
        <f>IF(AND(D162/Summary!$C$4&gt;0, D162/Summary!$C$4&lt;5),E162,0) * D162</f>
        <v>0</v>
      </c>
      <c r="J162" s="19">
        <f>IF(AND(D162/Summary!$C$4&gt;= 5, D162/Summary!$C$4&lt;10),E162,0) * D162</f>
        <v>0</v>
      </c>
      <c r="K162" s="19">
        <f>IF(AND(D162/Summary!$C$4&gt;=10, D162/Summary!$C$4&lt;25),E162,0)*D162</f>
        <v>0</v>
      </c>
      <c r="L162" s="19">
        <f>IF(D162/Summary!$C$4&gt;=25,E162,0)*D162</f>
        <v>4536</v>
      </c>
      <c r="M162" s="27">
        <f>IF(AND(D162/Summary!$C$4&gt;0, D162/Summary!$C$4&lt;1),E162,0)</f>
        <v>0</v>
      </c>
      <c r="N162" s="27">
        <f t="shared" si="104"/>
        <v>0</v>
      </c>
      <c r="O162" s="27">
        <f>IF(D162/Summary!$C$4=1,1,0)*E162</f>
        <v>0</v>
      </c>
      <c r="P162" s="27">
        <f t="shared" si="105"/>
        <v>0</v>
      </c>
      <c r="Q162" s="27">
        <f>IF(AND(D162/Summary!$C$4&gt;1, D162/Summary!$C$4&lt;=2),1,0)*E162</f>
        <v>0</v>
      </c>
      <c r="R162" s="27">
        <f t="shared" si="106"/>
        <v>0</v>
      </c>
      <c r="S162" s="27">
        <f>IF(AND(D162/Summary!$C$4&gt;2,D162/Summary!$C$4&lt;=5),1,0)*E162</f>
        <v>0</v>
      </c>
      <c r="T162" s="27">
        <f t="shared" si="107"/>
        <v>0</v>
      </c>
      <c r="U162" s="27">
        <f>IF(AND(D162/Summary!$C$4&gt;5, D162/Summary!$C$4&lt;=10),1,0)*E162</f>
        <v>0</v>
      </c>
      <c r="V162" s="27">
        <f t="shared" si="108"/>
        <v>0</v>
      </c>
      <c r="W162" s="27">
        <f>IF(AND(D162/Summary!$C$4&gt;10, D162/Summary!$C$4&lt;=20),1,0)*E162</f>
        <v>0</v>
      </c>
      <c r="X162" s="27">
        <f t="shared" si="109"/>
        <v>0</v>
      </c>
      <c r="Y162" s="27">
        <f>IF(AND(D162/Summary!$C$4&gt;20, D162/Summary!$C$4&lt;=30),1,0)*E162</f>
        <v>162</v>
      </c>
      <c r="Z162" s="27">
        <f t="shared" si="110"/>
        <v>4536</v>
      </c>
      <c r="AA162" s="27">
        <f>IF(AND(D162/Summary!$C$4&gt;30, D162/Summary!$C$4&lt;=50),1,0)*E162</f>
        <v>0</v>
      </c>
      <c r="AB162" s="27">
        <f t="shared" si="111"/>
        <v>0</v>
      </c>
      <c r="AC162" s="27">
        <f>IF(AND(D162/Summary!$C$4&gt;50, D162/Summary!$C$4&lt;=100),1,0)*E162</f>
        <v>0</v>
      </c>
      <c r="AD162" s="27">
        <f t="shared" si="112"/>
        <v>0</v>
      </c>
      <c r="AE162" s="27">
        <f>IF(D162/Summary!$C$4&gt;100,1,0)*E162</f>
        <v>0</v>
      </c>
      <c r="AF162" s="27">
        <f t="shared" si="113"/>
        <v>0</v>
      </c>
      <c r="AG162" s="19">
        <f t="shared" si="114"/>
        <v>0</v>
      </c>
      <c r="AH162" s="19">
        <f t="shared" si="115"/>
        <v>162</v>
      </c>
      <c r="AI162" s="19">
        <f t="shared" si="116"/>
        <v>0</v>
      </c>
      <c r="AJ162" s="27">
        <f t="shared" si="117"/>
        <v>1</v>
      </c>
      <c r="AK162" s="27">
        <f t="shared" si="118"/>
        <v>162</v>
      </c>
      <c r="AL162" s="27">
        <f t="shared" si="119"/>
        <v>4536</v>
      </c>
      <c r="AM162">
        <f t="shared" si="120"/>
        <v>0</v>
      </c>
      <c r="AN162">
        <f t="shared" si="121"/>
        <v>0</v>
      </c>
      <c r="AO162">
        <f t="shared" si="122"/>
        <v>0</v>
      </c>
      <c r="AP162">
        <f t="shared" si="123"/>
        <v>0</v>
      </c>
      <c r="AQ162">
        <f t="shared" si="124"/>
        <v>0</v>
      </c>
      <c r="AR162">
        <f t="shared" si="125"/>
        <v>0</v>
      </c>
      <c r="AS162">
        <f t="shared" si="126"/>
        <v>0</v>
      </c>
      <c r="AT162">
        <f t="shared" si="127"/>
        <v>0</v>
      </c>
      <c r="AU162">
        <f t="shared" si="128"/>
        <v>0</v>
      </c>
      <c r="AV162">
        <f t="shared" si="129"/>
        <v>0</v>
      </c>
      <c r="AW162">
        <f t="shared" si="130"/>
        <v>0</v>
      </c>
      <c r="AX162">
        <f t="shared" si="131"/>
        <v>0</v>
      </c>
      <c r="AY162">
        <f t="shared" si="132"/>
        <v>0</v>
      </c>
      <c r="AZ162">
        <f t="shared" si="133"/>
        <v>0</v>
      </c>
      <c r="BA162">
        <f t="shared" si="134"/>
        <v>0</v>
      </c>
      <c r="BB162">
        <f t="shared" si="135"/>
        <v>0</v>
      </c>
      <c r="BC162">
        <f t="shared" si="136"/>
        <v>0</v>
      </c>
      <c r="BD162">
        <f t="shared" si="137"/>
        <v>162</v>
      </c>
      <c r="BE162">
        <f t="shared" si="138"/>
        <v>4536</v>
      </c>
      <c r="BF162">
        <f t="shared" si="139"/>
        <v>0</v>
      </c>
      <c r="BG162">
        <f t="shared" si="140"/>
        <v>0</v>
      </c>
      <c r="BH162">
        <f t="shared" si="141"/>
        <v>0</v>
      </c>
      <c r="BI162">
        <f t="shared" si="142"/>
        <v>0</v>
      </c>
      <c r="BJ162">
        <f t="shared" si="143"/>
        <v>0</v>
      </c>
      <c r="BK162">
        <f t="shared" si="144"/>
        <v>0</v>
      </c>
      <c r="BL162">
        <v>0</v>
      </c>
      <c r="BM162" t="str">
        <f t="shared" si="149"/>
        <v>Big Win</v>
      </c>
      <c r="BN162" s="32" t="str">
        <f t="shared" si="150"/>
        <v>Bonus Game A</v>
      </c>
      <c r="BO162">
        <f>(D162/Summary!$C$4-Summary!$C$8)^2*E162</f>
        <v>119589.84180000001</v>
      </c>
      <c r="BP162">
        <f t="shared" si="145"/>
        <v>0</v>
      </c>
      <c r="BQ162">
        <f t="shared" si="146"/>
        <v>0</v>
      </c>
      <c r="BR162">
        <f t="shared" si="147"/>
        <v>0</v>
      </c>
      <c r="BS162">
        <f t="shared" si="148"/>
        <v>0</v>
      </c>
    </row>
    <row r="163" spans="2:71">
      <c r="B163" s="16">
        <f>Tiers!B164</f>
        <v>161</v>
      </c>
      <c r="C163" s="17" t="str">
        <f>Tiers!Y164</f>
        <v>main-2|main-5|bonusA-4||||||| x 1</v>
      </c>
      <c r="D163" s="18">
        <f>Tiers!C164</f>
        <v>32.5</v>
      </c>
      <c r="E163" s="19">
        <f>Frequency!E165</f>
        <v>152</v>
      </c>
      <c r="F163" s="19">
        <f t="shared" si="102"/>
        <v>4940</v>
      </c>
      <c r="G163" s="19">
        <f>IF(Tiers!D164&gt;1,'Data Analysis'!E163,0)</f>
        <v>0</v>
      </c>
      <c r="H163" s="19">
        <f t="shared" si="103"/>
        <v>0</v>
      </c>
      <c r="I163" s="19">
        <f>IF(AND(D163/Summary!$C$4&gt;0, D163/Summary!$C$4&lt;5),E163,0) * D163</f>
        <v>0</v>
      </c>
      <c r="J163" s="19">
        <f>IF(AND(D163/Summary!$C$4&gt;= 5, D163/Summary!$C$4&lt;10),E163,0) * D163</f>
        <v>0</v>
      </c>
      <c r="K163" s="19">
        <f>IF(AND(D163/Summary!$C$4&gt;=10, D163/Summary!$C$4&lt;25),E163,0)*D163</f>
        <v>0</v>
      </c>
      <c r="L163" s="19">
        <f>IF(D163/Summary!$C$4&gt;=25,E163,0)*D163</f>
        <v>4940</v>
      </c>
      <c r="M163" s="27">
        <f>IF(AND(D163/Summary!$C$4&gt;0, D163/Summary!$C$4&lt;1),E163,0)</f>
        <v>0</v>
      </c>
      <c r="N163" s="27">
        <f t="shared" si="104"/>
        <v>0</v>
      </c>
      <c r="O163" s="27">
        <f>IF(D163/Summary!$C$4=1,1,0)*E163</f>
        <v>0</v>
      </c>
      <c r="P163" s="27">
        <f t="shared" si="105"/>
        <v>0</v>
      </c>
      <c r="Q163" s="27">
        <f>IF(AND(D163/Summary!$C$4&gt;1, D163/Summary!$C$4&lt;=2),1,0)*E163</f>
        <v>0</v>
      </c>
      <c r="R163" s="27">
        <f t="shared" si="106"/>
        <v>0</v>
      </c>
      <c r="S163" s="27">
        <f>IF(AND(D163/Summary!$C$4&gt;2,D163/Summary!$C$4&lt;=5),1,0)*E163</f>
        <v>0</v>
      </c>
      <c r="T163" s="27">
        <f t="shared" si="107"/>
        <v>0</v>
      </c>
      <c r="U163" s="27">
        <f>IF(AND(D163/Summary!$C$4&gt;5, D163/Summary!$C$4&lt;=10),1,0)*E163</f>
        <v>0</v>
      </c>
      <c r="V163" s="27">
        <f t="shared" si="108"/>
        <v>0</v>
      </c>
      <c r="W163" s="27">
        <f>IF(AND(D163/Summary!$C$4&gt;10, D163/Summary!$C$4&lt;=20),1,0)*E163</f>
        <v>0</v>
      </c>
      <c r="X163" s="27">
        <f t="shared" si="109"/>
        <v>0</v>
      </c>
      <c r="Y163" s="27">
        <f>IF(AND(D163/Summary!$C$4&gt;20, D163/Summary!$C$4&lt;=30),1,0)*E163</f>
        <v>0</v>
      </c>
      <c r="Z163" s="27">
        <f t="shared" si="110"/>
        <v>0</v>
      </c>
      <c r="AA163" s="27">
        <f>IF(AND(D163/Summary!$C$4&gt;30, D163/Summary!$C$4&lt;=50),1,0)*E163</f>
        <v>152</v>
      </c>
      <c r="AB163" s="27">
        <f t="shared" si="111"/>
        <v>4940</v>
      </c>
      <c r="AC163" s="27">
        <f>IF(AND(D163/Summary!$C$4&gt;50, D163/Summary!$C$4&lt;=100),1,0)*E163</f>
        <v>0</v>
      </c>
      <c r="AD163" s="27">
        <f t="shared" si="112"/>
        <v>0</v>
      </c>
      <c r="AE163" s="27">
        <f>IF(D163/Summary!$C$4&gt;100,1,0)*E163</f>
        <v>0</v>
      </c>
      <c r="AF163" s="27">
        <f t="shared" si="113"/>
        <v>0</v>
      </c>
      <c r="AG163" s="19">
        <f t="shared" si="114"/>
        <v>0</v>
      </c>
      <c r="AH163" s="19">
        <f t="shared" si="115"/>
        <v>152</v>
      </c>
      <c r="AI163" s="19">
        <f t="shared" si="116"/>
        <v>0</v>
      </c>
      <c r="AJ163" s="27">
        <f t="shared" si="117"/>
        <v>1</v>
      </c>
      <c r="AK163" s="27">
        <f t="shared" si="118"/>
        <v>152</v>
      </c>
      <c r="AL163" s="27">
        <f t="shared" si="119"/>
        <v>4940</v>
      </c>
      <c r="AM163">
        <f t="shared" si="120"/>
        <v>0</v>
      </c>
      <c r="AN163">
        <f t="shared" si="121"/>
        <v>0</v>
      </c>
      <c r="AO163">
        <f t="shared" si="122"/>
        <v>0</v>
      </c>
      <c r="AP163">
        <f t="shared" si="123"/>
        <v>0</v>
      </c>
      <c r="AQ163">
        <f t="shared" si="124"/>
        <v>0</v>
      </c>
      <c r="AR163">
        <f t="shared" si="125"/>
        <v>0</v>
      </c>
      <c r="AS163">
        <f t="shared" si="126"/>
        <v>0</v>
      </c>
      <c r="AT163">
        <f t="shared" si="127"/>
        <v>0</v>
      </c>
      <c r="AU163">
        <f t="shared" si="128"/>
        <v>0</v>
      </c>
      <c r="AV163">
        <f t="shared" si="129"/>
        <v>0</v>
      </c>
      <c r="AW163">
        <f t="shared" si="130"/>
        <v>0</v>
      </c>
      <c r="AX163">
        <f t="shared" si="131"/>
        <v>0</v>
      </c>
      <c r="AY163">
        <f t="shared" si="132"/>
        <v>0</v>
      </c>
      <c r="AZ163">
        <f t="shared" si="133"/>
        <v>0</v>
      </c>
      <c r="BA163">
        <f t="shared" si="134"/>
        <v>0</v>
      </c>
      <c r="BB163">
        <f t="shared" si="135"/>
        <v>0</v>
      </c>
      <c r="BC163">
        <f t="shared" si="136"/>
        <v>0</v>
      </c>
      <c r="BD163">
        <f t="shared" si="137"/>
        <v>152</v>
      </c>
      <c r="BE163">
        <f t="shared" si="138"/>
        <v>4940</v>
      </c>
      <c r="BF163">
        <f t="shared" si="139"/>
        <v>0</v>
      </c>
      <c r="BG163">
        <f t="shared" si="140"/>
        <v>0</v>
      </c>
      <c r="BH163">
        <f t="shared" si="141"/>
        <v>0</v>
      </c>
      <c r="BI163">
        <f t="shared" si="142"/>
        <v>0</v>
      </c>
      <c r="BJ163">
        <f t="shared" si="143"/>
        <v>0</v>
      </c>
      <c r="BK163">
        <f t="shared" si="144"/>
        <v>0</v>
      </c>
      <c r="BL163">
        <v>0</v>
      </c>
      <c r="BM163" t="str">
        <f t="shared" ref="BM163:BM193" si="151">IF(D163 &lt; $D$367, $C$367,
IF(D163 = $D$368, $C$368,
IF(D163 &lt; $D$369, $C$369,
IF(D163 &lt; $D$370, $C$370,
IF(D163 &lt; $D$371, $C$371, $C$372)))))</f>
        <v>Big Win</v>
      </c>
      <c r="BN163" s="32" t="str">
        <f t="shared" ref="BN163:BN193" si="152">IF(AV163 &gt; 0,$C$376,
IF(AX163 &gt; 0,$C$377,
IF(AZ163 &gt; 0,$C$378,
IF(BB163 &gt; 0,$C$379,
IF(BD163 &gt; 0,$C$380,
IF(BF163 &gt; 0,$C$381,
IF(BH163 &gt; 0,$C$382,
IF(BJ163 &gt; 0,$C$383,
IF(ISNUMBER(SEARCH("|||||||||",C163)), $C$384,$C$385)))))))))</f>
        <v>Bonus Game A</v>
      </c>
      <c r="BO163">
        <f>(D163/Summary!$C$4-Summary!$C$8)^2*E163</f>
        <v>152454.31280000001</v>
      </c>
      <c r="BP163">
        <f t="shared" si="145"/>
        <v>0</v>
      </c>
      <c r="BQ163">
        <f t="shared" si="146"/>
        <v>0</v>
      </c>
      <c r="BR163">
        <f t="shared" si="147"/>
        <v>0</v>
      </c>
      <c r="BS163">
        <f t="shared" si="148"/>
        <v>0</v>
      </c>
    </row>
    <row r="164" spans="2:71">
      <c r="B164" s="16">
        <f>Tiers!B165</f>
        <v>162</v>
      </c>
      <c r="C164" s="17" t="str">
        <f>Tiers!Y165</f>
        <v>main-4|main-22|bonusA-5||||||| x 1</v>
      </c>
      <c r="D164" s="18">
        <f>Tiers!C165</f>
        <v>56.5</v>
      </c>
      <c r="E164" s="19">
        <f>Frequency!E166</f>
        <v>133</v>
      </c>
      <c r="F164" s="19">
        <f t="shared" si="102"/>
        <v>7514.5</v>
      </c>
      <c r="G164" s="19">
        <f>IF(Tiers!D165&gt;1,'Data Analysis'!E164,0)</f>
        <v>0</v>
      </c>
      <c r="H164" s="19">
        <f t="shared" si="103"/>
        <v>0</v>
      </c>
      <c r="I164" s="19">
        <f>IF(AND(D164/Summary!$C$4&gt;0, D164/Summary!$C$4&lt;5),E164,0) * D164</f>
        <v>0</v>
      </c>
      <c r="J164" s="19">
        <f>IF(AND(D164/Summary!$C$4&gt;= 5, D164/Summary!$C$4&lt;10),E164,0) * D164</f>
        <v>0</v>
      </c>
      <c r="K164" s="19">
        <f>IF(AND(D164/Summary!$C$4&gt;=10, D164/Summary!$C$4&lt;25),E164,0)*D164</f>
        <v>0</v>
      </c>
      <c r="L164" s="19">
        <f>IF(D164/Summary!$C$4&gt;=25,E164,0)*D164</f>
        <v>7514.5</v>
      </c>
      <c r="M164" s="27">
        <f>IF(AND(D164/Summary!$C$4&gt;0, D164/Summary!$C$4&lt;1),E164,0)</f>
        <v>0</v>
      </c>
      <c r="N164" s="27">
        <f t="shared" si="104"/>
        <v>0</v>
      </c>
      <c r="O164" s="27">
        <f>IF(D164/Summary!$C$4=1,1,0)*E164</f>
        <v>0</v>
      </c>
      <c r="P164" s="27">
        <f t="shared" si="105"/>
        <v>0</v>
      </c>
      <c r="Q164" s="27">
        <f>IF(AND(D164/Summary!$C$4&gt;1, D164/Summary!$C$4&lt;=2),1,0)*E164</f>
        <v>0</v>
      </c>
      <c r="R164" s="27">
        <f t="shared" si="106"/>
        <v>0</v>
      </c>
      <c r="S164" s="27">
        <f>IF(AND(D164/Summary!$C$4&gt;2,D164/Summary!$C$4&lt;=5),1,0)*E164</f>
        <v>0</v>
      </c>
      <c r="T164" s="27">
        <f t="shared" si="107"/>
        <v>0</v>
      </c>
      <c r="U164" s="27">
        <f>IF(AND(D164/Summary!$C$4&gt;5, D164/Summary!$C$4&lt;=10),1,0)*E164</f>
        <v>0</v>
      </c>
      <c r="V164" s="27">
        <f t="shared" si="108"/>
        <v>0</v>
      </c>
      <c r="W164" s="27">
        <f>IF(AND(D164/Summary!$C$4&gt;10, D164/Summary!$C$4&lt;=20),1,0)*E164</f>
        <v>0</v>
      </c>
      <c r="X164" s="27">
        <f t="shared" si="109"/>
        <v>0</v>
      </c>
      <c r="Y164" s="27">
        <f>IF(AND(D164/Summary!$C$4&gt;20, D164/Summary!$C$4&lt;=30),1,0)*E164</f>
        <v>0</v>
      </c>
      <c r="Z164" s="27">
        <f t="shared" si="110"/>
        <v>0</v>
      </c>
      <c r="AA164" s="27">
        <f>IF(AND(D164/Summary!$C$4&gt;30, D164/Summary!$C$4&lt;=50),1,0)*E164</f>
        <v>0</v>
      </c>
      <c r="AB164" s="27">
        <f t="shared" si="111"/>
        <v>0</v>
      </c>
      <c r="AC164" s="27">
        <f>IF(AND(D164/Summary!$C$4&gt;50, D164/Summary!$C$4&lt;=100),1,0)*E164</f>
        <v>133</v>
      </c>
      <c r="AD164" s="27">
        <f t="shared" si="112"/>
        <v>7514.5</v>
      </c>
      <c r="AE164" s="27">
        <f>IF(D164/Summary!$C$4&gt;100,1,0)*E164</f>
        <v>0</v>
      </c>
      <c r="AF164" s="27">
        <f t="shared" si="113"/>
        <v>0</v>
      </c>
      <c r="AG164" s="19">
        <f t="shared" si="114"/>
        <v>0</v>
      </c>
      <c r="AH164" s="19">
        <f t="shared" si="115"/>
        <v>133</v>
      </c>
      <c r="AI164" s="19">
        <f t="shared" si="116"/>
        <v>0</v>
      </c>
      <c r="AJ164" s="27">
        <f t="shared" si="117"/>
        <v>1</v>
      </c>
      <c r="AK164" s="27">
        <f t="shared" si="118"/>
        <v>133</v>
      </c>
      <c r="AL164" s="27">
        <f t="shared" si="119"/>
        <v>7514.5</v>
      </c>
      <c r="AM164">
        <f t="shared" si="120"/>
        <v>0</v>
      </c>
      <c r="AN164">
        <f t="shared" si="121"/>
        <v>0</v>
      </c>
      <c r="AO164">
        <f t="shared" si="122"/>
        <v>0</v>
      </c>
      <c r="AP164">
        <f t="shared" si="123"/>
        <v>0</v>
      </c>
      <c r="AQ164">
        <f t="shared" si="124"/>
        <v>0</v>
      </c>
      <c r="AR164">
        <f t="shared" si="125"/>
        <v>0</v>
      </c>
      <c r="AS164">
        <f t="shared" si="126"/>
        <v>0</v>
      </c>
      <c r="AT164">
        <f t="shared" si="127"/>
        <v>0</v>
      </c>
      <c r="AU164">
        <f t="shared" si="128"/>
        <v>0</v>
      </c>
      <c r="AV164">
        <f t="shared" si="129"/>
        <v>0</v>
      </c>
      <c r="AW164">
        <f t="shared" si="130"/>
        <v>0</v>
      </c>
      <c r="AX164">
        <f t="shared" si="131"/>
        <v>0</v>
      </c>
      <c r="AY164">
        <f t="shared" si="132"/>
        <v>0</v>
      </c>
      <c r="AZ164">
        <f t="shared" si="133"/>
        <v>0</v>
      </c>
      <c r="BA164">
        <f t="shared" si="134"/>
        <v>0</v>
      </c>
      <c r="BB164">
        <f t="shared" si="135"/>
        <v>0</v>
      </c>
      <c r="BC164">
        <f t="shared" si="136"/>
        <v>0</v>
      </c>
      <c r="BD164">
        <f t="shared" si="137"/>
        <v>133</v>
      </c>
      <c r="BE164">
        <f t="shared" si="138"/>
        <v>7514.5</v>
      </c>
      <c r="BF164">
        <f t="shared" si="139"/>
        <v>0</v>
      </c>
      <c r="BG164">
        <f t="shared" si="140"/>
        <v>0</v>
      </c>
      <c r="BH164">
        <f t="shared" si="141"/>
        <v>0</v>
      </c>
      <c r="BI164">
        <f t="shared" si="142"/>
        <v>0</v>
      </c>
      <c r="BJ164">
        <f t="shared" si="143"/>
        <v>0</v>
      </c>
      <c r="BK164">
        <f t="shared" si="144"/>
        <v>0</v>
      </c>
      <c r="BL164">
        <v>0</v>
      </c>
      <c r="BM164" t="str">
        <f t="shared" si="151"/>
        <v>Huge Win</v>
      </c>
      <c r="BN164" s="32" t="str">
        <f t="shared" si="152"/>
        <v>Bonus Game A</v>
      </c>
      <c r="BO164">
        <f>(D164/Summary!$C$4-Summary!$C$8)^2*E164</f>
        <v>412186.80370000005</v>
      </c>
      <c r="BP164">
        <f t="shared" si="145"/>
        <v>0</v>
      </c>
      <c r="BQ164">
        <f t="shared" si="146"/>
        <v>0</v>
      </c>
      <c r="BR164">
        <f t="shared" si="147"/>
        <v>0</v>
      </c>
      <c r="BS164">
        <f t="shared" si="148"/>
        <v>0</v>
      </c>
    </row>
    <row r="165" spans="2:71">
      <c r="B165" s="16">
        <f>Tiers!B166</f>
        <v>163</v>
      </c>
      <c r="C165" s="17" t="str">
        <f>Tiers!Y166</f>
        <v>main-4|main-4|bonusA-2||||||| x 1</v>
      </c>
      <c r="D165" s="18">
        <f>Tiers!C166</f>
        <v>23</v>
      </c>
      <c r="E165" s="19">
        <f>Frequency!E167</f>
        <v>237</v>
      </c>
      <c r="F165" s="19">
        <f t="shared" si="102"/>
        <v>5451</v>
      </c>
      <c r="G165" s="19">
        <f>IF(Tiers!D166&gt;1,'Data Analysis'!E165,0)</f>
        <v>0</v>
      </c>
      <c r="H165" s="19">
        <f t="shared" si="103"/>
        <v>0</v>
      </c>
      <c r="I165" s="19">
        <f>IF(AND(D165/Summary!$C$4&gt;0, D165/Summary!$C$4&lt;5),E165,0) * D165</f>
        <v>0</v>
      </c>
      <c r="J165" s="19">
        <f>IF(AND(D165/Summary!$C$4&gt;= 5, D165/Summary!$C$4&lt;10),E165,0) * D165</f>
        <v>0</v>
      </c>
      <c r="K165" s="19">
        <f>IF(AND(D165/Summary!$C$4&gt;=10, D165/Summary!$C$4&lt;25),E165,0)*D165</f>
        <v>5451</v>
      </c>
      <c r="L165" s="19">
        <f>IF(D165/Summary!$C$4&gt;=25,E165,0)*D165</f>
        <v>0</v>
      </c>
      <c r="M165" s="27">
        <f>IF(AND(D165/Summary!$C$4&gt;0, D165/Summary!$C$4&lt;1),E165,0)</f>
        <v>0</v>
      </c>
      <c r="N165" s="27">
        <f t="shared" si="104"/>
        <v>0</v>
      </c>
      <c r="O165" s="27">
        <f>IF(D165/Summary!$C$4=1,1,0)*E165</f>
        <v>0</v>
      </c>
      <c r="P165" s="27">
        <f t="shared" si="105"/>
        <v>0</v>
      </c>
      <c r="Q165" s="27">
        <f>IF(AND(D165/Summary!$C$4&gt;1, D165/Summary!$C$4&lt;=2),1,0)*E165</f>
        <v>0</v>
      </c>
      <c r="R165" s="27">
        <f t="shared" si="106"/>
        <v>0</v>
      </c>
      <c r="S165" s="27">
        <f>IF(AND(D165/Summary!$C$4&gt;2,D165/Summary!$C$4&lt;=5),1,0)*E165</f>
        <v>0</v>
      </c>
      <c r="T165" s="27">
        <f t="shared" si="107"/>
        <v>0</v>
      </c>
      <c r="U165" s="27">
        <f>IF(AND(D165/Summary!$C$4&gt;5, D165/Summary!$C$4&lt;=10),1,0)*E165</f>
        <v>0</v>
      </c>
      <c r="V165" s="27">
        <f t="shared" si="108"/>
        <v>0</v>
      </c>
      <c r="W165" s="27">
        <f>IF(AND(D165/Summary!$C$4&gt;10, D165/Summary!$C$4&lt;=20),1,0)*E165</f>
        <v>0</v>
      </c>
      <c r="X165" s="27">
        <f t="shared" si="109"/>
        <v>0</v>
      </c>
      <c r="Y165" s="27">
        <f>IF(AND(D165/Summary!$C$4&gt;20, D165/Summary!$C$4&lt;=30),1,0)*E165</f>
        <v>237</v>
      </c>
      <c r="Z165" s="27">
        <f t="shared" si="110"/>
        <v>5451</v>
      </c>
      <c r="AA165" s="27">
        <f>IF(AND(D165/Summary!$C$4&gt;30, D165/Summary!$C$4&lt;=50),1,0)*E165</f>
        <v>0</v>
      </c>
      <c r="AB165" s="27">
        <f t="shared" si="111"/>
        <v>0</v>
      </c>
      <c r="AC165" s="27">
        <f>IF(AND(D165/Summary!$C$4&gt;50, D165/Summary!$C$4&lt;=100),1,0)*E165</f>
        <v>0</v>
      </c>
      <c r="AD165" s="27">
        <f t="shared" si="112"/>
        <v>0</v>
      </c>
      <c r="AE165" s="27">
        <f>IF(D165/Summary!$C$4&gt;100,1,0)*E165</f>
        <v>0</v>
      </c>
      <c r="AF165" s="27">
        <f t="shared" si="113"/>
        <v>0</v>
      </c>
      <c r="AG165" s="19">
        <f t="shared" si="114"/>
        <v>0</v>
      </c>
      <c r="AH165" s="19">
        <f t="shared" si="115"/>
        <v>237</v>
      </c>
      <c r="AI165" s="19">
        <f t="shared" si="116"/>
        <v>0</v>
      </c>
      <c r="AJ165" s="27">
        <f t="shared" si="117"/>
        <v>1</v>
      </c>
      <c r="AK165" s="27">
        <f t="shared" si="118"/>
        <v>237</v>
      </c>
      <c r="AL165" s="27">
        <f t="shared" si="119"/>
        <v>5451</v>
      </c>
      <c r="AM165">
        <f t="shared" si="120"/>
        <v>0</v>
      </c>
      <c r="AN165">
        <f t="shared" si="121"/>
        <v>0</v>
      </c>
      <c r="AO165">
        <f t="shared" si="122"/>
        <v>0</v>
      </c>
      <c r="AP165">
        <f t="shared" si="123"/>
        <v>0</v>
      </c>
      <c r="AQ165">
        <f t="shared" si="124"/>
        <v>0</v>
      </c>
      <c r="AR165">
        <f t="shared" si="125"/>
        <v>0</v>
      </c>
      <c r="AS165">
        <f t="shared" si="126"/>
        <v>0</v>
      </c>
      <c r="AT165">
        <f t="shared" si="127"/>
        <v>0</v>
      </c>
      <c r="AU165">
        <f t="shared" si="128"/>
        <v>0</v>
      </c>
      <c r="AV165">
        <f t="shared" si="129"/>
        <v>0</v>
      </c>
      <c r="AW165">
        <f t="shared" si="130"/>
        <v>0</v>
      </c>
      <c r="AX165">
        <f t="shared" si="131"/>
        <v>0</v>
      </c>
      <c r="AY165">
        <f t="shared" si="132"/>
        <v>0</v>
      </c>
      <c r="AZ165">
        <f t="shared" si="133"/>
        <v>0</v>
      </c>
      <c r="BA165">
        <f t="shared" si="134"/>
        <v>0</v>
      </c>
      <c r="BB165">
        <f t="shared" si="135"/>
        <v>0</v>
      </c>
      <c r="BC165">
        <f t="shared" si="136"/>
        <v>0</v>
      </c>
      <c r="BD165">
        <f t="shared" si="137"/>
        <v>237</v>
      </c>
      <c r="BE165">
        <f t="shared" si="138"/>
        <v>5451</v>
      </c>
      <c r="BF165">
        <f t="shared" si="139"/>
        <v>0</v>
      </c>
      <c r="BG165">
        <f t="shared" si="140"/>
        <v>0</v>
      </c>
      <c r="BH165">
        <f t="shared" si="141"/>
        <v>0</v>
      </c>
      <c r="BI165">
        <f t="shared" si="142"/>
        <v>0</v>
      </c>
      <c r="BJ165">
        <f t="shared" si="143"/>
        <v>0</v>
      </c>
      <c r="BK165">
        <f t="shared" si="144"/>
        <v>0</v>
      </c>
      <c r="BL165">
        <v>0</v>
      </c>
      <c r="BM165" t="str">
        <f t="shared" si="151"/>
        <v>Big Win</v>
      </c>
      <c r="BN165" s="32" t="str">
        <f t="shared" si="152"/>
        <v>Bonus Game A</v>
      </c>
      <c r="BO165">
        <f>(D165/Summary!$C$4-Summary!$C$8)^2*E165</f>
        <v>116487.60930000003</v>
      </c>
      <c r="BP165">
        <f t="shared" si="145"/>
        <v>0</v>
      </c>
      <c r="BQ165">
        <f t="shared" si="146"/>
        <v>0</v>
      </c>
      <c r="BR165">
        <f t="shared" si="147"/>
        <v>0</v>
      </c>
      <c r="BS165">
        <f t="shared" si="148"/>
        <v>0</v>
      </c>
    </row>
    <row r="166" spans="2:71">
      <c r="B166" s="16">
        <f>Tiers!B167</f>
        <v>164</v>
      </c>
      <c r="C166" s="17" t="str">
        <f>Tiers!Y167</f>
        <v>main-4|main-5|main-13|bonusA-1|||||| x 1</v>
      </c>
      <c r="D166" s="18">
        <f>Tiers!C167</f>
        <v>23.5</v>
      </c>
      <c r="E166" s="19">
        <f>Frequency!E168</f>
        <v>100</v>
      </c>
      <c r="F166" s="19">
        <f t="shared" si="102"/>
        <v>2350</v>
      </c>
      <c r="G166" s="19">
        <f>IF(Tiers!D167&gt;1,'Data Analysis'!E166,0)</f>
        <v>0</v>
      </c>
      <c r="H166" s="19">
        <f t="shared" si="103"/>
        <v>0</v>
      </c>
      <c r="I166" s="19">
        <f>IF(AND(D166/Summary!$C$4&gt;0, D166/Summary!$C$4&lt;5),E166,0) * D166</f>
        <v>0</v>
      </c>
      <c r="J166" s="19">
        <f>IF(AND(D166/Summary!$C$4&gt;= 5, D166/Summary!$C$4&lt;10),E166,0) * D166</f>
        <v>0</v>
      </c>
      <c r="K166" s="19">
        <f>IF(AND(D166/Summary!$C$4&gt;=10, D166/Summary!$C$4&lt;25),E166,0)*D166</f>
        <v>2350</v>
      </c>
      <c r="L166" s="19">
        <f>IF(D166/Summary!$C$4&gt;=25,E166,0)*D166</f>
        <v>0</v>
      </c>
      <c r="M166" s="27">
        <f>IF(AND(D166/Summary!$C$4&gt;0, D166/Summary!$C$4&lt;1),E166,0)</f>
        <v>0</v>
      </c>
      <c r="N166" s="27">
        <f t="shared" si="104"/>
        <v>0</v>
      </c>
      <c r="O166" s="27">
        <f>IF(D166/Summary!$C$4=1,1,0)*E166</f>
        <v>0</v>
      </c>
      <c r="P166" s="27">
        <f t="shared" si="105"/>
        <v>0</v>
      </c>
      <c r="Q166" s="27">
        <f>IF(AND(D166/Summary!$C$4&gt;1, D166/Summary!$C$4&lt;=2),1,0)*E166</f>
        <v>0</v>
      </c>
      <c r="R166" s="27">
        <f t="shared" si="106"/>
        <v>0</v>
      </c>
      <c r="S166" s="27">
        <f>IF(AND(D166/Summary!$C$4&gt;2,D166/Summary!$C$4&lt;=5),1,0)*E166</f>
        <v>0</v>
      </c>
      <c r="T166" s="27">
        <f t="shared" si="107"/>
        <v>0</v>
      </c>
      <c r="U166" s="27">
        <f>IF(AND(D166/Summary!$C$4&gt;5, D166/Summary!$C$4&lt;=10),1,0)*E166</f>
        <v>0</v>
      </c>
      <c r="V166" s="27">
        <f t="shared" si="108"/>
        <v>0</v>
      </c>
      <c r="W166" s="27">
        <f>IF(AND(D166/Summary!$C$4&gt;10, D166/Summary!$C$4&lt;=20),1,0)*E166</f>
        <v>0</v>
      </c>
      <c r="X166" s="27">
        <f t="shared" si="109"/>
        <v>0</v>
      </c>
      <c r="Y166" s="27">
        <f>IF(AND(D166/Summary!$C$4&gt;20, D166/Summary!$C$4&lt;=30),1,0)*E166</f>
        <v>100</v>
      </c>
      <c r="Z166" s="27">
        <f t="shared" si="110"/>
        <v>2350</v>
      </c>
      <c r="AA166" s="27">
        <f>IF(AND(D166/Summary!$C$4&gt;30, D166/Summary!$C$4&lt;=50),1,0)*E166</f>
        <v>0</v>
      </c>
      <c r="AB166" s="27">
        <f t="shared" si="111"/>
        <v>0</v>
      </c>
      <c r="AC166" s="27">
        <f>IF(AND(D166/Summary!$C$4&gt;50, D166/Summary!$C$4&lt;=100),1,0)*E166</f>
        <v>0</v>
      </c>
      <c r="AD166" s="27">
        <f t="shared" si="112"/>
        <v>0</v>
      </c>
      <c r="AE166" s="27">
        <f>IF(D166/Summary!$C$4&gt;100,1,0)*E166</f>
        <v>0</v>
      </c>
      <c r="AF166" s="27">
        <f t="shared" si="113"/>
        <v>0</v>
      </c>
      <c r="AG166" s="19">
        <f t="shared" si="114"/>
        <v>0</v>
      </c>
      <c r="AH166" s="19">
        <f t="shared" si="115"/>
        <v>100</v>
      </c>
      <c r="AI166" s="19">
        <f t="shared" si="116"/>
        <v>0</v>
      </c>
      <c r="AJ166" s="27">
        <f t="shared" si="117"/>
        <v>1</v>
      </c>
      <c r="AK166" s="27">
        <f t="shared" si="118"/>
        <v>100</v>
      </c>
      <c r="AL166" s="27">
        <f t="shared" si="119"/>
        <v>2350</v>
      </c>
      <c r="AM166">
        <f t="shared" si="120"/>
        <v>0</v>
      </c>
      <c r="AN166">
        <f t="shared" si="121"/>
        <v>0</v>
      </c>
      <c r="AO166">
        <f t="shared" si="122"/>
        <v>0</v>
      </c>
      <c r="AP166">
        <f t="shared" si="123"/>
        <v>0</v>
      </c>
      <c r="AQ166">
        <f t="shared" si="124"/>
        <v>0</v>
      </c>
      <c r="AR166">
        <f t="shared" si="125"/>
        <v>0</v>
      </c>
      <c r="AS166">
        <f t="shared" si="126"/>
        <v>0</v>
      </c>
      <c r="AT166">
        <f t="shared" si="127"/>
        <v>0</v>
      </c>
      <c r="AU166">
        <f t="shared" si="128"/>
        <v>0</v>
      </c>
      <c r="AV166">
        <f t="shared" si="129"/>
        <v>0</v>
      </c>
      <c r="AW166">
        <f t="shared" si="130"/>
        <v>0</v>
      </c>
      <c r="AX166">
        <f t="shared" si="131"/>
        <v>0</v>
      </c>
      <c r="AY166">
        <f t="shared" si="132"/>
        <v>0</v>
      </c>
      <c r="AZ166">
        <f t="shared" si="133"/>
        <v>0</v>
      </c>
      <c r="BA166">
        <f t="shared" si="134"/>
        <v>0</v>
      </c>
      <c r="BB166">
        <f t="shared" si="135"/>
        <v>0</v>
      </c>
      <c r="BC166">
        <f t="shared" si="136"/>
        <v>0</v>
      </c>
      <c r="BD166">
        <f t="shared" si="137"/>
        <v>100</v>
      </c>
      <c r="BE166">
        <f t="shared" si="138"/>
        <v>2350</v>
      </c>
      <c r="BF166">
        <f t="shared" si="139"/>
        <v>0</v>
      </c>
      <c r="BG166">
        <f t="shared" si="140"/>
        <v>0</v>
      </c>
      <c r="BH166">
        <f t="shared" si="141"/>
        <v>0</v>
      </c>
      <c r="BI166">
        <f t="shared" si="142"/>
        <v>0</v>
      </c>
      <c r="BJ166">
        <f t="shared" si="143"/>
        <v>0</v>
      </c>
      <c r="BK166">
        <f t="shared" si="144"/>
        <v>0</v>
      </c>
      <c r="BL166">
        <v>0</v>
      </c>
      <c r="BM166" t="str">
        <f t="shared" si="151"/>
        <v>Big Win</v>
      </c>
      <c r="BN166" s="32" t="str">
        <f t="shared" si="152"/>
        <v>Bonus Game A</v>
      </c>
      <c r="BO166">
        <f>(D166/Summary!$C$4-Summary!$C$8)^2*E166</f>
        <v>51392.890000000014</v>
      </c>
      <c r="BP166">
        <f t="shared" si="145"/>
        <v>0</v>
      </c>
      <c r="BQ166">
        <f t="shared" si="146"/>
        <v>0</v>
      </c>
      <c r="BR166">
        <f t="shared" si="147"/>
        <v>0</v>
      </c>
      <c r="BS166">
        <f t="shared" si="148"/>
        <v>0</v>
      </c>
    </row>
    <row r="167" spans="2:71">
      <c r="B167" s="16">
        <f>Tiers!B168</f>
        <v>165</v>
      </c>
      <c r="C167" s="17" t="str">
        <f>Tiers!Y168</f>
        <v>main-4|main-2|main-24|bonusA-2|||||| x 1</v>
      </c>
      <c r="D167" s="18">
        <f>Tiers!C168</f>
        <v>37</v>
      </c>
      <c r="E167" s="19">
        <f>Frequency!E169</f>
        <v>79</v>
      </c>
      <c r="F167" s="19">
        <f t="shared" si="102"/>
        <v>2923</v>
      </c>
      <c r="G167" s="19">
        <f>IF(Tiers!D168&gt;1,'Data Analysis'!E167,0)</f>
        <v>0</v>
      </c>
      <c r="H167" s="19">
        <f t="shared" si="103"/>
        <v>0</v>
      </c>
      <c r="I167" s="19">
        <f>IF(AND(D167/Summary!$C$4&gt;0, D167/Summary!$C$4&lt;5),E167,0) * D167</f>
        <v>0</v>
      </c>
      <c r="J167" s="19">
        <f>IF(AND(D167/Summary!$C$4&gt;= 5, D167/Summary!$C$4&lt;10),E167,0) * D167</f>
        <v>0</v>
      </c>
      <c r="K167" s="19">
        <f>IF(AND(D167/Summary!$C$4&gt;=10, D167/Summary!$C$4&lt;25),E167,0)*D167</f>
        <v>0</v>
      </c>
      <c r="L167" s="19">
        <f>IF(D167/Summary!$C$4&gt;=25,E167,0)*D167</f>
        <v>2923</v>
      </c>
      <c r="M167" s="27">
        <f>IF(AND(D167/Summary!$C$4&gt;0, D167/Summary!$C$4&lt;1),E167,0)</f>
        <v>0</v>
      </c>
      <c r="N167" s="27">
        <f t="shared" si="104"/>
        <v>0</v>
      </c>
      <c r="O167" s="27">
        <f>IF(D167/Summary!$C$4=1,1,0)*E167</f>
        <v>0</v>
      </c>
      <c r="P167" s="27">
        <f t="shared" si="105"/>
        <v>0</v>
      </c>
      <c r="Q167" s="27">
        <f>IF(AND(D167/Summary!$C$4&gt;1, D167/Summary!$C$4&lt;=2),1,0)*E167</f>
        <v>0</v>
      </c>
      <c r="R167" s="27">
        <f t="shared" si="106"/>
        <v>0</v>
      </c>
      <c r="S167" s="27">
        <f>IF(AND(D167/Summary!$C$4&gt;2,D167/Summary!$C$4&lt;=5),1,0)*E167</f>
        <v>0</v>
      </c>
      <c r="T167" s="27">
        <f t="shared" si="107"/>
        <v>0</v>
      </c>
      <c r="U167" s="27">
        <f>IF(AND(D167/Summary!$C$4&gt;5, D167/Summary!$C$4&lt;=10),1,0)*E167</f>
        <v>0</v>
      </c>
      <c r="V167" s="27">
        <f t="shared" si="108"/>
        <v>0</v>
      </c>
      <c r="W167" s="27">
        <f>IF(AND(D167/Summary!$C$4&gt;10, D167/Summary!$C$4&lt;=20),1,0)*E167</f>
        <v>0</v>
      </c>
      <c r="X167" s="27">
        <f t="shared" si="109"/>
        <v>0</v>
      </c>
      <c r="Y167" s="27">
        <f>IF(AND(D167/Summary!$C$4&gt;20, D167/Summary!$C$4&lt;=30),1,0)*E167</f>
        <v>0</v>
      </c>
      <c r="Z167" s="27">
        <f t="shared" si="110"/>
        <v>0</v>
      </c>
      <c r="AA167" s="27">
        <f>IF(AND(D167/Summary!$C$4&gt;30, D167/Summary!$C$4&lt;=50),1,0)*E167</f>
        <v>79</v>
      </c>
      <c r="AB167" s="27">
        <f t="shared" si="111"/>
        <v>2923</v>
      </c>
      <c r="AC167" s="27">
        <f>IF(AND(D167/Summary!$C$4&gt;50, D167/Summary!$C$4&lt;=100),1,0)*E167</f>
        <v>0</v>
      </c>
      <c r="AD167" s="27">
        <f t="shared" si="112"/>
        <v>0</v>
      </c>
      <c r="AE167" s="27">
        <f>IF(D167/Summary!$C$4&gt;100,1,0)*E167</f>
        <v>0</v>
      </c>
      <c r="AF167" s="27">
        <f t="shared" si="113"/>
        <v>0</v>
      </c>
      <c r="AG167" s="19">
        <f t="shared" si="114"/>
        <v>0</v>
      </c>
      <c r="AH167" s="19">
        <f t="shared" si="115"/>
        <v>79</v>
      </c>
      <c r="AI167" s="19">
        <f t="shared" si="116"/>
        <v>0</v>
      </c>
      <c r="AJ167" s="27">
        <f t="shared" si="117"/>
        <v>1</v>
      </c>
      <c r="AK167" s="27">
        <f t="shared" si="118"/>
        <v>79</v>
      </c>
      <c r="AL167" s="27">
        <f t="shared" si="119"/>
        <v>2923</v>
      </c>
      <c r="AM167">
        <f t="shared" si="120"/>
        <v>0</v>
      </c>
      <c r="AN167">
        <f t="shared" si="121"/>
        <v>0</v>
      </c>
      <c r="AO167">
        <f t="shared" si="122"/>
        <v>0</v>
      </c>
      <c r="AP167">
        <f t="shared" si="123"/>
        <v>0</v>
      </c>
      <c r="AQ167">
        <f t="shared" si="124"/>
        <v>0</v>
      </c>
      <c r="AR167">
        <f t="shared" si="125"/>
        <v>0</v>
      </c>
      <c r="AS167">
        <f t="shared" si="126"/>
        <v>0</v>
      </c>
      <c r="AT167">
        <f t="shared" si="127"/>
        <v>0</v>
      </c>
      <c r="AU167">
        <f t="shared" si="128"/>
        <v>0</v>
      </c>
      <c r="AV167">
        <f t="shared" si="129"/>
        <v>0</v>
      </c>
      <c r="AW167">
        <f t="shared" si="130"/>
        <v>0</v>
      </c>
      <c r="AX167">
        <f t="shared" si="131"/>
        <v>0</v>
      </c>
      <c r="AY167">
        <f t="shared" si="132"/>
        <v>0</v>
      </c>
      <c r="AZ167">
        <f t="shared" si="133"/>
        <v>0</v>
      </c>
      <c r="BA167">
        <f t="shared" si="134"/>
        <v>0</v>
      </c>
      <c r="BB167">
        <f t="shared" si="135"/>
        <v>0</v>
      </c>
      <c r="BC167">
        <f t="shared" si="136"/>
        <v>0</v>
      </c>
      <c r="BD167">
        <f t="shared" si="137"/>
        <v>79</v>
      </c>
      <c r="BE167">
        <f t="shared" si="138"/>
        <v>2923</v>
      </c>
      <c r="BF167">
        <f t="shared" si="139"/>
        <v>0</v>
      </c>
      <c r="BG167">
        <f t="shared" si="140"/>
        <v>0</v>
      </c>
      <c r="BH167">
        <f t="shared" si="141"/>
        <v>0</v>
      </c>
      <c r="BI167">
        <f t="shared" si="142"/>
        <v>0</v>
      </c>
      <c r="BJ167">
        <f t="shared" si="143"/>
        <v>0</v>
      </c>
      <c r="BK167">
        <f t="shared" si="144"/>
        <v>0</v>
      </c>
      <c r="BL167">
        <v>0</v>
      </c>
      <c r="BM167" t="str">
        <f t="shared" si="151"/>
        <v>Big Win</v>
      </c>
      <c r="BN167" s="32" t="str">
        <f t="shared" si="152"/>
        <v>Bonus Game A</v>
      </c>
      <c r="BO167">
        <f>(D167/Summary!$C$4-Summary!$C$8)^2*E167</f>
        <v>103353.24310000001</v>
      </c>
      <c r="BP167">
        <f t="shared" si="145"/>
        <v>0</v>
      </c>
      <c r="BQ167">
        <f t="shared" si="146"/>
        <v>0</v>
      </c>
      <c r="BR167">
        <f t="shared" si="147"/>
        <v>0</v>
      </c>
      <c r="BS167">
        <f t="shared" si="148"/>
        <v>0</v>
      </c>
    </row>
    <row r="168" spans="2:71">
      <c r="B168" s="16">
        <f>Tiers!B169</f>
        <v>166</v>
      </c>
      <c r="C168" s="17" t="str">
        <f>Tiers!Y169</f>
        <v>main-15|main-13|main-13|bonusA-2|||||| x 1</v>
      </c>
      <c r="D168" s="18">
        <f>Tiers!C169</f>
        <v>45</v>
      </c>
      <c r="E168" s="19">
        <f>Frequency!E170</f>
        <v>39</v>
      </c>
      <c r="F168" s="19">
        <f t="shared" si="102"/>
        <v>1755</v>
      </c>
      <c r="G168" s="19">
        <f>IF(Tiers!D169&gt;1,'Data Analysis'!E168,0)</f>
        <v>0</v>
      </c>
      <c r="H168" s="19">
        <f t="shared" si="103"/>
        <v>0</v>
      </c>
      <c r="I168" s="19">
        <f>IF(AND(D168/Summary!$C$4&gt;0, D168/Summary!$C$4&lt;5),E168,0) * D168</f>
        <v>0</v>
      </c>
      <c r="J168" s="19">
        <f>IF(AND(D168/Summary!$C$4&gt;= 5, D168/Summary!$C$4&lt;10),E168,0) * D168</f>
        <v>0</v>
      </c>
      <c r="K168" s="19">
        <f>IF(AND(D168/Summary!$C$4&gt;=10, D168/Summary!$C$4&lt;25),E168,0)*D168</f>
        <v>0</v>
      </c>
      <c r="L168" s="19">
        <f>IF(D168/Summary!$C$4&gt;=25,E168,0)*D168</f>
        <v>1755</v>
      </c>
      <c r="M168" s="27">
        <f>IF(AND(D168/Summary!$C$4&gt;0, D168/Summary!$C$4&lt;1),E168,0)</f>
        <v>0</v>
      </c>
      <c r="N168" s="27">
        <f t="shared" si="104"/>
        <v>0</v>
      </c>
      <c r="O168" s="27">
        <f>IF(D168/Summary!$C$4=1,1,0)*E168</f>
        <v>0</v>
      </c>
      <c r="P168" s="27">
        <f t="shared" si="105"/>
        <v>0</v>
      </c>
      <c r="Q168" s="27">
        <f>IF(AND(D168/Summary!$C$4&gt;1, D168/Summary!$C$4&lt;=2),1,0)*E168</f>
        <v>0</v>
      </c>
      <c r="R168" s="27">
        <f t="shared" si="106"/>
        <v>0</v>
      </c>
      <c r="S168" s="27">
        <f>IF(AND(D168/Summary!$C$4&gt;2,D168/Summary!$C$4&lt;=5),1,0)*E168</f>
        <v>0</v>
      </c>
      <c r="T168" s="27">
        <f t="shared" si="107"/>
        <v>0</v>
      </c>
      <c r="U168" s="27">
        <f>IF(AND(D168/Summary!$C$4&gt;5, D168/Summary!$C$4&lt;=10),1,0)*E168</f>
        <v>0</v>
      </c>
      <c r="V168" s="27">
        <f t="shared" si="108"/>
        <v>0</v>
      </c>
      <c r="W168" s="27">
        <f>IF(AND(D168/Summary!$C$4&gt;10, D168/Summary!$C$4&lt;=20),1,0)*E168</f>
        <v>0</v>
      </c>
      <c r="X168" s="27">
        <f t="shared" si="109"/>
        <v>0</v>
      </c>
      <c r="Y168" s="27">
        <f>IF(AND(D168/Summary!$C$4&gt;20, D168/Summary!$C$4&lt;=30),1,0)*E168</f>
        <v>0</v>
      </c>
      <c r="Z168" s="27">
        <f t="shared" si="110"/>
        <v>0</v>
      </c>
      <c r="AA168" s="27">
        <f>IF(AND(D168/Summary!$C$4&gt;30, D168/Summary!$C$4&lt;=50),1,0)*E168</f>
        <v>39</v>
      </c>
      <c r="AB168" s="27">
        <f t="shared" si="111"/>
        <v>1755</v>
      </c>
      <c r="AC168" s="27">
        <f>IF(AND(D168/Summary!$C$4&gt;50, D168/Summary!$C$4&lt;=100),1,0)*E168</f>
        <v>0</v>
      </c>
      <c r="AD168" s="27">
        <f t="shared" si="112"/>
        <v>0</v>
      </c>
      <c r="AE168" s="27">
        <f>IF(D168/Summary!$C$4&gt;100,1,0)*E168</f>
        <v>0</v>
      </c>
      <c r="AF168" s="27">
        <f t="shared" si="113"/>
        <v>0</v>
      </c>
      <c r="AG168" s="19">
        <f t="shared" si="114"/>
        <v>0</v>
      </c>
      <c r="AH168" s="19">
        <f t="shared" si="115"/>
        <v>39</v>
      </c>
      <c r="AI168" s="19">
        <f t="shared" si="116"/>
        <v>0</v>
      </c>
      <c r="AJ168" s="27">
        <f t="shared" si="117"/>
        <v>1</v>
      </c>
      <c r="AK168" s="27">
        <f t="shared" si="118"/>
        <v>39</v>
      </c>
      <c r="AL168" s="27">
        <f t="shared" si="119"/>
        <v>1755</v>
      </c>
      <c r="AM168">
        <f t="shared" si="120"/>
        <v>0</v>
      </c>
      <c r="AN168">
        <f t="shared" si="121"/>
        <v>0</v>
      </c>
      <c r="AO168">
        <f t="shared" si="122"/>
        <v>0</v>
      </c>
      <c r="AP168">
        <f t="shared" si="123"/>
        <v>0</v>
      </c>
      <c r="AQ168">
        <f t="shared" si="124"/>
        <v>0</v>
      </c>
      <c r="AR168">
        <f t="shared" si="125"/>
        <v>0</v>
      </c>
      <c r="AS168">
        <f t="shared" si="126"/>
        <v>0</v>
      </c>
      <c r="AT168">
        <f t="shared" si="127"/>
        <v>0</v>
      </c>
      <c r="AU168">
        <f t="shared" si="128"/>
        <v>0</v>
      </c>
      <c r="AV168">
        <f t="shared" si="129"/>
        <v>0</v>
      </c>
      <c r="AW168">
        <f t="shared" si="130"/>
        <v>0</v>
      </c>
      <c r="AX168">
        <f t="shared" si="131"/>
        <v>0</v>
      </c>
      <c r="AY168">
        <f t="shared" si="132"/>
        <v>0</v>
      </c>
      <c r="AZ168">
        <f t="shared" si="133"/>
        <v>0</v>
      </c>
      <c r="BA168">
        <f t="shared" si="134"/>
        <v>0</v>
      </c>
      <c r="BB168">
        <f t="shared" si="135"/>
        <v>0</v>
      </c>
      <c r="BC168">
        <f t="shared" si="136"/>
        <v>0</v>
      </c>
      <c r="BD168">
        <f t="shared" si="137"/>
        <v>39</v>
      </c>
      <c r="BE168">
        <f t="shared" si="138"/>
        <v>1755</v>
      </c>
      <c r="BF168">
        <f t="shared" si="139"/>
        <v>0</v>
      </c>
      <c r="BG168">
        <f t="shared" si="140"/>
        <v>0</v>
      </c>
      <c r="BH168">
        <f t="shared" si="141"/>
        <v>0</v>
      </c>
      <c r="BI168">
        <f t="shared" si="142"/>
        <v>0</v>
      </c>
      <c r="BJ168">
        <f t="shared" si="143"/>
        <v>0</v>
      </c>
      <c r="BK168">
        <f t="shared" si="144"/>
        <v>0</v>
      </c>
      <c r="BL168">
        <v>0</v>
      </c>
      <c r="BM168" t="str">
        <f t="shared" si="151"/>
        <v>Big Win</v>
      </c>
      <c r="BN168" s="32" t="str">
        <f t="shared" si="152"/>
        <v>Bonus Game A</v>
      </c>
      <c r="BO168">
        <f>(D168/Summary!$C$4-Summary!$C$8)^2*E168</f>
        <v>76088.5671</v>
      </c>
      <c r="BP168">
        <f t="shared" si="145"/>
        <v>0</v>
      </c>
      <c r="BQ168">
        <f t="shared" si="146"/>
        <v>0</v>
      </c>
      <c r="BR168">
        <f t="shared" si="147"/>
        <v>0</v>
      </c>
      <c r="BS168">
        <f t="shared" si="148"/>
        <v>0</v>
      </c>
    </row>
    <row r="169" spans="2:71">
      <c r="B169" s="16">
        <f>Tiers!B170</f>
        <v>167</v>
      </c>
      <c r="C169" s="17" t="str">
        <f>Tiers!Y170</f>
        <v>main-30|main-14|main-15|bonusA-2|||||| x 1</v>
      </c>
      <c r="D169" s="18">
        <f>Tiers!C170</f>
        <v>47</v>
      </c>
      <c r="E169" s="19">
        <f>Frequency!E171</f>
        <v>31</v>
      </c>
      <c r="F169" s="19">
        <f t="shared" si="102"/>
        <v>1457</v>
      </c>
      <c r="G169" s="19">
        <f>IF(Tiers!D170&gt;1,'Data Analysis'!E169,0)</f>
        <v>0</v>
      </c>
      <c r="H169" s="19">
        <f t="shared" si="103"/>
        <v>0</v>
      </c>
      <c r="I169" s="19">
        <f>IF(AND(D169/Summary!$C$4&gt;0, D169/Summary!$C$4&lt;5),E169,0) * D169</f>
        <v>0</v>
      </c>
      <c r="J169" s="19">
        <f>IF(AND(D169/Summary!$C$4&gt;= 5, D169/Summary!$C$4&lt;10),E169,0) * D169</f>
        <v>0</v>
      </c>
      <c r="K169" s="19">
        <f>IF(AND(D169/Summary!$C$4&gt;=10, D169/Summary!$C$4&lt;25),E169,0)*D169</f>
        <v>0</v>
      </c>
      <c r="L169" s="19">
        <f>IF(D169/Summary!$C$4&gt;=25,E169,0)*D169</f>
        <v>1457</v>
      </c>
      <c r="M169" s="27">
        <f>IF(AND(D169/Summary!$C$4&gt;0, D169/Summary!$C$4&lt;1),E169,0)</f>
        <v>0</v>
      </c>
      <c r="N169" s="27">
        <f t="shared" si="104"/>
        <v>0</v>
      </c>
      <c r="O169" s="27">
        <f>IF(D169/Summary!$C$4=1,1,0)*E169</f>
        <v>0</v>
      </c>
      <c r="P169" s="27">
        <f t="shared" si="105"/>
        <v>0</v>
      </c>
      <c r="Q169" s="27">
        <f>IF(AND(D169/Summary!$C$4&gt;1, D169/Summary!$C$4&lt;=2),1,0)*E169</f>
        <v>0</v>
      </c>
      <c r="R169" s="27">
        <f t="shared" si="106"/>
        <v>0</v>
      </c>
      <c r="S169" s="27">
        <f>IF(AND(D169/Summary!$C$4&gt;2,D169/Summary!$C$4&lt;=5),1,0)*E169</f>
        <v>0</v>
      </c>
      <c r="T169" s="27">
        <f t="shared" si="107"/>
        <v>0</v>
      </c>
      <c r="U169" s="27">
        <f>IF(AND(D169/Summary!$C$4&gt;5, D169/Summary!$C$4&lt;=10),1,0)*E169</f>
        <v>0</v>
      </c>
      <c r="V169" s="27">
        <f t="shared" si="108"/>
        <v>0</v>
      </c>
      <c r="W169" s="27">
        <f>IF(AND(D169/Summary!$C$4&gt;10, D169/Summary!$C$4&lt;=20),1,0)*E169</f>
        <v>0</v>
      </c>
      <c r="X169" s="27">
        <f t="shared" si="109"/>
        <v>0</v>
      </c>
      <c r="Y169" s="27">
        <f>IF(AND(D169/Summary!$C$4&gt;20, D169/Summary!$C$4&lt;=30),1,0)*E169</f>
        <v>0</v>
      </c>
      <c r="Z169" s="27">
        <f t="shared" si="110"/>
        <v>0</v>
      </c>
      <c r="AA169" s="27">
        <f>IF(AND(D169/Summary!$C$4&gt;30, D169/Summary!$C$4&lt;=50),1,0)*E169</f>
        <v>31</v>
      </c>
      <c r="AB169" s="27">
        <f t="shared" si="111"/>
        <v>1457</v>
      </c>
      <c r="AC169" s="27">
        <f>IF(AND(D169/Summary!$C$4&gt;50, D169/Summary!$C$4&lt;=100),1,0)*E169</f>
        <v>0</v>
      </c>
      <c r="AD169" s="27">
        <f t="shared" si="112"/>
        <v>0</v>
      </c>
      <c r="AE169" s="27">
        <f>IF(D169/Summary!$C$4&gt;100,1,0)*E169</f>
        <v>0</v>
      </c>
      <c r="AF169" s="27">
        <f t="shared" si="113"/>
        <v>0</v>
      </c>
      <c r="AG169" s="19">
        <f t="shared" si="114"/>
        <v>0</v>
      </c>
      <c r="AH169" s="19">
        <f t="shared" si="115"/>
        <v>31</v>
      </c>
      <c r="AI169" s="19">
        <f t="shared" si="116"/>
        <v>0</v>
      </c>
      <c r="AJ169" s="27">
        <f t="shared" si="117"/>
        <v>1</v>
      </c>
      <c r="AK169" s="27">
        <f t="shared" si="118"/>
        <v>31</v>
      </c>
      <c r="AL169" s="27">
        <f t="shared" si="119"/>
        <v>1457</v>
      </c>
      <c r="AM169">
        <f t="shared" si="120"/>
        <v>0</v>
      </c>
      <c r="AN169">
        <f t="shared" si="121"/>
        <v>0</v>
      </c>
      <c r="AO169">
        <f t="shared" si="122"/>
        <v>0</v>
      </c>
      <c r="AP169">
        <f t="shared" si="123"/>
        <v>0</v>
      </c>
      <c r="AQ169">
        <f t="shared" si="124"/>
        <v>0</v>
      </c>
      <c r="AR169">
        <f t="shared" si="125"/>
        <v>0</v>
      </c>
      <c r="AS169">
        <f t="shared" si="126"/>
        <v>0</v>
      </c>
      <c r="AT169">
        <f t="shared" si="127"/>
        <v>0</v>
      </c>
      <c r="AU169">
        <f t="shared" si="128"/>
        <v>0</v>
      </c>
      <c r="AV169">
        <f t="shared" si="129"/>
        <v>0</v>
      </c>
      <c r="AW169">
        <f t="shared" si="130"/>
        <v>0</v>
      </c>
      <c r="AX169">
        <f t="shared" si="131"/>
        <v>0</v>
      </c>
      <c r="AY169">
        <f t="shared" si="132"/>
        <v>0</v>
      </c>
      <c r="AZ169">
        <f t="shared" si="133"/>
        <v>0</v>
      </c>
      <c r="BA169">
        <f t="shared" si="134"/>
        <v>0</v>
      </c>
      <c r="BB169">
        <f t="shared" si="135"/>
        <v>0</v>
      </c>
      <c r="BC169">
        <f t="shared" si="136"/>
        <v>0</v>
      </c>
      <c r="BD169">
        <f t="shared" si="137"/>
        <v>31</v>
      </c>
      <c r="BE169">
        <f t="shared" si="138"/>
        <v>1457</v>
      </c>
      <c r="BF169">
        <f t="shared" si="139"/>
        <v>0</v>
      </c>
      <c r="BG169">
        <f t="shared" si="140"/>
        <v>0</v>
      </c>
      <c r="BH169">
        <f t="shared" si="141"/>
        <v>0</v>
      </c>
      <c r="BI169">
        <f t="shared" si="142"/>
        <v>0</v>
      </c>
      <c r="BJ169">
        <f t="shared" si="143"/>
        <v>0</v>
      </c>
      <c r="BK169">
        <f t="shared" si="144"/>
        <v>0</v>
      </c>
      <c r="BL169">
        <v>0</v>
      </c>
      <c r="BM169" t="str">
        <f t="shared" si="151"/>
        <v>Big Win</v>
      </c>
      <c r="BN169" s="32" t="str">
        <f t="shared" si="152"/>
        <v>Bonus Game A</v>
      </c>
      <c r="BO169">
        <f>(D169/Summary!$C$4-Summary!$C$8)^2*E169</f>
        <v>66081.7359</v>
      </c>
      <c r="BP169">
        <f t="shared" si="145"/>
        <v>0</v>
      </c>
      <c r="BQ169">
        <f t="shared" si="146"/>
        <v>0</v>
      </c>
      <c r="BR169">
        <f t="shared" si="147"/>
        <v>0</v>
      </c>
      <c r="BS169">
        <f t="shared" si="148"/>
        <v>0</v>
      </c>
    </row>
    <row r="170" spans="2:71">
      <c r="B170" s="16">
        <f>Tiers!B171</f>
        <v>168</v>
      </c>
      <c r="C170" s="17" t="str">
        <f>Tiers!Y171</f>
        <v>main-2|main-7|main-4|bonusA-2|||||| x 1</v>
      </c>
      <c r="D170" s="18">
        <f>Tiers!C171</f>
        <v>25</v>
      </c>
      <c r="E170" s="19">
        <f>Frequency!E172</f>
        <v>100</v>
      </c>
      <c r="F170" s="19">
        <f t="shared" si="102"/>
        <v>2500</v>
      </c>
      <c r="G170" s="19">
        <f>IF(Tiers!D171&gt;1,'Data Analysis'!E170,0)</f>
        <v>0</v>
      </c>
      <c r="H170" s="19">
        <f t="shared" si="103"/>
        <v>0</v>
      </c>
      <c r="I170" s="19">
        <f>IF(AND(D170/Summary!$C$4&gt;0, D170/Summary!$C$4&lt;5),E170,0) * D170</f>
        <v>0</v>
      </c>
      <c r="J170" s="19">
        <f>IF(AND(D170/Summary!$C$4&gt;= 5, D170/Summary!$C$4&lt;10),E170,0) * D170</f>
        <v>0</v>
      </c>
      <c r="K170" s="19">
        <f>IF(AND(D170/Summary!$C$4&gt;=10, D170/Summary!$C$4&lt;25),E170,0)*D170</f>
        <v>0</v>
      </c>
      <c r="L170" s="19">
        <f>IF(D170/Summary!$C$4&gt;=25,E170,0)*D170</f>
        <v>2500</v>
      </c>
      <c r="M170" s="27">
        <f>IF(AND(D170/Summary!$C$4&gt;0, D170/Summary!$C$4&lt;1),E170,0)</f>
        <v>0</v>
      </c>
      <c r="N170" s="27">
        <f t="shared" si="104"/>
        <v>0</v>
      </c>
      <c r="O170" s="27">
        <f>IF(D170/Summary!$C$4=1,1,0)*E170</f>
        <v>0</v>
      </c>
      <c r="P170" s="27">
        <f t="shared" si="105"/>
        <v>0</v>
      </c>
      <c r="Q170" s="27">
        <f>IF(AND(D170/Summary!$C$4&gt;1, D170/Summary!$C$4&lt;=2),1,0)*E170</f>
        <v>0</v>
      </c>
      <c r="R170" s="27">
        <f t="shared" si="106"/>
        <v>0</v>
      </c>
      <c r="S170" s="27">
        <f>IF(AND(D170/Summary!$C$4&gt;2,D170/Summary!$C$4&lt;=5),1,0)*E170</f>
        <v>0</v>
      </c>
      <c r="T170" s="27">
        <f t="shared" si="107"/>
        <v>0</v>
      </c>
      <c r="U170" s="27">
        <f>IF(AND(D170/Summary!$C$4&gt;5, D170/Summary!$C$4&lt;=10),1,0)*E170</f>
        <v>0</v>
      </c>
      <c r="V170" s="27">
        <f t="shared" si="108"/>
        <v>0</v>
      </c>
      <c r="W170" s="27">
        <f>IF(AND(D170/Summary!$C$4&gt;10, D170/Summary!$C$4&lt;=20),1,0)*E170</f>
        <v>0</v>
      </c>
      <c r="X170" s="27">
        <f t="shared" si="109"/>
        <v>0</v>
      </c>
      <c r="Y170" s="27">
        <f>IF(AND(D170/Summary!$C$4&gt;20, D170/Summary!$C$4&lt;=30),1,0)*E170</f>
        <v>100</v>
      </c>
      <c r="Z170" s="27">
        <f t="shared" si="110"/>
        <v>2500</v>
      </c>
      <c r="AA170" s="27">
        <f>IF(AND(D170/Summary!$C$4&gt;30, D170/Summary!$C$4&lt;=50),1,0)*E170</f>
        <v>0</v>
      </c>
      <c r="AB170" s="27">
        <f t="shared" si="111"/>
        <v>0</v>
      </c>
      <c r="AC170" s="27">
        <f>IF(AND(D170/Summary!$C$4&gt;50, D170/Summary!$C$4&lt;=100),1,0)*E170</f>
        <v>0</v>
      </c>
      <c r="AD170" s="27">
        <f t="shared" si="112"/>
        <v>0</v>
      </c>
      <c r="AE170" s="27">
        <f>IF(D170/Summary!$C$4&gt;100,1,0)*E170</f>
        <v>0</v>
      </c>
      <c r="AF170" s="27">
        <f t="shared" si="113"/>
        <v>0</v>
      </c>
      <c r="AG170" s="19">
        <f t="shared" si="114"/>
        <v>0</v>
      </c>
      <c r="AH170" s="19">
        <f t="shared" si="115"/>
        <v>100</v>
      </c>
      <c r="AI170" s="19">
        <f t="shared" si="116"/>
        <v>0</v>
      </c>
      <c r="AJ170" s="27">
        <f t="shared" si="117"/>
        <v>1</v>
      </c>
      <c r="AK170" s="27">
        <f t="shared" si="118"/>
        <v>100</v>
      </c>
      <c r="AL170" s="27">
        <f t="shared" si="119"/>
        <v>2500</v>
      </c>
      <c r="AM170">
        <f t="shared" si="120"/>
        <v>0</v>
      </c>
      <c r="AN170">
        <f t="shared" si="121"/>
        <v>0</v>
      </c>
      <c r="AO170">
        <f t="shared" si="122"/>
        <v>0</v>
      </c>
      <c r="AP170">
        <f t="shared" si="123"/>
        <v>0</v>
      </c>
      <c r="AQ170">
        <f t="shared" si="124"/>
        <v>0</v>
      </c>
      <c r="AR170">
        <f t="shared" si="125"/>
        <v>0</v>
      </c>
      <c r="AS170">
        <f t="shared" si="126"/>
        <v>0</v>
      </c>
      <c r="AT170">
        <f t="shared" si="127"/>
        <v>0</v>
      </c>
      <c r="AU170">
        <f t="shared" si="128"/>
        <v>0</v>
      </c>
      <c r="AV170">
        <f t="shared" si="129"/>
        <v>0</v>
      </c>
      <c r="AW170">
        <f t="shared" si="130"/>
        <v>0</v>
      </c>
      <c r="AX170">
        <f t="shared" si="131"/>
        <v>0</v>
      </c>
      <c r="AY170">
        <f t="shared" si="132"/>
        <v>0</v>
      </c>
      <c r="AZ170">
        <f t="shared" si="133"/>
        <v>0</v>
      </c>
      <c r="BA170">
        <f t="shared" si="134"/>
        <v>0</v>
      </c>
      <c r="BB170">
        <f t="shared" si="135"/>
        <v>0</v>
      </c>
      <c r="BC170">
        <f t="shared" si="136"/>
        <v>0</v>
      </c>
      <c r="BD170">
        <f t="shared" si="137"/>
        <v>100</v>
      </c>
      <c r="BE170">
        <f t="shared" si="138"/>
        <v>2500</v>
      </c>
      <c r="BF170">
        <f t="shared" si="139"/>
        <v>0</v>
      </c>
      <c r="BG170">
        <f t="shared" si="140"/>
        <v>0</v>
      </c>
      <c r="BH170">
        <f t="shared" si="141"/>
        <v>0</v>
      </c>
      <c r="BI170">
        <f t="shared" si="142"/>
        <v>0</v>
      </c>
      <c r="BJ170">
        <f t="shared" si="143"/>
        <v>0</v>
      </c>
      <c r="BK170">
        <f t="shared" si="144"/>
        <v>0</v>
      </c>
      <c r="BL170">
        <v>0</v>
      </c>
      <c r="BM170" t="str">
        <f t="shared" si="151"/>
        <v>Big Win</v>
      </c>
      <c r="BN170" s="32" t="str">
        <f t="shared" si="152"/>
        <v>Bonus Game A</v>
      </c>
      <c r="BO170">
        <f>(D170/Summary!$C$4-Summary!$C$8)^2*E170</f>
        <v>58418.890000000014</v>
      </c>
      <c r="BP170">
        <f t="shared" si="145"/>
        <v>0</v>
      </c>
      <c r="BQ170">
        <f t="shared" si="146"/>
        <v>0</v>
      </c>
      <c r="BR170">
        <f t="shared" si="147"/>
        <v>0</v>
      </c>
      <c r="BS170">
        <f t="shared" si="148"/>
        <v>0</v>
      </c>
    </row>
    <row r="171" spans="2:71">
      <c r="B171" s="16">
        <f>Tiers!B172</f>
        <v>169</v>
      </c>
      <c r="C171" s="17" t="str">
        <f>Tiers!Y172</f>
        <v>main-11|main-25|main-31|bonusA-3|||||| x 1</v>
      </c>
      <c r="D171" s="18">
        <f>Tiers!C172</f>
        <v>51.5</v>
      </c>
      <c r="E171" s="19">
        <f>Frequency!E173</f>
        <v>17</v>
      </c>
      <c r="F171" s="19">
        <f t="shared" si="102"/>
        <v>875.5</v>
      </c>
      <c r="G171" s="19">
        <f>IF(Tiers!D172&gt;1,'Data Analysis'!E171,0)</f>
        <v>0</v>
      </c>
      <c r="H171" s="19">
        <f t="shared" si="103"/>
        <v>0</v>
      </c>
      <c r="I171" s="19">
        <f>IF(AND(D171/Summary!$C$4&gt;0, D171/Summary!$C$4&lt;5),E171,0) * D171</f>
        <v>0</v>
      </c>
      <c r="J171" s="19">
        <f>IF(AND(D171/Summary!$C$4&gt;= 5, D171/Summary!$C$4&lt;10),E171,0) * D171</f>
        <v>0</v>
      </c>
      <c r="K171" s="19">
        <f>IF(AND(D171/Summary!$C$4&gt;=10, D171/Summary!$C$4&lt;25),E171,0)*D171</f>
        <v>0</v>
      </c>
      <c r="L171" s="19">
        <f>IF(D171/Summary!$C$4&gt;=25,E171,0)*D171</f>
        <v>875.5</v>
      </c>
      <c r="M171" s="27">
        <f>IF(AND(D171/Summary!$C$4&gt;0, D171/Summary!$C$4&lt;1),E171,0)</f>
        <v>0</v>
      </c>
      <c r="N171" s="27">
        <f t="shared" si="104"/>
        <v>0</v>
      </c>
      <c r="O171" s="27">
        <f>IF(D171/Summary!$C$4=1,1,0)*E171</f>
        <v>0</v>
      </c>
      <c r="P171" s="27">
        <f t="shared" si="105"/>
        <v>0</v>
      </c>
      <c r="Q171" s="27">
        <f>IF(AND(D171/Summary!$C$4&gt;1, D171/Summary!$C$4&lt;=2),1,0)*E171</f>
        <v>0</v>
      </c>
      <c r="R171" s="27">
        <f t="shared" si="106"/>
        <v>0</v>
      </c>
      <c r="S171" s="27">
        <f>IF(AND(D171/Summary!$C$4&gt;2,D171/Summary!$C$4&lt;=5),1,0)*E171</f>
        <v>0</v>
      </c>
      <c r="T171" s="27">
        <f t="shared" si="107"/>
        <v>0</v>
      </c>
      <c r="U171" s="27">
        <f>IF(AND(D171/Summary!$C$4&gt;5, D171/Summary!$C$4&lt;=10),1,0)*E171</f>
        <v>0</v>
      </c>
      <c r="V171" s="27">
        <f t="shared" si="108"/>
        <v>0</v>
      </c>
      <c r="W171" s="27">
        <f>IF(AND(D171/Summary!$C$4&gt;10, D171/Summary!$C$4&lt;=20),1,0)*E171</f>
        <v>0</v>
      </c>
      <c r="X171" s="27">
        <f t="shared" si="109"/>
        <v>0</v>
      </c>
      <c r="Y171" s="27">
        <f>IF(AND(D171/Summary!$C$4&gt;20, D171/Summary!$C$4&lt;=30),1,0)*E171</f>
        <v>0</v>
      </c>
      <c r="Z171" s="27">
        <f t="shared" si="110"/>
        <v>0</v>
      </c>
      <c r="AA171" s="27">
        <f>IF(AND(D171/Summary!$C$4&gt;30, D171/Summary!$C$4&lt;=50),1,0)*E171</f>
        <v>0</v>
      </c>
      <c r="AB171" s="27">
        <f t="shared" si="111"/>
        <v>0</v>
      </c>
      <c r="AC171" s="27">
        <f>IF(AND(D171/Summary!$C$4&gt;50, D171/Summary!$C$4&lt;=100),1,0)*E171</f>
        <v>17</v>
      </c>
      <c r="AD171" s="27">
        <f t="shared" si="112"/>
        <v>875.5</v>
      </c>
      <c r="AE171" s="27">
        <f>IF(D171/Summary!$C$4&gt;100,1,0)*E171</f>
        <v>0</v>
      </c>
      <c r="AF171" s="27">
        <f t="shared" si="113"/>
        <v>0</v>
      </c>
      <c r="AG171" s="19">
        <f t="shared" si="114"/>
        <v>0</v>
      </c>
      <c r="AH171" s="19">
        <f t="shared" si="115"/>
        <v>17</v>
      </c>
      <c r="AI171" s="19">
        <f t="shared" si="116"/>
        <v>0</v>
      </c>
      <c r="AJ171" s="27">
        <f t="shared" si="117"/>
        <v>1</v>
      </c>
      <c r="AK171" s="27">
        <f t="shared" si="118"/>
        <v>17</v>
      </c>
      <c r="AL171" s="27">
        <f t="shared" si="119"/>
        <v>875.5</v>
      </c>
      <c r="AM171">
        <f t="shared" si="120"/>
        <v>0</v>
      </c>
      <c r="AN171">
        <f t="shared" si="121"/>
        <v>0</v>
      </c>
      <c r="AO171">
        <f t="shared" si="122"/>
        <v>0</v>
      </c>
      <c r="AP171">
        <f t="shared" si="123"/>
        <v>0</v>
      </c>
      <c r="AQ171">
        <f t="shared" si="124"/>
        <v>0</v>
      </c>
      <c r="AR171">
        <f t="shared" si="125"/>
        <v>0</v>
      </c>
      <c r="AS171">
        <f t="shared" si="126"/>
        <v>0</v>
      </c>
      <c r="AT171">
        <f t="shared" si="127"/>
        <v>0</v>
      </c>
      <c r="AU171">
        <f t="shared" si="128"/>
        <v>0</v>
      </c>
      <c r="AV171">
        <f t="shared" si="129"/>
        <v>0</v>
      </c>
      <c r="AW171">
        <f t="shared" si="130"/>
        <v>0</v>
      </c>
      <c r="AX171">
        <f t="shared" si="131"/>
        <v>0</v>
      </c>
      <c r="AY171">
        <f t="shared" si="132"/>
        <v>0</v>
      </c>
      <c r="AZ171">
        <f t="shared" si="133"/>
        <v>0</v>
      </c>
      <c r="BA171">
        <f t="shared" si="134"/>
        <v>0</v>
      </c>
      <c r="BB171">
        <f t="shared" si="135"/>
        <v>0</v>
      </c>
      <c r="BC171">
        <f t="shared" si="136"/>
        <v>0</v>
      </c>
      <c r="BD171">
        <f t="shared" si="137"/>
        <v>17</v>
      </c>
      <c r="BE171">
        <f t="shared" si="138"/>
        <v>875.5</v>
      </c>
      <c r="BF171">
        <f t="shared" si="139"/>
        <v>0</v>
      </c>
      <c r="BG171">
        <f t="shared" si="140"/>
        <v>0</v>
      </c>
      <c r="BH171">
        <f t="shared" si="141"/>
        <v>0</v>
      </c>
      <c r="BI171">
        <f t="shared" si="142"/>
        <v>0</v>
      </c>
      <c r="BJ171">
        <f t="shared" si="143"/>
        <v>0</v>
      </c>
      <c r="BK171">
        <f t="shared" si="144"/>
        <v>0</v>
      </c>
      <c r="BL171">
        <v>0</v>
      </c>
      <c r="BM171" t="str">
        <f t="shared" si="151"/>
        <v>Huge Win</v>
      </c>
      <c r="BN171" s="32" t="str">
        <f t="shared" si="152"/>
        <v>Bonus Game A</v>
      </c>
      <c r="BO171">
        <f>(D171/Summary!$C$4-Summary!$C$8)^2*E171</f>
        <v>43646.631300000008</v>
      </c>
      <c r="BP171">
        <f t="shared" si="145"/>
        <v>0</v>
      </c>
      <c r="BQ171">
        <f t="shared" si="146"/>
        <v>0</v>
      </c>
      <c r="BR171">
        <f t="shared" si="147"/>
        <v>0</v>
      </c>
      <c r="BS171">
        <f t="shared" si="148"/>
        <v>0</v>
      </c>
    </row>
    <row r="172" spans="2:71">
      <c r="B172" s="16">
        <f>Tiers!B173</f>
        <v>170</v>
      </c>
      <c r="C172" s="17" t="str">
        <f>Tiers!Y173</f>
        <v>main-5|main-25|main-12|bonusA-5|||||| x 1</v>
      </c>
      <c r="D172" s="18">
        <f>Tiers!C173</f>
        <v>74</v>
      </c>
      <c r="E172" s="19">
        <f>Frequency!E174</f>
        <v>5</v>
      </c>
      <c r="F172" s="19">
        <f t="shared" si="102"/>
        <v>370</v>
      </c>
      <c r="G172" s="19">
        <f>IF(Tiers!D173&gt;1,'Data Analysis'!E172,0)</f>
        <v>0</v>
      </c>
      <c r="H172" s="19">
        <f t="shared" si="103"/>
        <v>0</v>
      </c>
      <c r="I172" s="19">
        <f>IF(AND(D172/Summary!$C$4&gt;0, D172/Summary!$C$4&lt;5),E172,0) * D172</f>
        <v>0</v>
      </c>
      <c r="J172" s="19">
        <f>IF(AND(D172/Summary!$C$4&gt;= 5, D172/Summary!$C$4&lt;10),E172,0) * D172</f>
        <v>0</v>
      </c>
      <c r="K172" s="19">
        <f>IF(AND(D172/Summary!$C$4&gt;=10, D172/Summary!$C$4&lt;25),E172,0)*D172</f>
        <v>0</v>
      </c>
      <c r="L172" s="19">
        <f>IF(D172/Summary!$C$4&gt;=25,E172,0)*D172</f>
        <v>370</v>
      </c>
      <c r="M172" s="27">
        <f>IF(AND(D172/Summary!$C$4&gt;0, D172/Summary!$C$4&lt;1),E172,0)</f>
        <v>0</v>
      </c>
      <c r="N172" s="27">
        <f t="shared" si="104"/>
        <v>0</v>
      </c>
      <c r="O172" s="27">
        <f>IF(D172/Summary!$C$4=1,1,0)*E172</f>
        <v>0</v>
      </c>
      <c r="P172" s="27">
        <f t="shared" si="105"/>
        <v>0</v>
      </c>
      <c r="Q172" s="27">
        <f>IF(AND(D172/Summary!$C$4&gt;1, D172/Summary!$C$4&lt;=2),1,0)*E172</f>
        <v>0</v>
      </c>
      <c r="R172" s="27">
        <f t="shared" si="106"/>
        <v>0</v>
      </c>
      <c r="S172" s="27">
        <f>IF(AND(D172/Summary!$C$4&gt;2,D172/Summary!$C$4&lt;=5),1,0)*E172</f>
        <v>0</v>
      </c>
      <c r="T172" s="27">
        <f t="shared" si="107"/>
        <v>0</v>
      </c>
      <c r="U172" s="27">
        <f>IF(AND(D172/Summary!$C$4&gt;5, D172/Summary!$C$4&lt;=10),1,0)*E172</f>
        <v>0</v>
      </c>
      <c r="V172" s="27">
        <f t="shared" si="108"/>
        <v>0</v>
      </c>
      <c r="W172" s="27">
        <f>IF(AND(D172/Summary!$C$4&gt;10, D172/Summary!$C$4&lt;=20),1,0)*E172</f>
        <v>0</v>
      </c>
      <c r="X172" s="27">
        <f t="shared" si="109"/>
        <v>0</v>
      </c>
      <c r="Y172" s="27">
        <f>IF(AND(D172/Summary!$C$4&gt;20, D172/Summary!$C$4&lt;=30),1,0)*E172</f>
        <v>0</v>
      </c>
      <c r="Z172" s="27">
        <f t="shared" si="110"/>
        <v>0</v>
      </c>
      <c r="AA172" s="27">
        <f>IF(AND(D172/Summary!$C$4&gt;30, D172/Summary!$C$4&lt;=50),1,0)*E172</f>
        <v>0</v>
      </c>
      <c r="AB172" s="27">
        <f t="shared" si="111"/>
        <v>0</v>
      </c>
      <c r="AC172" s="27">
        <f>IF(AND(D172/Summary!$C$4&gt;50, D172/Summary!$C$4&lt;=100),1,0)*E172</f>
        <v>5</v>
      </c>
      <c r="AD172" s="27">
        <f t="shared" si="112"/>
        <v>370</v>
      </c>
      <c r="AE172" s="27">
        <f>IF(D172/Summary!$C$4&gt;100,1,0)*E172</f>
        <v>0</v>
      </c>
      <c r="AF172" s="27">
        <f t="shared" si="113"/>
        <v>0</v>
      </c>
      <c r="AG172" s="19">
        <f t="shared" si="114"/>
        <v>0</v>
      </c>
      <c r="AH172" s="19">
        <f t="shared" si="115"/>
        <v>5</v>
      </c>
      <c r="AI172" s="19">
        <f t="shared" si="116"/>
        <v>0</v>
      </c>
      <c r="AJ172" s="27">
        <f t="shared" si="117"/>
        <v>1</v>
      </c>
      <c r="AK172" s="27">
        <f t="shared" si="118"/>
        <v>5</v>
      </c>
      <c r="AL172" s="27">
        <f t="shared" si="119"/>
        <v>370</v>
      </c>
      <c r="AM172">
        <f t="shared" si="120"/>
        <v>0</v>
      </c>
      <c r="AN172">
        <f t="shared" si="121"/>
        <v>0</v>
      </c>
      <c r="AO172">
        <f t="shared" si="122"/>
        <v>0</v>
      </c>
      <c r="AP172">
        <f t="shared" si="123"/>
        <v>0</v>
      </c>
      <c r="AQ172">
        <f t="shared" si="124"/>
        <v>0</v>
      </c>
      <c r="AR172">
        <f t="shared" si="125"/>
        <v>0</v>
      </c>
      <c r="AS172">
        <f t="shared" si="126"/>
        <v>0</v>
      </c>
      <c r="AT172">
        <f t="shared" si="127"/>
        <v>0</v>
      </c>
      <c r="AU172">
        <f t="shared" si="128"/>
        <v>0</v>
      </c>
      <c r="AV172">
        <f t="shared" si="129"/>
        <v>0</v>
      </c>
      <c r="AW172">
        <f t="shared" si="130"/>
        <v>0</v>
      </c>
      <c r="AX172">
        <f t="shared" si="131"/>
        <v>0</v>
      </c>
      <c r="AY172">
        <f t="shared" si="132"/>
        <v>0</v>
      </c>
      <c r="AZ172">
        <f t="shared" si="133"/>
        <v>0</v>
      </c>
      <c r="BA172">
        <f t="shared" si="134"/>
        <v>0</v>
      </c>
      <c r="BB172">
        <f t="shared" si="135"/>
        <v>0</v>
      </c>
      <c r="BC172">
        <f t="shared" si="136"/>
        <v>0</v>
      </c>
      <c r="BD172">
        <f t="shared" si="137"/>
        <v>5</v>
      </c>
      <c r="BE172">
        <f t="shared" si="138"/>
        <v>370</v>
      </c>
      <c r="BF172">
        <f t="shared" si="139"/>
        <v>0</v>
      </c>
      <c r="BG172">
        <f t="shared" si="140"/>
        <v>0</v>
      </c>
      <c r="BH172">
        <f t="shared" si="141"/>
        <v>0</v>
      </c>
      <c r="BI172">
        <f t="shared" si="142"/>
        <v>0</v>
      </c>
      <c r="BJ172">
        <f t="shared" si="143"/>
        <v>0</v>
      </c>
      <c r="BK172">
        <f t="shared" si="144"/>
        <v>0</v>
      </c>
      <c r="BL172">
        <v>0</v>
      </c>
      <c r="BM172" t="str">
        <f t="shared" si="151"/>
        <v>Huge Win</v>
      </c>
      <c r="BN172" s="32" t="str">
        <f t="shared" si="152"/>
        <v>Bonus Game A</v>
      </c>
      <c r="BO172">
        <f>(D172/Summary!$C$4-Summary!$C$8)^2*E172</f>
        <v>26769.244500000001</v>
      </c>
      <c r="BP172">
        <f t="shared" si="145"/>
        <v>0</v>
      </c>
      <c r="BQ172">
        <f t="shared" si="146"/>
        <v>0</v>
      </c>
      <c r="BR172">
        <f t="shared" si="147"/>
        <v>0</v>
      </c>
      <c r="BS172">
        <f t="shared" si="148"/>
        <v>0</v>
      </c>
    </row>
    <row r="173" spans="2:71">
      <c r="B173" s="16">
        <f>Tiers!B174</f>
        <v>171</v>
      </c>
      <c r="C173" s="17" t="str">
        <f>Tiers!Y174</f>
        <v>main-3|main-33|main-16|bonusA-3|||||| x 1</v>
      </c>
      <c r="D173" s="18">
        <f>Tiers!C174</f>
        <v>61</v>
      </c>
      <c r="E173" s="19">
        <f>Frequency!E175</f>
        <v>5</v>
      </c>
      <c r="F173" s="19">
        <f t="shared" si="102"/>
        <v>305</v>
      </c>
      <c r="G173" s="19">
        <f>IF(Tiers!D174&gt;1,'Data Analysis'!E173,0)</f>
        <v>0</v>
      </c>
      <c r="H173" s="19">
        <f t="shared" si="103"/>
        <v>0</v>
      </c>
      <c r="I173" s="19">
        <f>IF(AND(D173/Summary!$C$4&gt;0, D173/Summary!$C$4&lt;5),E173,0) * D173</f>
        <v>0</v>
      </c>
      <c r="J173" s="19">
        <f>IF(AND(D173/Summary!$C$4&gt;= 5, D173/Summary!$C$4&lt;10),E173,0) * D173</f>
        <v>0</v>
      </c>
      <c r="K173" s="19">
        <f>IF(AND(D173/Summary!$C$4&gt;=10, D173/Summary!$C$4&lt;25),E173,0)*D173</f>
        <v>0</v>
      </c>
      <c r="L173" s="19">
        <f>IF(D173/Summary!$C$4&gt;=25,E173,0)*D173</f>
        <v>305</v>
      </c>
      <c r="M173" s="27">
        <f>IF(AND(D173/Summary!$C$4&gt;0, D173/Summary!$C$4&lt;1),E173,0)</f>
        <v>0</v>
      </c>
      <c r="N173" s="27">
        <f t="shared" si="104"/>
        <v>0</v>
      </c>
      <c r="O173" s="27">
        <f>IF(D173/Summary!$C$4=1,1,0)*E173</f>
        <v>0</v>
      </c>
      <c r="P173" s="27">
        <f t="shared" si="105"/>
        <v>0</v>
      </c>
      <c r="Q173" s="27">
        <f>IF(AND(D173/Summary!$C$4&gt;1, D173/Summary!$C$4&lt;=2),1,0)*E173</f>
        <v>0</v>
      </c>
      <c r="R173" s="27">
        <f t="shared" si="106"/>
        <v>0</v>
      </c>
      <c r="S173" s="27">
        <f>IF(AND(D173/Summary!$C$4&gt;2,D173/Summary!$C$4&lt;=5),1,0)*E173</f>
        <v>0</v>
      </c>
      <c r="T173" s="27">
        <f t="shared" si="107"/>
        <v>0</v>
      </c>
      <c r="U173" s="27">
        <f>IF(AND(D173/Summary!$C$4&gt;5, D173/Summary!$C$4&lt;=10),1,0)*E173</f>
        <v>0</v>
      </c>
      <c r="V173" s="27">
        <f t="shared" si="108"/>
        <v>0</v>
      </c>
      <c r="W173" s="27">
        <f>IF(AND(D173/Summary!$C$4&gt;10, D173/Summary!$C$4&lt;=20),1,0)*E173</f>
        <v>0</v>
      </c>
      <c r="X173" s="27">
        <f t="shared" si="109"/>
        <v>0</v>
      </c>
      <c r="Y173" s="27">
        <f>IF(AND(D173/Summary!$C$4&gt;20, D173/Summary!$C$4&lt;=30),1,0)*E173</f>
        <v>0</v>
      </c>
      <c r="Z173" s="27">
        <f t="shared" si="110"/>
        <v>0</v>
      </c>
      <c r="AA173" s="27">
        <f>IF(AND(D173/Summary!$C$4&gt;30, D173/Summary!$C$4&lt;=50),1,0)*E173</f>
        <v>0</v>
      </c>
      <c r="AB173" s="27">
        <f t="shared" si="111"/>
        <v>0</v>
      </c>
      <c r="AC173" s="27">
        <f>IF(AND(D173/Summary!$C$4&gt;50, D173/Summary!$C$4&lt;=100),1,0)*E173</f>
        <v>5</v>
      </c>
      <c r="AD173" s="27">
        <f t="shared" si="112"/>
        <v>305</v>
      </c>
      <c r="AE173" s="27">
        <f>IF(D173/Summary!$C$4&gt;100,1,0)*E173</f>
        <v>0</v>
      </c>
      <c r="AF173" s="27">
        <f t="shared" si="113"/>
        <v>0</v>
      </c>
      <c r="AG173" s="19">
        <f t="shared" si="114"/>
        <v>0</v>
      </c>
      <c r="AH173" s="19">
        <f t="shared" si="115"/>
        <v>5</v>
      </c>
      <c r="AI173" s="19">
        <f t="shared" si="116"/>
        <v>0</v>
      </c>
      <c r="AJ173" s="27">
        <f t="shared" si="117"/>
        <v>1</v>
      </c>
      <c r="AK173" s="27">
        <f t="shared" si="118"/>
        <v>5</v>
      </c>
      <c r="AL173" s="27">
        <f t="shared" si="119"/>
        <v>305</v>
      </c>
      <c r="AM173">
        <f t="shared" si="120"/>
        <v>0</v>
      </c>
      <c r="AN173">
        <f t="shared" si="121"/>
        <v>0</v>
      </c>
      <c r="AO173">
        <f t="shared" si="122"/>
        <v>0</v>
      </c>
      <c r="AP173">
        <f t="shared" si="123"/>
        <v>0</v>
      </c>
      <c r="AQ173">
        <f t="shared" si="124"/>
        <v>0</v>
      </c>
      <c r="AR173">
        <f t="shared" si="125"/>
        <v>0</v>
      </c>
      <c r="AS173">
        <f t="shared" si="126"/>
        <v>0</v>
      </c>
      <c r="AT173">
        <f t="shared" si="127"/>
        <v>0</v>
      </c>
      <c r="AU173">
        <f t="shared" si="128"/>
        <v>0</v>
      </c>
      <c r="AV173">
        <f t="shared" si="129"/>
        <v>0</v>
      </c>
      <c r="AW173">
        <f t="shared" si="130"/>
        <v>0</v>
      </c>
      <c r="AX173">
        <f t="shared" si="131"/>
        <v>0</v>
      </c>
      <c r="AY173">
        <f t="shared" si="132"/>
        <v>0</v>
      </c>
      <c r="AZ173">
        <f t="shared" si="133"/>
        <v>0</v>
      </c>
      <c r="BA173">
        <f t="shared" si="134"/>
        <v>0</v>
      </c>
      <c r="BB173">
        <f t="shared" si="135"/>
        <v>0</v>
      </c>
      <c r="BC173">
        <f t="shared" si="136"/>
        <v>0</v>
      </c>
      <c r="BD173">
        <f t="shared" si="137"/>
        <v>5</v>
      </c>
      <c r="BE173">
        <f t="shared" si="138"/>
        <v>305</v>
      </c>
      <c r="BF173">
        <f t="shared" si="139"/>
        <v>0</v>
      </c>
      <c r="BG173">
        <f t="shared" si="140"/>
        <v>0</v>
      </c>
      <c r="BH173">
        <f t="shared" si="141"/>
        <v>0</v>
      </c>
      <c r="BI173">
        <f t="shared" si="142"/>
        <v>0</v>
      </c>
      <c r="BJ173">
        <f t="shared" si="143"/>
        <v>0</v>
      </c>
      <c r="BK173">
        <f t="shared" si="144"/>
        <v>0</v>
      </c>
      <c r="BL173">
        <v>0</v>
      </c>
      <c r="BM173" t="str">
        <f t="shared" si="151"/>
        <v>Huge Win</v>
      </c>
      <c r="BN173" s="32" t="str">
        <f t="shared" si="152"/>
        <v>Bonus Game A</v>
      </c>
      <c r="BO173">
        <f>(D173/Summary!$C$4-Summary!$C$8)^2*E173</f>
        <v>18102.144500000002</v>
      </c>
      <c r="BP173">
        <f t="shared" si="145"/>
        <v>0</v>
      </c>
      <c r="BQ173">
        <f t="shared" si="146"/>
        <v>0</v>
      </c>
      <c r="BR173">
        <f t="shared" si="147"/>
        <v>0</v>
      </c>
      <c r="BS173">
        <f t="shared" si="148"/>
        <v>0</v>
      </c>
    </row>
    <row r="174" spans="2:71">
      <c r="B174" s="16">
        <f>Tiers!B175</f>
        <v>172</v>
      </c>
      <c r="C174" s="17" t="str">
        <f>Tiers!Y175</f>
        <v>main-30|main-6|main-7|bonusA-0|||||| x 1</v>
      </c>
      <c r="D174" s="18">
        <f>Tiers!C175</f>
        <v>17.5</v>
      </c>
      <c r="E174" s="19">
        <f>Frequency!E176</f>
        <v>138</v>
      </c>
      <c r="F174" s="19">
        <f t="shared" si="102"/>
        <v>2415</v>
      </c>
      <c r="G174" s="19">
        <f>IF(Tiers!D175&gt;1,'Data Analysis'!E174,0)</f>
        <v>0</v>
      </c>
      <c r="H174" s="19">
        <f t="shared" si="103"/>
        <v>0</v>
      </c>
      <c r="I174" s="19">
        <f>IF(AND(D174/Summary!$C$4&gt;0, D174/Summary!$C$4&lt;5),E174,0) * D174</f>
        <v>0</v>
      </c>
      <c r="J174" s="19">
        <f>IF(AND(D174/Summary!$C$4&gt;= 5, D174/Summary!$C$4&lt;10),E174,0) * D174</f>
        <v>0</v>
      </c>
      <c r="K174" s="19">
        <f>IF(AND(D174/Summary!$C$4&gt;=10, D174/Summary!$C$4&lt;25),E174,0)*D174</f>
        <v>2415</v>
      </c>
      <c r="L174" s="19">
        <f>IF(D174/Summary!$C$4&gt;=25,E174,0)*D174</f>
        <v>0</v>
      </c>
      <c r="M174" s="27">
        <f>IF(AND(D174/Summary!$C$4&gt;0, D174/Summary!$C$4&lt;1),E174,0)</f>
        <v>0</v>
      </c>
      <c r="N174" s="27">
        <f t="shared" si="104"/>
        <v>0</v>
      </c>
      <c r="O174" s="27">
        <f>IF(D174/Summary!$C$4=1,1,0)*E174</f>
        <v>0</v>
      </c>
      <c r="P174" s="27">
        <f t="shared" si="105"/>
        <v>0</v>
      </c>
      <c r="Q174" s="27">
        <f>IF(AND(D174/Summary!$C$4&gt;1, D174/Summary!$C$4&lt;=2),1,0)*E174</f>
        <v>0</v>
      </c>
      <c r="R174" s="27">
        <f t="shared" si="106"/>
        <v>0</v>
      </c>
      <c r="S174" s="27">
        <f>IF(AND(D174/Summary!$C$4&gt;2,D174/Summary!$C$4&lt;=5),1,0)*E174</f>
        <v>0</v>
      </c>
      <c r="T174" s="27">
        <f t="shared" si="107"/>
        <v>0</v>
      </c>
      <c r="U174" s="27">
        <f>IF(AND(D174/Summary!$C$4&gt;5, D174/Summary!$C$4&lt;=10),1,0)*E174</f>
        <v>0</v>
      </c>
      <c r="V174" s="27">
        <f t="shared" si="108"/>
        <v>0</v>
      </c>
      <c r="W174" s="27">
        <f>IF(AND(D174/Summary!$C$4&gt;10, D174/Summary!$C$4&lt;=20),1,0)*E174</f>
        <v>138</v>
      </c>
      <c r="X174" s="27">
        <f t="shared" si="109"/>
        <v>2415</v>
      </c>
      <c r="Y174" s="27">
        <f>IF(AND(D174/Summary!$C$4&gt;20, D174/Summary!$C$4&lt;=30),1,0)*E174</f>
        <v>0</v>
      </c>
      <c r="Z174" s="27">
        <f t="shared" si="110"/>
        <v>0</v>
      </c>
      <c r="AA174" s="27">
        <f>IF(AND(D174/Summary!$C$4&gt;30, D174/Summary!$C$4&lt;=50),1,0)*E174</f>
        <v>0</v>
      </c>
      <c r="AB174" s="27">
        <f t="shared" si="111"/>
        <v>0</v>
      </c>
      <c r="AC174" s="27">
        <f>IF(AND(D174/Summary!$C$4&gt;50, D174/Summary!$C$4&lt;=100),1,0)*E174</f>
        <v>0</v>
      </c>
      <c r="AD174" s="27">
        <f t="shared" si="112"/>
        <v>0</v>
      </c>
      <c r="AE174" s="27">
        <f>IF(D174/Summary!$C$4&gt;100,1,0)*E174</f>
        <v>0</v>
      </c>
      <c r="AF174" s="27">
        <f t="shared" si="113"/>
        <v>0</v>
      </c>
      <c r="AG174" s="19">
        <f t="shared" si="114"/>
        <v>0</v>
      </c>
      <c r="AH174" s="19">
        <f t="shared" si="115"/>
        <v>138</v>
      </c>
      <c r="AI174" s="19">
        <f t="shared" si="116"/>
        <v>0</v>
      </c>
      <c r="AJ174" s="27">
        <f t="shared" si="117"/>
        <v>1</v>
      </c>
      <c r="AK174" s="27">
        <f t="shared" si="118"/>
        <v>138</v>
      </c>
      <c r="AL174" s="27">
        <f t="shared" si="119"/>
        <v>2415</v>
      </c>
      <c r="AM174">
        <f t="shared" si="120"/>
        <v>0</v>
      </c>
      <c r="AN174">
        <f t="shared" si="121"/>
        <v>0</v>
      </c>
      <c r="AO174">
        <f t="shared" si="122"/>
        <v>0</v>
      </c>
      <c r="AP174">
        <f t="shared" si="123"/>
        <v>0</v>
      </c>
      <c r="AQ174">
        <f t="shared" si="124"/>
        <v>0</v>
      </c>
      <c r="AR174">
        <f t="shared" si="125"/>
        <v>0</v>
      </c>
      <c r="AS174">
        <f t="shared" si="126"/>
        <v>0</v>
      </c>
      <c r="AT174">
        <f t="shared" si="127"/>
        <v>0</v>
      </c>
      <c r="AU174">
        <f t="shared" si="128"/>
        <v>0</v>
      </c>
      <c r="AV174">
        <f t="shared" si="129"/>
        <v>0</v>
      </c>
      <c r="AW174">
        <f t="shared" si="130"/>
        <v>0</v>
      </c>
      <c r="AX174">
        <f t="shared" si="131"/>
        <v>0</v>
      </c>
      <c r="AY174">
        <f t="shared" si="132"/>
        <v>0</v>
      </c>
      <c r="AZ174">
        <f t="shared" si="133"/>
        <v>0</v>
      </c>
      <c r="BA174">
        <f t="shared" si="134"/>
        <v>0</v>
      </c>
      <c r="BB174">
        <f t="shared" si="135"/>
        <v>0</v>
      </c>
      <c r="BC174">
        <f t="shared" si="136"/>
        <v>0</v>
      </c>
      <c r="BD174">
        <f t="shared" si="137"/>
        <v>138</v>
      </c>
      <c r="BE174">
        <f t="shared" si="138"/>
        <v>2415</v>
      </c>
      <c r="BF174">
        <f t="shared" si="139"/>
        <v>0</v>
      </c>
      <c r="BG174">
        <f t="shared" si="140"/>
        <v>0</v>
      </c>
      <c r="BH174">
        <f t="shared" si="141"/>
        <v>0</v>
      </c>
      <c r="BI174">
        <f t="shared" si="142"/>
        <v>0</v>
      </c>
      <c r="BJ174">
        <f t="shared" si="143"/>
        <v>0</v>
      </c>
      <c r="BK174">
        <f t="shared" si="144"/>
        <v>0</v>
      </c>
      <c r="BL174">
        <v>0</v>
      </c>
      <c r="BM174" t="str">
        <f t="shared" si="151"/>
        <v>Big Win</v>
      </c>
      <c r="BN174" s="32" t="str">
        <f t="shared" si="152"/>
        <v>Bonus Game A</v>
      </c>
      <c r="BO174">
        <f>(D174/Summary!$C$4-Summary!$C$8)^2*E174</f>
        <v>38348.668200000007</v>
      </c>
      <c r="BP174">
        <f t="shared" si="145"/>
        <v>0</v>
      </c>
      <c r="BQ174">
        <f t="shared" si="146"/>
        <v>0</v>
      </c>
      <c r="BR174">
        <f t="shared" si="147"/>
        <v>0</v>
      </c>
      <c r="BS174">
        <f t="shared" si="148"/>
        <v>0</v>
      </c>
    </row>
    <row r="175" spans="2:71">
      <c r="B175" s="16">
        <f>Tiers!B176</f>
        <v>173</v>
      </c>
      <c r="C175" s="17" t="str">
        <f>Tiers!Y176</f>
        <v>main-21|main-25|main-7|bonusA-3|||||| x 1</v>
      </c>
      <c r="D175" s="18">
        <f>Tiers!C176</f>
        <v>50</v>
      </c>
      <c r="E175" s="19">
        <f>Frequency!E177</f>
        <v>21</v>
      </c>
      <c r="F175" s="19">
        <f t="shared" si="102"/>
        <v>1050</v>
      </c>
      <c r="G175" s="19">
        <f>IF(Tiers!D176&gt;1,'Data Analysis'!E175,0)</f>
        <v>0</v>
      </c>
      <c r="H175" s="19">
        <f t="shared" si="103"/>
        <v>0</v>
      </c>
      <c r="I175" s="19">
        <f>IF(AND(D175/Summary!$C$4&gt;0, D175/Summary!$C$4&lt;5),E175,0) * D175</f>
        <v>0</v>
      </c>
      <c r="J175" s="19">
        <f>IF(AND(D175/Summary!$C$4&gt;= 5, D175/Summary!$C$4&lt;10),E175,0) * D175</f>
        <v>0</v>
      </c>
      <c r="K175" s="19">
        <f>IF(AND(D175/Summary!$C$4&gt;=10, D175/Summary!$C$4&lt;25),E175,0)*D175</f>
        <v>0</v>
      </c>
      <c r="L175" s="19">
        <f>IF(D175/Summary!$C$4&gt;=25,E175,0)*D175</f>
        <v>1050</v>
      </c>
      <c r="M175" s="27">
        <f>IF(AND(D175/Summary!$C$4&gt;0, D175/Summary!$C$4&lt;1),E175,0)</f>
        <v>0</v>
      </c>
      <c r="N175" s="27">
        <f t="shared" si="104"/>
        <v>0</v>
      </c>
      <c r="O175" s="27">
        <f>IF(D175/Summary!$C$4=1,1,0)*E175</f>
        <v>0</v>
      </c>
      <c r="P175" s="27">
        <f t="shared" si="105"/>
        <v>0</v>
      </c>
      <c r="Q175" s="27">
        <f>IF(AND(D175/Summary!$C$4&gt;1, D175/Summary!$C$4&lt;=2),1,0)*E175</f>
        <v>0</v>
      </c>
      <c r="R175" s="27">
        <f t="shared" si="106"/>
        <v>0</v>
      </c>
      <c r="S175" s="27">
        <f>IF(AND(D175/Summary!$C$4&gt;2,D175/Summary!$C$4&lt;=5),1,0)*E175</f>
        <v>0</v>
      </c>
      <c r="T175" s="27">
        <f t="shared" si="107"/>
        <v>0</v>
      </c>
      <c r="U175" s="27">
        <f>IF(AND(D175/Summary!$C$4&gt;5, D175/Summary!$C$4&lt;=10),1,0)*E175</f>
        <v>0</v>
      </c>
      <c r="V175" s="27">
        <f t="shared" si="108"/>
        <v>0</v>
      </c>
      <c r="W175" s="27">
        <f>IF(AND(D175/Summary!$C$4&gt;10, D175/Summary!$C$4&lt;=20),1,0)*E175</f>
        <v>0</v>
      </c>
      <c r="X175" s="27">
        <f t="shared" si="109"/>
        <v>0</v>
      </c>
      <c r="Y175" s="27">
        <f>IF(AND(D175/Summary!$C$4&gt;20, D175/Summary!$C$4&lt;=30),1,0)*E175</f>
        <v>0</v>
      </c>
      <c r="Z175" s="27">
        <f t="shared" si="110"/>
        <v>0</v>
      </c>
      <c r="AA175" s="27">
        <f>IF(AND(D175/Summary!$C$4&gt;30, D175/Summary!$C$4&lt;=50),1,0)*E175</f>
        <v>21</v>
      </c>
      <c r="AB175" s="27">
        <f t="shared" si="111"/>
        <v>1050</v>
      </c>
      <c r="AC175" s="27">
        <f>IF(AND(D175/Summary!$C$4&gt;50, D175/Summary!$C$4&lt;=100),1,0)*E175</f>
        <v>0</v>
      </c>
      <c r="AD175" s="27">
        <f t="shared" si="112"/>
        <v>0</v>
      </c>
      <c r="AE175" s="27">
        <f>IF(D175/Summary!$C$4&gt;100,1,0)*E175</f>
        <v>0</v>
      </c>
      <c r="AF175" s="27">
        <f t="shared" si="113"/>
        <v>0</v>
      </c>
      <c r="AG175" s="19">
        <f t="shared" si="114"/>
        <v>0</v>
      </c>
      <c r="AH175" s="19">
        <f t="shared" si="115"/>
        <v>21</v>
      </c>
      <c r="AI175" s="19">
        <f t="shared" si="116"/>
        <v>0</v>
      </c>
      <c r="AJ175" s="27">
        <f t="shared" si="117"/>
        <v>1</v>
      </c>
      <c r="AK175" s="27">
        <f t="shared" si="118"/>
        <v>21</v>
      </c>
      <c r="AL175" s="27">
        <f t="shared" si="119"/>
        <v>1050</v>
      </c>
      <c r="AM175">
        <f t="shared" si="120"/>
        <v>0</v>
      </c>
      <c r="AN175">
        <f t="shared" si="121"/>
        <v>0</v>
      </c>
      <c r="AO175">
        <f t="shared" si="122"/>
        <v>0</v>
      </c>
      <c r="AP175">
        <f t="shared" si="123"/>
        <v>0</v>
      </c>
      <c r="AQ175">
        <f t="shared" si="124"/>
        <v>0</v>
      </c>
      <c r="AR175">
        <f t="shared" si="125"/>
        <v>0</v>
      </c>
      <c r="AS175">
        <f t="shared" si="126"/>
        <v>0</v>
      </c>
      <c r="AT175">
        <f t="shared" si="127"/>
        <v>0</v>
      </c>
      <c r="AU175">
        <f t="shared" si="128"/>
        <v>0</v>
      </c>
      <c r="AV175">
        <f t="shared" si="129"/>
        <v>0</v>
      </c>
      <c r="AW175">
        <f t="shared" si="130"/>
        <v>0</v>
      </c>
      <c r="AX175">
        <f t="shared" si="131"/>
        <v>0</v>
      </c>
      <c r="AY175">
        <f t="shared" si="132"/>
        <v>0</v>
      </c>
      <c r="AZ175">
        <f t="shared" si="133"/>
        <v>0</v>
      </c>
      <c r="BA175">
        <f t="shared" si="134"/>
        <v>0</v>
      </c>
      <c r="BB175">
        <f t="shared" si="135"/>
        <v>0</v>
      </c>
      <c r="BC175">
        <f t="shared" si="136"/>
        <v>0</v>
      </c>
      <c r="BD175">
        <f t="shared" si="137"/>
        <v>21</v>
      </c>
      <c r="BE175">
        <f t="shared" si="138"/>
        <v>1050</v>
      </c>
      <c r="BF175">
        <f t="shared" si="139"/>
        <v>0</v>
      </c>
      <c r="BG175">
        <f t="shared" si="140"/>
        <v>0</v>
      </c>
      <c r="BH175">
        <f t="shared" si="141"/>
        <v>0</v>
      </c>
      <c r="BI175">
        <f t="shared" si="142"/>
        <v>0</v>
      </c>
      <c r="BJ175">
        <f t="shared" si="143"/>
        <v>0</v>
      </c>
      <c r="BK175">
        <f t="shared" si="144"/>
        <v>0</v>
      </c>
      <c r="BL175">
        <v>0</v>
      </c>
      <c r="BM175" t="str">
        <f t="shared" si="151"/>
        <v>Huge Win</v>
      </c>
      <c r="BN175" s="32" t="str">
        <f t="shared" si="152"/>
        <v>Bonus Game A</v>
      </c>
      <c r="BO175">
        <f>(D175/Summary!$C$4-Summary!$C$8)^2*E175</f>
        <v>50771.466899999999</v>
      </c>
      <c r="BP175">
        <f t="shared" si="145"/>
        <v>0</v>
      </c>
      <c r="BQ175">
        <f t="shared" si="146"/>
        <v>0</v>
      </c>
      <c r="BR175">
        <f t="shared" si="147"/>
        <v>0</v>
      </c>
      <c r="BS175">
        <f t="shared" si="148"/>
        <v>0</v>
      </c>
    </row>
    <row r="176" spans="2:71">
      <c r="B176" s="16">
        <f>Tiers!B177</f>
        <v>174</v>
      </c>
      <c r="C176" s="17" t="str">
        <f>Tiers!Y177</f>
        <v>main-5|main-25|main-25|bonusA-4|||||| x 1</v>
      </c>
      <c r="D176" s="18">
        <f>Tiers!C177</f>
        <v>72</v>
      </c>
      <c r="E176" s="19">
        <f>Frequency!E178</f>
        <v>3</v>
      </c>
      <c r="F176" s="19">
        <f t="shared" si="102"/>
        <v>216</v>
      </c>
      <c r="G176" s="19">
        <f>IF(Tiers!D177&gt;1,'Data Analysis'!E176,0)</f>
        <v>0</v>
      </c>
      <c r="H176" s="19">
        <f t="shared" si="103"/>
        <v>0</v>
      </c>
      <c r="I176" s="19">
        <f>IF(AND(D176/Summary!$C$4&gt;0, D176/Summary!$C$4&lt;5),E176,0) * D176</f>
        <v>0</v>
      </c>
      <c r="J176" s="19">
        <f>IF(AND(D176/Summary!$C$4&gt;= 5, D176/Summary!$C$4&lt;10),E176,0) * D176</f>
        <v>0</v>
      </c>
      <c r="K176" s="19">
        <f>IF(AND(D176/Summary!$C$4&gt;=10, D176/Summary!$C$4&lt;25),E176,0)*D176</f>
        <v>0</v>
      </c>
      <c r="L176" s="19">
        <f>IF(D176/Summary!$C$4&gt;=25,E176,0)*D176</f>
        <v>216</v>
      </c>
      <c r="M176" s="27">
        <f>IF(AND(D176/Summary!$C$4&gt;0, D176/Summary!$C$4&lt;1),E176,0)</f>
        <v>0</v>
      </c>
      <c r="N176" s="27">
        <f t="shared" si="104"/>
        <v>0</v>
      </c>
      <c r="O176" s="27">
        <f>IF(D176/Summary!$C$4=1,1,0)*E176</f>
        <v>0</v>
      </c>
      <c r="P176" s="27">
        <f t="shared" si="105"/>
        <v>0</v>
      </c>
      <c r="Q176" s="27">
        <f>IF(AND(D176/Summary!$C$4&gt;1, D176/Summary!$C$4&lt;=2),1,0)*E176</f>
        <v>0</v>
      </c>
      <c r="R176" s="27">
        <f t="shared" si="106"/>
        <v>0</v>
      </c>
      <c r="S176" s="27">
        <f>IF(AND(D176/Summary!$C$4&gt;2,D176/Summary!$C$4&lt;=5),1,0)*E176</f>
        <v>0</v>
      </c>
      <c r="T176" s="27">
        <f t="shared" si="107"/>
        <v>0</v>
      </c>
      <c r="U176" s="27">
        <f>IF(AND(D176/Summary!$C$4&gt;5, D176/Summary!$C$4&lt;=10),1,0)*E176</f>
        <v>0</v>
      </c>
      <c r="V176" s="27">
        <f t="shared" si="108"/>
        <v>0</v>
      </c>
      <c r="W176" s="27">
        <f>IF(AND(D176/Summary!$C$4&gt;10, D176/Summary!$C$4&lt;=20),1,0)*E176</f>
        <v>0</v>
      </c>
      <c r="X176" s="27">
        <f t="shared" si="109"/>
        <v>0</v>
      </c>
      <c r="Y176" s="27">
        <f>IF(AND(D176/Summary!$C$4&gt;20, D176/Summary!$C$4&lt;=30),1,0)*E176</f>
        <v>0</v>
      </c>
      <c r="Z176" s="27">
        <f t="shared" si="110"/>
        <v>0</v>
      </c>
      <c r="AA176" s="27">
        <f>IF(AND(D176/Summary!$C$4&gt;30, D176/Summary!$C$4&lt;=50),1,0)*E176</f>
        <v>0</v>
      </c>
      <c r="AB176" s="27">
        <f t="shared" si="111"/>
        <v>0</v>
      </c>
      <c r="AC176" s="27">
        <f>IF(AND(D176/Summary!$C$4&gt;50, D176/Summary!$C$4&lt;=100),1,0)*E176</f>
        <v>3</v>
      </c>
      <c r="AD176" s="27">
        <f t="shared" si="112"/>
        <v>216</v>
      </c>
      <c r="AE176" s="27">
        <f>IF(D176/Summary!$C$4&gt;100,1,0)*E176</f>
        <v>0</v>
      </c>
      <c r="AF176" s="27">
        <f t="shared" si="113"/>
        <v>0</v>
      </c>
      <c r="AG176" s="19">
        <f t="shared" si="114"/>
        <v>0</v>
      </c>
      <c r="AH176" s="19">
        <f t="shared" si="115"/>
        <v>3</v>
      </c>
      <c r="AI176" s="19">
        <f t="shared" si="116"/>
        <v>0</v>
      </c>
      <c r="AJ176" s="27">
        <f t="shared" si="117"/>
        <v>1</v>
      </c>
      <c r="AK176" s="27">
        <f t="shared" si="118"/>
        <v>3</v>
      </c>
      <c r="AL176" s="27">
        <f t="shared" si="119"/>
        <v>216</v>
      </c>
      <c r="AM176">
        <f t="shared" si="120"/>
        <v>0</v>
      </c>
      <c r="AN176">
        <f t="shared" si="121"/>
        <v>0</v>
      </c>
      <c r="AO176">
        <f t="shared" si="122"/>
        <v>0</v>
      </c>
      <c r="AP176">
        <f t="shared" si="123"/>
        <v>0</v>
      </c>
      <c r="AQ176">
        <f t="shared" si="124"/>
        <v>0</v>
      </c>
      <c r="AR176">
        <f t="shared" si="125"/>
        <v>0</v>
      </c>
      <c r="AS176">
        <f t="shared" si="126"/>
        <v>0</v>
      </c>
      <c r="AT176">
        <f t="shared" si="127"/>
        <v>0</v>
      </c>
      <c r="AU176">
        <f t="shared" si="128"/>
        <v>0</v>
      </c>
      <c r="AV176">
        <f t="shared" si="129"/>
        <v>0</v>
      </c>
      <c r="AW176">
        <f t="shared" si="130"/>
        <v>0</v>
      </c>
      <c r="AX176">
        <f t="shared" si="131"/>
        <v>0</v>
      </c>
      <c r="AY176">
        <f t="shared" si="132"/>
        <v>0</v>
      </c>
      <c r="AZ176">
        <f t="shared" si="133"/>
        <v>0</v>
      </c>
      <c r="BA176">
        <f t="shared" si="134"/>
        <v>0</v>
      </c>
      <c r="BB176">
        <f t="shared" si="135"/>
        <v>0</v>
      </c>
      <c r="BC176">
        <f t="shared" si="136"/>
        <v>0</v>
      </c>
      <c r="BD176">
        <f t="shared" si="137"/>
        <v>3</v>
      </c>
      <c r="BE176">
        <f t="shared" si="138"/>
        <v>216</v>
      </c>
      <c r="BF176">
        <f t="shared" si="139"/>
        <v>0</v>
      </c>
      <c r="BG176">
        <f t="shared" si="140"/>
        <v>0</v>
      </c>
      <c r="BH176">
        <f t="shared" si="141"/>
        <v>0</v>
      </c>
      <c r="BI176">
        <f t="shared" si="142"/>
        <v>0</v>
      </c>
      <c r="BJ176">
        <f t="shared" si="143"/>
        <v>0</v>
      </c>
      <c r="BK176">
        <f t="shared" si="144"/>
        <v>0</v>
      </c>
      <c r="BL176">
        <v>0</v>
      </c>
      <c r="BM176" t="str">
        <f t="shared" si="151"/>
        <v>Huge Win</v>
      </c>
      <c r="BN176" s="32" t="str">
        <f t="shared" si="152"/>
        <v>Bonus Game A</v>
      </c>
      <c r="BO176">
        <f>(D176/Summary!$C$4-Summary!$C$8)^2*E176</f>
        <v>15195.506700000002</v>
      </c>
      <c r="BP176">
        <f t="shared" si="145"/>
        <v>0</v>
      </c>
      <c r="BQ176">
        <f t="shared" si="146"/>
        <v>0</v>
      </c>
      <c r="BR176">
        <f t="shared" si="147"/>
        <v>0</v>
      </c>
      <c r="BS176">
        <f t="shared" si="148"/>
        <v>0</v>
      </c>
    </row>
    <row r="177" spans="2:71">
      <c r="B177" s="16">
        <f>Tiers!B178</f>
        <v>175</v>
      </c>
      <c r="C177" s="17" t="str">
        <f>Tiers!Y178</f>
        <v>main-5|main-3|main-5|main-15|bonusA-1||||| x 1</v>
      </c>
      <c r="D177" s="18">
        <f>Tiers!C178</f>
        <v>35</v>
      </c>
      <c r="E177" s="19">
        <f>Frequency!E179</f>
        <v>73</v>
      </c>
      <c r="F177" s="19">
        <f t="shared" si="102"/>
        <v>2555</v>
      </c>
      <c r="G177" s="19">
        <f>IF(Tiers!D178&gt;1,'Data Analysis'!E177,0)</f>
        <v>0</v>
      </c>
      <c r="H177" s="19">
        <f t="shared" si="103"/>
        <v>0</v>
      </c>
      <c r="I177" s="19">
        <f>IF(AND(D177/Summary!$C$4&gt;0, D177/Summary!$C$4&lt;5),E177,0) * D177</f>
        <v>0</v>
      </c>
      <c r="J177" s="19">
        <f>IF(AND(D177/Summary!$C$4&gt;= 5, D177/Summary!$C$4&lt;10),E177,0) * D177</f>
        <v>0</v>
      </c>
      <c r="K177" s="19">
        <f>IF(AND(D177/Summary!$C$4&gt;=10, D177/Summary!$C$4&lt;25),E177,0)*D177</f>
        <v>0</v>
      </c>
      <c r="L177" s="19">
        <f>IF(D177/Summary!$C$4&gt;=25,E177,0)*D177</f>
        <v>2555</v>
      </c>
      <c r="M177" s="27">
        <f>IF(AND(D177/Summary!$C$4&gt;0, D177/Summary!$C$4&lt;1),E177,0)</f>
        <v>0</v>
      </c>
      <c r="N177" s="27">
        <f t="shared" si="104"/>
        <v>0</v>
      </c>
      <c r="O177" s="27">
        <f>IF(D177/Summary!$C$4=1,1,0)*E177</f>
        <v>0</v>
      </c>
      <c r="P177" s="27">
        <f t="shared" si="105"/>
        <v>0</v>
      </c>
      <c r="Q177" s="27">
        <f>IF(AND(D177/Summary!$C$4&gt;1, D177/Summary!$C$4&lt;=2),1,0)*E177</f>
        <v>0</v>
      </c>
      <c r="R177" s="27">
        <f t="shared" si="106"/>
        <v>0</v>
      </c>
      <c r="S177" s="27">
        <f>IF(AND(D177/Summary!$C$4&gt;2,D177/Summary!$C$4&lt;=5),1,0)*E177</f>
        <v>0</v>
      </c>
      <c r="T177" s="27">
        <f t="shared" si="107"/>
        <v>0</v>
      </c>
      <c r="U177" s="27">
        <f>IF(AND(D177/Summary!$C$4&gt;5, D177/Summary!$C$4&lt;=10),1,0)*E177</f>
        <v>0</v>
      </c>
      <c r="V177" s="27">
        <f t="shared" si="108"/>
        <v>0</v>
      </c>
      <c r="W177" s="27">
        <f>IF(AND(D177/Summary!$C$4&gt;10, D177/Summary!$C$4&lt;=20),1,0)*E177</f>
        <v>0</v>
      </c>
      <c r="X177" s="27">
        <f t="shared" si="109"/>
        <v>0</v>
      </c>
      <c r="Y177" s="27">
        <f>IF(AND(D177/Summary!$C$4&gt;20, D177/Summary!$C$4&lt;=30),1,0)*E177</f>
        <v>0</v>
      </c>
      <c r="Z177" s="27">
        <f t="shared" si="110"/>
        <v>0</v>
      </c>
      <c r="AA177" s="27">
        <f>IF(AND(D177/Summary!$C$4&gt;30, D177/Summary!$C$4&lt;=50),1,0)*E177</f>
        <v>73</v>
      </c>
      <c r="AB177" s="27">
        <f t="shared" si="111"/>
        <v>2555</v>
      </c>
      <c r="AC177" s="27">
        <f>IF(AND(D177/Summary!$C$4&gt;50, D177/Summary!$C$4&lt;=100),1,0)*E177</f>
        <v>0</v>
      </c>
      <c r="AD177" s="27">
        <f t="shared" si="112"/>
        <v>0</v>
      </c>
      <c r="AE177" s="27">
        <f>IF(D177/Summary!$C$4&gt;100,1,0)*E177</f>
        <v>0</v>
      </c>
      <c r="AF177" s="27">
        <f t="shared" si="113"/>
        <v>0</v>
      </c>
      <c r="AG177" s="19">
        <f t="shared" si="114"/>
        <v>0</v>
      </c>
      <c r="AH177" s="19">
        <f t="shared" si="115"/>
        <v>73</v>
      </c>
      <c r="AI177" s="19">
        <f t="shared" si="116"/>
        <v>0</v>
      </c>
      <c r="AJ177" s="27">
        <f t="shared" si="117"/>
        <v>1</v>
      </c>
      <c r="AK177" s="27">
        <f t="shared" si="118"/>
        <v>73</v>
      </c>
      <c r="AL177" s="27">
        <f t="shared" si="119"/>
        <v>2555</v>
      </c>
      <c r="AM177">
        <f t="shared" si="120"/>
        <v>0</v>
      </c>
      <c r="AN177">
        <f t="shared" si="121"/>
        <v>0</v>
      </c>
      <c r="AO177">
        <f t="shared" si="122"/>
        <v>0</v>
      </c>
      <c r="AP177">
        <f t="shared" si="123"/>
        <v>0</v>
      </c>
      <c r="AQ177">
        <f t="shared" si="124"/>
        <v>0</v>
      </c>
      <c r="AR177">
        <f t="shared" si="125"/>
        <v>0</v>
      </c>
      <c r="AS177">
        <f t="shared" si="126"/>
        <v>0</v>
      </c>
      <c r="AT177">
        <f t="shared" si="127"/>
        <v>0</v>
      </c>
      <c r="AU177">
        <f t="shared" si="128"/>
        <v>0</v>
      </c>
      <c r="AV177">
        <f t="shared" si="129"/>
        <v>0</v>
      </c>
      <c r="AW177">
        <f t="shared" si="130"/>
        <v>0</v>
      </c>
      <c r="AX177">
        <f t="shared" si="131"/>
        <v>0</v>
      </c>
      <c r="AY177">
        <f t="shared" si="132"/>
        <v>0</v>
      </c>
      <c r="AZ177">
        <f t="shared" si="133"/>
        <v>0</v>
      </c>
      <c r="BA177">
        <f t="shared" si="134"/>
        <v>0</v>
      </c>
      <c r="BB177">
        <f t="shared" si="135"/>
        <v>0</v>
      </c>
      <c r="BC177">
        <f t="shared" si="136"/>
        <v>0</v>
      </c>
      <c r="BD177">
        <f t="shared" si="137"/>
        <v>73</v>
      </c>
      <c r="BE177">
        <f t="shared" si="138"/>
        <v>2555</v>
      </c>
      <c r="BF177">
        <f t="shared" si="139"/>
        <v>0</v>
      </c>
      <c r="BG177">
        <f t="shared" si="140"/>
        <v>0</v>
      </c>
      <c r="BH177">
        <f t="shared" si="141"/>
        <v>0</v>
      </c>
      <c r="BI177">
        <f t="shared" si="142"/>
        <v>0</v>
      </c>
      <c r="BJ177">
        <f t="shared" si="143"/>
        <v>0</v>
      </c>
      <c r="BK177">
        <f t="shared" si="144"/>
        <v>0</v>
      </c>
      <c r="BL177">
        <v>0</v>
      </c>
      <c r="BM177" t="str">
        <f t="shared" si="151"/>
        <v>Big Win</v>
      </c>
      <c r="BN177" s="32" t="str">
        <f t="shared" si="152"/>
        <v>Bonus Game A</v>
      </c>
      <c r="BO177">
        <f>(D177/Summary!$C$4-Summary!$C$8)^2*E177</f>
        <v>85233.98970000002</v>
      </c>
      <c r="BP177">
        <f t="shared" si="145"/>
        <v>0</v>
      </c>
      <c r="BQ177">
        <f t="shared" si="146"/>
        <v>0</v>
      </c>
      <c r="BR177">
        <f t="shared" si="147"/>
        <v>0</v>
      </c>
      <c r="BS177">
        <f t="shared" si="148"/>
        <v>0</v>
      </c>
    </row>
    <row r="178" spans="2:71">
      <c r="B178" s="16">
        <f>Tiers!B179</f>
        <v>176</v>
      </c>
      <c r="C178" s="17" t="str">
        <f>Tiers!Y179</f>
        <v>main-5|main-13|main-25|main-22|bonusA-1||||| x 1</v>
      </c>
      <c r="D178" s="18">
        <f>Tiers!C179</f>
        <v>47</v>
      </c>
      <c r="E178" s="19">
        <f>Frequency!E180</f>
        <v>21</v>
      </c>
      <c r="F178" s="19">
        <f t="shared" si="102"/>
        <v>987</v>
      </c>
      <c r="G178" s="19">
        <f>IF(Tiers!D179&gt;1,'Data Analysis'!E178,0)</f>
        <v>0</v>
      </c>
      <c r="H178" s="19">
        <f t="shared" si="103"/>
        <v>0</v>
      </c>
      <c r="I178" s="19">
        <f>IF(AND(D178/Summary!$C$4&gt;0, D178/Summary!$C$4&lt;5),E178,0) * D178</f>
        <v>0</v>
      </c>
      <c r="J178" s="19">
        <f>IF(AND(D178/Summary!$C$4&gt;= 5, D178/Summary!$C$4&lt;10),E178,0) * D178</f>
        <v>0</v>
      </c>
      <c r="K178" s="19">
        <f>IF(AND(D178/Summary!$C$4&gt;=10, D178/Summary!$C$4&lt;25),E178,0)*D178</f>
        <v>0</v>
      </c>
      <c r="L178" s="19">
        <f>IF(D178/Summary!$C$4&gt;=25,E178,0)*D178</f>
        <v>987</v>
      </c>
      <c r="M178" s="27">
        <f>IF(AND(D178/Summary!$C$4&gt;0, D178/Summary!$C$4&lt;1),E178,0)</f>
        <v>0</v>
      </c>
      <c r="N178" s="27">
        <f t="shared" si="104"/>
        <v>0</v>
      </c>
      <c r="O178" s="27">
        <f>IF(D178/Summary!$C$4=1,1,0)*E178</f>
        <v>0</v>
      </c>
      <c r="P178" s="27">
        <f t="shared" si="105"/>
        <v>0</v>
      </c>
      <c r="Q178" s="27">
        <f>IF(AND(D178/Summary!$C$4&gt;1, D178/Summary!$C$4&lt;=2),1,0)*E178</f>
        <v>0</v>
      </c>
      <c r="R178" s="27">
        <f t="shared" si="106"/>
        <v>0</v>
      </c>
      <c r="S178" s="27">
        <f>IF(AND(D178/Summary!$C$4&gt;2,D178/Summary!$C$4&lt;=5),1,0)*E178</f>
        <v>0</v>
      </c>
      <c r="T178" s="27">
        <f t="shared" si="107"/>
        <v>0</v>
      </c>
      <c r="U178" s="27">
        <f>IF(AND(D178/Summary!$C$4&gt;5, D178/Summary!$C$4&lt;=10),1,0)*E178</f>
        <v>0</v>
      </c>
      <c r="V178" s="27">
        <f t="shared" si="108"/>
        <v>0</v>
      </c>
      <c r="W178" s="27">
        <f>IF(AND(D178/Summary!$C$4&gt;10, D178/Summary!$C$4&lt;=20),1,0)*E178</f>
        <v>0</v>
      </c>
      <c r="X178" s="27">
        <f t="shared" si="109"/>
        <v>0</v>
      </c>
      <c r="Y178" s="27">
        <f>IF(AND(D178/Summary!$C$4&gt;20, D178/Summary!$C$4&lt;=30),1,0)*E178</f>
        <v>0</v>
      </c>
      <c r="Z178" s="27">
        <f t="shared" si="110"/>
        <v>0</v>
      </c>
      <c r="AA178" s="27">
        <f>IF(AND(D178/Summary!$C$4&gt;30, D178/Summary!$C$4&lt;=50),1,0)*E178</f>
        <v>21</v>
      </c>
      <c r="AB178" s="27">
        <f t="shared" si="111"/>
        <v>987</v>
      </c>
      <c r="AC178" s="27">
        <f>IF(AND(D178/Summary!$C$4&gt;50, D178/Summary!$C$4&lt;=100),1,0)*E178</f>
        <v>0</v>
      </c>
      <c r="AD178" s="27">
        <f t="shared" si="112"/>
        <v>0</v>
      </c>
      <c r="AE178" s="27">
        <f>IF(D178/Summary!$C$4&gt;100,1,0)*E178</f>
        <v>0</v>
      </c>
      <c r="AF178" s="27">
        <f t="shared" si="113"/>
        <v>0</v>
      </c>
      <c r="AG178" s="19">
        <f t="shared" si="114"/>
        <v>0</v>
      </c>
      <c r="AH178" s="19">
        <f t="shared" si="115"/>
        <v>21</v>
      </c>
      <c r="AI178" s="19">
        <f t="shared" si="116"/>
        <v>0</v>
      </c>
      <c r="AJ178" s="27">
        <f t="shared" si="117"/>
        <v>1</v>
      </c>
      <c r="AK178" s="27">
        <f t="shared" si="118"/>
        <v>21</v>
      </c>
      <c r="AL178" s="27">
        <f t="shared" si="119"/>
        <v>987</v>
      </c>
      <c r="AM178">
        <f t="shared" si="120"/>
        <v>0</v>
      </c>
      <c r="AN178">
        <f t="shared" si="121"/>
        <v>0</v>
      </c>
      <c r="AO178">
        <f t="shared" si="122"/>
        <v>0</v>
      </c>
      <c r="AP178">
        <f t="shared" si="123"/>
        <v>0</v>
      </c>
      <c r="AQ178">
        <f t="shared" si="124"/>
        <v>0</v>
      </c>
      <c r="AR178">
        <f t="shared" si="125"/>
        <v>0</v>
      </c>
      <c r="AS178">
        <f t="shared" si="126"/>
        <v>0</v>
      </c>
      <c r="AT178">
        <f t="shared" si="127"/>
        <v>0</v>
      </c>
      <c r="AU178">
        <f t="shared" si="128"/>
        <v>0</v>
      </c>
      <c r="AV178">
        <f t="shared" si="129"/>
        <v>0</v>
      </c>
      <c r="AW178">
        <f t="shared" si="130"/>
        <v>0</v>
      </c>
      <c r="AX178">
        <f t="shared" si="131"/>
        <v>0</v>
      </c>
      <c r="AY178">
        <f t="shared" si="132"/>
        <v>0</v>
      </c>
      <c r="AZ178">
        <f t="shared" si="133"/>
        <v>0</v>
      </c>
      <c r="BA178">
        <f t="shared" si="134"/>
        <v>0</v>
      </c>
      <c r="BB178">
        <f t="shared" si="135"/>
        <v>0</v>
      </c>
      <c r="BC178">
        <f t="shared" si="136"/>
        <v>0</v>
      </c>
      <c r="BD178">
        <f t="shared" si="137"/>
        <v>21</v>
      </c>
      <c r="BE178">
        <f t="shared" si="138"/>
        <v>987</v>
      </c>
      <c r="BF178">
        <f t="shared" si="139"/>
        <v>0</v>
      </c>
      <c r="BG178">
        <f t="shared" si="140"/>
        <v>0</v>
      </c>
      <c r="BH178">
        <f t="shared" si="141"/>
        <v>0</v>
      </c>
      <c r="BI178">
        <f t="shared" si="142"/>
        <v>0</v>
      </c>
      <c r="BJ178">
        <f t="shared" si="143"/>
        <v>0</v>
      </c>
      <c r="BK178">
        <f t="shared" si="144"/>
        <v>0</v>
      </c>
      <c r="BL178">
        <v>0</v>
      </c>
      <c r="BM178" t="str">
        <f t="shared" si="151"/>
        <v>Big Win</v>
      </c>
      <c r="BN178" s="32" t="str">
        <f t="shared" si="152"/>
        <v>Bonus Game A</v>
      </c>
      <c r="BO178">
        <f>(D178/Summary!$C$4-Summary!$C$8)^2*E178</f>
        <v>44765.046900000001</v>
      </c>
      <c r="BP178">
        <f t="shared" si="145"/>
        <v>0</v>
      </c>
      <c r="BQ178">
        <f t="shared" si="146"/>
        <v>0</v>
      </c>
      <c r="BR178">
        <f t="shared" si="147"/>
        <v>0</v>
      </c>
      <c r="BS178">
        <f t="shared" si="148"/>
        <v>0</v>
      </c>
    </row>
    <row r="179" spans="2:71">
      <c r="B179" s="16">
        <f>Tiers!B180</f>
        <v>177</v>
      </c>
      <c r="C179" s="17" t="str">
        <f>Tiers!Y180</f>
        <v>main-22|main-13|main-34|main-25|bonusA-3||||| x 1</v>
      </c>
      <c r="D179" s="18">
        <f>Tiers!C180</f>
        <v>75</v>
      </c>
      <c r="E179" s="19">
        <f>Frequency!E181</f>
        <v>3</v>
      </c>
      <c r="F179" s="19">
        <f t="shared" si="102"/>
        <v>225</v>
      </c>
      <c r="G179" s="19">
        <f>IF(Tiers!D180&gt;1,'Data Analysis'!E179,0)</f>
        <v>0</v>
      </c>
      <c r="H179" s="19">
        <f t="shared" si="103"/>
        <v>0</v>
      </c>
      <c r="I179" s="19">
        <f>IF(AND(D179/Summary!$C$4&gt;0, D179/Summary!$C$4&lt;5),E179,0) * D179</f>
        <v>0</v>
      </c>
      <c r="J179" s="19">
        <f>IF(AND(D179/Summary!$C$4&gt;= 5, D179/Summary!$C$4&lt;10),E179,0) * D179</f>
        <v>0</v>
      </c>
      <c r="K179" s="19">
        <f>IF(AND(D179/Summary!$C$4&gt;=10, D179/Summary!$C$4&lt;25),E179,0)*D179</f>
        <v>0</v>
      </c>
      <c r="L179" s="19">
        <f>IF(D179/Summary!$C$4&gt;=25,E179,0)*D179</f>
        <v>225</v>
      </c>
      <c r="M179" s="27">
        <f>IF(AND(D179/Summary!$C$4&gt;0, D179/Summary!$C$4&lt;1),E179,0)</f>
        <v>0</v>
      </c>
      <c r="N179" s="27">
        <f t="shared" si="104"/>
        <v>0</v>
      </c>
      <c r="O179" s="27">
        <f>IF(D179/Summary!$C$4=1,1,0)*E179</f>
        <v>0</v>
      </c>
      <c r="P179" s="27">
        <f t="shared" si="105"/>
        <v>0</v>
      </c>
      <c r="Q179" s="27">
        <f>IF(AND(D179/Summary!$C$4&gt;1, D179/Summary!$C$4&lt;=2),1,0)*E179</f>
        <v>0</v>
      </c>
      <c r="R179" s="27">
        <f t="shared" si="106"/>
        <v>0</v>
      </c>
      <c r="S179" s="27">
        <f>IF(AND(D179/Summary!$C$4&gt;2,D179/Summary!$C$4&lt;=5),1,0)*E179</f>
        <v>0</v>
      </c>
      <c r="T179" s="27">
        <f t="shared" si="107"/>
        <v>0</v>
      </c>
      <c r="U179" s="27">
        <f>IF(AND(D179/Summary!$C$4&gt;5, D179/Summary!$C$4&lt;=10),1,0)*E179</f>
        <v>0</v>
      </c>
      <c r="V179" s="27">
        <f t="shared" si="108"/>
        <v>0</v>
      </c>
      <c r="W179" s="27">
        <f>IF(AND(D179/Summary!$C$4&gt;10, D179/Summary!$C$4&lt;=20),1,0)*E179</f>
        <v>0</v>
      </c>
      <c r="X179" s="27">
        <f t="shared" si="109"/>
        <v>0</v>
      </c>
      <c r="Y179" s="27">
        <f>IF(AND(D179/Summary!$C$4&gt;20, D179/Summary!$C$4&lt;=30),1,0)*E179</f>
        <v>0</v>
      </c>
      <c r="Z179" s="27">
        <f t="shared" si="110"/>
        <v>0</v>
      </c>
      <c r="AA179" s="27">
        <f>IF(AND(D179/Summary!$C$4&gt;30, D179/Summary!$C$4&lt;=50),1,0)*E179</f>
        <v>0</v>
      </c>
      <c r="AB179" s="27">
        <f t="shared" si="111"/>
        <v>0</v>
      </c>
      <c r="AC179" s="27">
        <f>IF(AND(D179/Summary!$C$4&gt;50, D179/Summary!$C$4&lt;=100),1,0)*E179</f>
        <v>3</v>
      </c>
      <c r="AD179" s="27">
        <f t="shared" si="112"/>
        <v>225</v>
      </c>
      <c r="AE179" s="27">
        <f>IF(D179/Summary!$C$4&gt;100,1,0)*E179</f>
        <v>0</v>
      </c>
      <c r="AF179" s="27">
        <f t="shared" si="113"/>
        <v>0</v>
      </c>
      <c r="AG179" s="19">
        <f t="shared" si="114"/>
        <v>0</v>
      </c>
      <c r="AH179" s="19">
        <f t="shared" si="115"/>
        <v>3</v>
      </c>
      <c r="AI179" s="19">
        <f t="shared" si="116"/>
        <v>0</v>
      </c>
      <c r="AJ179" s="27">
        <f t="shared" si="117"/>
        <v>1</v>
      </c>
      <c r="AK179" s="27">
        <f t="shared" si="118"/>
        <v>3</v>
      </c>
      <c r="AL179" s="27">
        <f t="shared" si="119"/>
        <v>225</v>
      </c>
      <c r="AM179">
        <f t="shared" si="120"/>
        <v>0</v>
      </c>
      <c r="AN179">
        <f t="shared" si="121"/>
        <v>0</v>
      </c>
      <c r="AO179">
        <f t="shared" si="122"/>
        <v>0</v>
      </c>
      <c r="AP179">
        <f t="shared" si="123"/>
        <v>0</v>
      </c>
      <c r="AQ179">
        <f t="shared" si="124"/>
        <v>0</v>
      </c>
      <c r="AR179">
        <f t="shared" si="125"/>
        <v>0</v>
      </c>
      <c r="AS179">
        <f t="shared" si="126"/>
        <v>0</v>
      </c>
      <c r="AT179">
        <f t="shared" si="127"/>
        <v>0</v>
      </c>
      <c r="AU179">
        <f t="shared" si="128"/>
        <v>0</v>
      </c>
      <c r="AV179">
        <f t="shared" si="129"/>
        <v>0</v>
      </c>
      <c r="AW179">
        <f t="shared" si="130"/>
        <v>0</v>
      </c>
      <c r="AX179">
        <f t="shared" si="131"/>
        <v>0</v>
      </c>
      <c r="AY179">
        <f t="shared" si="132"/>
        <v>0</v>
      </c>
      <c r="AZ179">
        <f t="shared" si="133"/>
        <v>0</v>
      </c>
      <c r="BA179">
        <f t="shared" si="134"/>
        <v>0</v>
      </c>
      <c r="BB179">
        <f t="shared" si="135"/>
        <v>0</v>
      </c>
      <c r="BC179">
        <f t="shared" si="136"/>
        <v>0</v>
      </c>
      <c r="BD179">
        <f t="shared" si="137"/>
        <v>3</v>
      </c>
      <c r="BE179">
        <f t="shared" si="138"/>
        <v>225</v>
      </c>
      <c r="BF179">
        <f t="shared" si="139"/>
        <v>0</v>
      </c>
      <c r="BG179">
        <f t="shared" si="140"/>
        <v>0</v>
      </c>
      <c r="BH179">
        <f t="shared" si="141"/>
        <v>0</v>
      </c>
      <c r="BI179">
        <f t="shared" si="142"/>
        <v>0</v>
      </c>
      <c r="BJ179">
        <f t="shared" si="143"/>
        <v>0</v>
      </c>
      <c r="BK179">
        <f t="shared" si="144"/>
        <v>0</v>
      </c>
      <c r="BL179">
        <v>0</v>
      </c>
      <c r="BM179" t="str">
        <f t="shared" si="151"/>
        <v>Huge Win</v>
      </c>
      <c r="BN179" s="32" t="str">
        <f t="shared" si="152"/>
        <v>Bonus Game A</v>
      </c>
      <c r="BO179">
        <f>(D179/Summary!$C$4-Summary!$C$8)^2*E179</f>
        <v>16503.566699999999</v>
      </c>
      <c r="BP179">
        <f t="shared" si="145"/>
        <v>0</v>
      </c>
      <c r="BQ179">
        <f t="shared" si="146"/>
        <v>0</v>
      </c>
      <c r="BR179">
        <f t="shared" si="147"/>
        <v>0</v>
      </c>
      <c r="BS179">
        <f t="shared" si="148"/>
        <v>0</v>
      </c>
    </row>
    <row r="180" spans="2:71">
      <c r="B180" s="16">
        <f>Tiers!B181</f>
        <v>178</v>
      </c>
      <c r="C180" s="17" t="str">
        <f>Tiers!Y181</f>
        <v>main-3|main-12|main-3|main-2|bonusA-5||||| x 1</v>
      </c>
      <c r="D180" s="18">
        <f>Tiers!C181</f>
        <v>54.5</v>
      </c>
      <c r="E180" s="19">
        <f>Frequency!E182</f>
        <v>14</v>
      </c>
      <c r="F180" s="19">
        <f t="shared" si="102"/>
        <v>763</v>
      </c>
      <c r="G180" s="19">
        <f>IF(Tiers!D181&gt;1,'Data Analysis'!E180,0)</f>
        <v>0</v>
      </c>
      <c r="H180" s="19">
        <f t="shared" si="103"/>
        <v>0</v>
      </c>
      <c r="I180" s="19">
        <f>IF(AND(D180/Summary!$C$4&gt;0, D180/Summary!$C$4&lt;5),E180,0) * D180</f>
        <v>0</v>
      </c>
      <c r="J180" s="19">
        <f>IF(AND(D180/Summary!$C$4&gt;= 5, D180/Summary!$C$4&lt;10),E180,0) * D180</f>
        <v>0</v>
      </c>
      <c r="K180" s="19">
        <f>IF(AND(D180/Summary!$C$4&gt;=10, D180/Summary!$C$4&lt;25),E180,0)*D180</f>
        <v>0</v>
      </c>
      <c r="L180" s="19">
        <f>IF(D180/Summary!$C$4&gt;=25,E180,0)*D180</f>
        <v>763</v>
      </c>
      <c r="M180" s="27">
        <f>IF(AND(D180/Summary!$C$4&gt;0, D180/Summary!$C$4&lt;1),E180,0)</f>
        <v>0</v>
      </c>
      <c r="N180" s="27">
        <f t="shared" si="104"/>
        <v>0</v>
      </c>
      <c r="O180" s="27">
        <f>IF(D180/Summary!$C$4=1,1,0)*E180</f>
        <v>0</v>
      </c>
      <c r="P180" s="27">
        <f t="shared" si="105"/>
        <v>0</v>
      </c>
      <c r="Q180" s="27">
        <f>IF(AND(D180/Summary!$C$4&gt;1, D180/Summary!$C$4&lt;=2),1,0)*E180</f>
        <v>0</v>
      </c>
      <c r="R180" s="27">
        <f t="shared" si="106"/>
        <v>0</v>
      </c>
      <c r="S180" s="27">
        <f>IF(AND(D180/Summary!$C$4&gt;2,D180/Summary!$C$4&lt;=5),1,0)*E180</f>
        <v>0</v>
      </c>
      <c r="T180" s="27">
        <f t="shared" si="107"/>
        <v>0</v>
      </c>
      <c r="U180" s="27">
        <f>IF(AND(D180/Summary!$C$4&gt;5, D180/Summary!$C$4&lt;=10),1,0)*E180</f>
        <v>0</v>
      </c>
      <c r="V180" s="27">
        <f t="shared" si="108"/>
        <v>0</v>
      </c>
      <c r="W180" s="27">
        <f>IF(AND(D180/Summary!$C$4&gt;10, D180/Summary!$C$4&lt;=20),1,0)*E180</f>
        <v>0</v>
      </c>
      <c r="X180" s="27">
        <f t="shared" si="109"/>
        <v>0</v>
      </c>
      <c r="Y180" s="27">
        <f>IF(AND(D180/Summary!$C$4&gt;20, D180/Summary!$C$4&lt;=30),1,0)*E180</f>
        <v>0</v>
      </c>
      <c r="Z180" s="27">
        <f t="shared" si="110"/>
        <v>0</v>
      </c>
      <c r="AA180" s="27">
        <f>IF(AND(D180/Summary!$C$4&gt;30, D180/Summary!$C$4&lt;=50),1,0)*E180</f>
        <v>0</v>
      </c>
      <c r="AB180" s="27">
        <f t="shared" si="111"/>
        <v>0</v>
      </c>
      <c r="AC180" s="27">
        <f>IF(AND(D180/Summary!$C$4&gt;50, D180/Summary!$C$4&lt;=100),1,0)*E180</f>
        <v>14</v>
      </c>
      <c r="AD180" s="27">
        <f t="shared" si="112"/>
        <v>763</v>
      </c>
      <c r="AE180" s="27">
        <f>IF(D180/Summary!$C$4&gt;100,1,0)*E180</f>
        <v>0</v>
      </c>
      <c r="AF180" s="27">
        <f t="shared" si="113"/>
        <v>0</v>
      </c>
      <c r="AG180" s="19">
        <f t="shared" si="114"/>
        <v>0</v>
      </c>
      <c r="AH180" s="19">
        <f t="shared" si="115"/>
        <v>14</v>
      </c>
      <c r="AI180" s="19">
        <f t="shared" si="116"/>
        <v>0</v>
      </c>
      <c r="AJ180" s="27">
        <f t="shared" si="117"/>
        <v>1</v>
      </c>
      <c r="AK180" s="27">
        <f t="shared" si="118"/>
        <v>14</v>
      </c>
      <c r="AL180" s="27">
        <f t="shared" si="119"/>
        <v>763</v>
      </c>
      <c r="AM180">
        <f t="shared" si="120"/>
        <v>0</v>
      </c>
      <c r="AN180">
        <f t="shared" si="121"/>
        <v>0</v>
      </c>
      <c r="AO180">
        <f t="shared" si="122"/>
        <v>0</v>
      </c>
      <c r="AP180">
        <f t="shared" si="123"/>
        <v>0</v>
      </c>
      <c r="AQ180">
        <f t="shared" si="124"/>
        <v>0</v>
      </c>
      <c r="AR180">
        <f t="shared" si="125"/>
        <v>0</v>
      </c>
      <c r="AS180">
        <f t="shared" si="126"/>
        <v>0</v>
      </c>
      <c r="AT180">
        <f t="shared" si="127"/>
        <v>0</v>
      </c>
      <c r="AU180">
        <f t="shared" si="128"/>
        <v>0</v>
      </c>
      <c r="AV180">
        <f t="shared" si="129"/>
        <v>0</v>
      </c>
      <c r="AW180">
        <f t="shared" si="130"/>
        <v>0</v>
      </c>
      <c r="AX180">
        <f t="shared" si="131"/>
        <v>0</v>
      </c>
      <c r="AY180">
        <f t="shared" si="132"/>
        <v>0</v>
      </c>
      <c r="AZ180">
        <f t="shared" si="133"/>
        <v>0</v>
      </c>
      <c r="BA180">
        <f t="shared" si="134"/>
        <v>0</v>
      </c>
      <c r="BB180">
        <f t="shared" si="135"/>
        <v>0</v>
      </c>
      <c r="BC180">
        <f t="shared" si="136"/>
        <v>0</v>
      </c>
      <c r="BD180">
        <f t="shared" si="137"/>
        <v>14</v>
      </c>
      <c r="BE180">
        <f t="shared" si="138"/>
        <v>763</v>
      </c>
      <c r="BF180">
        <f t="shared" si="139"/>
        <v>0</v>
      </c>
      <c r="BG180">
        <f t="shared" si="140"/>
        <v>0</v>
      </c>
      <c r="BH180">
        <f t="shared" si="141"/>
        <v>0</v>
      </c>
      <c r="BI180">
        <f t="shared" si="142"/>
        <v>0</v>
      </c>
      <c r="BJ180">
        <f t="shared" si="143"/>
        <v>0</v>
      </c>
      <c r="BK180">
        <f t="shared" si="144"/>
        <v>0</v>
      </c>
      <c r="BL180">
        <v>0</v>
      </c>
      <c r="BM180" t="str">
        <f t="shared" si="151"/>
        <v>Huge Win</v>
      </c>
      <c r="BN180" s="32" t="str">
        <f t="shared" si="152"/>
        <v>Bonus Game A</v>
      </c>
      <c r="BO180">
        <f>(D180/Summary!$C$4-Summary!$C$8)^2*E180</f>
        <v>40326.564600000005</v>
      </c>
      <c r="BP180">
        <f t="shared" si="145"/>
        <v>0</v>
      </c>
      <c r="BQ180">
        <f t="shared" si="146"/>
        <v>0</v>
      </c>
      <c r="BR180">
        <f t="shared" si="147"/>
        <v>0</v>
      </c>
      <c r="BS180">
        <f t="shared" si="148"/>
        <v>0</v>
      </c>
    </row>
    <row r="181" spans="2:71">
      <c r="B181" s="16">
        <f>Tiers!B182</f>
        <v>179</v>
      </c>
      <c r="C181" s="17" t="str">
        <f>Tiers!Y182</f>
        <v>main-8|main-5|main-12|main-3|bonusA-4||||| x 1</v>
      </c>
      <c r="D181" s="18">
        <f>Tiers!C182</f>
        <v>40</v>
      </c>
      <c r="E181" s="19">
        <f>Frequency!E183</f>
        <v>16</v>
      </c>
      <c r="F181" s="19">
        <f t="shared" si="102"/>
        <v>640</v>
      </c>
      <c r="G181" s="19">
        <f>IF(Tiers!D182&gt;1,'Data Analysis'!E181,0)</f>
        <v>0</v>
      </c>
      <c r="H181" s="19">
        <f t="shared" si="103"/>
        <v>0</v>
      </c>
      <c r="I181" s="19">
        <f>IF(AND(D181/Summary!$C$4&gt;0, D181/Summary!$C$4&lt;5),E181,0) * D181</f>
        <v>0</v>
      </c>
      <c r="J181" s="19">
        <f>IF(AND(D181/Summary!$C$4&gt;= 5, D181/Summary!$C$4&lt;10),E181,0) * D181</f>
        <v>0</v>
      </c>
      <c r="K181" s="19">
        <f>IF(AND(D181/Summary!$C$4&gt;=10, D181/Summary!$C$4&lt;25),E181,0)*D181</f>
        <v>0</v>
      </c>
      <c r="L181" s="19">
        <f>IF(D181/Summary!$C$4&gt;=25,E181,0)*D181</f>
        <v>640</v>
      </c>
      <c r="M181" s="27">
        <f>IF(AND(D181/Summary!$C$4&gt;0, D181/Summary!$C$4&lt;1),E181,0)</f>
        <v>0</v>
      </c>
      <c r="N181" s="27">
        <f t="shared" si="104"/>
        <v>0</v>
      </c>
      <c r="O181" s="27">
        <f>IF(D181/Summary!$C$4=1,1,0)*E181</f>
        <v>0</v>
      </c>
      <c r="P181" s="27">
        <f t="shared" si="105"/>
        <v>0</v>
      </c>
      <c r="Q181" s="27">
        <f>IF(AND(D181/Summary!$C$4&gt;1, D181/Summary!$C$4&lt;=2),1,0)*E181</f>
        <v>0</v>
      </c>
      <c r="R181" s="27">
        <f t="shared" si="106"/>
        <v>0</v>
      </c>
      <c r="S181" s="27">
        <f>IF(AND(D181/Summary!$C$4&gt;2,D181/Summary!$C$4&lt;=5),1,0)*E181</f>
        <v>0</v>
      </c>
      <c r="T181" s="27">
        <f t="shared" si="107"/>
        <v>0</v>
      </c>
      <c r="U181" s="27">
        <f>IF(AND(D181/Summary!$C$4&gt;5, D181/Summary!$C$4&lt;=10),1,0)*E181</f>
        <v>0</v>
      </c>
      <c r="V181" s="27">
        <f t="shared" si="108"/>
        <v>0</v>
      </c>
      <c r="W181" s="27">
        <f>IF(AND(D181/Summary!$C$4&gt;10, D181/Summary!$C$4&lt;=20),1,0)*E181</f>
        <v>0</v>
      </c>
      <c r="X181" s="27">
        <f t="shared" si="109"/>
        <v>0</v>
      </c>
      <c r="Y181" s="27">
        <f>IF(AND(D181/Summary!$C$4&gt;20, D181/Summary!$C$4&lt;=30),1,0)*E181</f>
        <v>0</v>
      </c>
      <c r="Z181" s="27">
        <f t="shared" si="110"/>
        <v>0</v>
      </c>
      <c r="AA181" s="27">
        <f>IF(AND(D181/Summary!$C$4&gt;30, D181/Summary!$C$4&lt;=50),1,0)*E181</f>
        <v>16</v>
      </c>
      <c r="AB181" s="27">
        <f t="shared" si="111"/>
        <v>640</v>
      </c>
      <c r="AC181" s="27">
        <f>IF(AND(D181/Summary!$C$4&gt;50, D181/Summary!$C$4&lt;=100),1,0)*E181</f>
        <v>0</v>
      </c>
      <c r="AD181" s="27">
        <f t="shared" si="112"/>
        <v>0</v>
      </c>
      <c r="AE181" s="27">
        <f>IF(D181/Summary!$C$4&gt;100,1,0)*E181</f>
        <v>0</v>
      </c>
      <c r="AF181" s="27">
        <f t="shared" si="113"/>
        <v>0</v>
      </c>
      <c r="AG181" s="19">
        <f t="shared" si="114"/>
        <v>0</v>
      </c>
      <c r="AH181" s="19">
        <f t="shared" si="115"/>
        <v>16</v>
      </c>
      <c r="AI181" s="19">
        <f t="shared" si="116"/>
        <v>0</v>
      </c>
      <c r="AJ181" s="27">
        <f t="shared" si="117"/>
        <v>1</v>
      </c>
      <c r="AK181" s="27">
        <f t="shared" si="118"/>
        <v>16</v>
      </c>
      <c r="AL181" s="27">
        <f t="shared" si="119"/>
        <v>640</v>
      </c>
      <c r="AM181">
        <f t="shared" si="120"/>
        <v>0</v>
      </c>
      <c r="AN181">
        <f t="shared" si="121"/>
        <v>0</v>
      </c>
      <c r="AO181">
        <f t="shared" si="122"/>
        <v>0</v>
      </c>
      <c r="AP181">
        <f t="shared" si="123"/>
        <v>0</v>
      </c>
      <c r="AQ181">
        <f t="shared" si="124"/>
        <v>0</v>
      </c>
      <c r="AR181">
        <f t="shared" si="125"/>
        <v>0</v>
      </c>
      <c r="AS181">
        <f t="shared" si="126"/>
        <v>0</v>
      </c>
      <c r="AT181">
        <f t="shared" si="127"/>
        <v>0</v>
      </c>
      <c r="AU181">
        <f t="shared" si="128"/>
        <v>0</v>
      </c>
      <c r="AV181">
        <f t="shared" si="129"/>
        <v>0</v>
      </c>
      <c r="AW181">
        <f t="shared" si="130"/>
        <v>0</v>
      </c>
      <c r="AX181">
        <f t="shared" si="131"/>
        <v>0</v>
      </c>
      <c r="AY181">
        <f t="shared" si="132"/>
        <v>0</v>
      </c>
      <c r="AZ181">
        <f t="shared" si="133"/>
        <v>0</v>
      </c>
      <c r="BA181">
        <f t="shared" si="134"/>
        <v>0</v>
      </c>
      <c r="BB181">
        <f t="shared" si="135"/>
        <v>0</v>
      </c>
      <c r="BC181">
        <f t="shared" si="136"/>
        <v>0</v>
      </c>
      <c r="BD181">
        <f t="shared" si="137"/>
        <v>16</v>
      </c>
      <c r="BE181">
        <f t="shared" si="138"/>
        <v>640</v>
      </c>
      <c r="BF181">
        <f t="shared" si="139"/>
        <v>0</v>
      </c>
      <c r="BG181">
        <f t="shared" si="140"/>
        <v>0</v>
      </c>
      <c r="BH181">
        <f t="shared" si="141"/>
        <v>0</v>
      </c>
      <c r="BI181">
        <f t="shared" si="142"/>
        <v>0</v>
      </c>
      <c r="BJ181">
        <f t="shared" si="143"/>
        <v>0</v>
      </c>
      <c r="BK181">
        <f t="shared" si="144"/>
        <v>0</v>
      </c>
      <c r="BL181">
        <v>0</v>
      </c>
      <c r="BM181" t="str">
        <f t="shared" si="151"/>
        <v>Big Win</v>
      </c>
      <c r="BN181" s="32" t="str">
        <f t="shared" si="152"/>
        <v>Bonus Game A</v>
      </c>
      <c r="BO181">
        <f>(D181/Summary!$C$4-Summary!$C$8)^2*E181</f>
        <v>24548.622400000004</v>
      </c>
      <c r="BP181">
        <f t="shared" si="145"/>
        <v>0</v>
      </c>
      <c r="BQ181">
        <f t="shared" si="146"/>
        <v>0</v>
      </c>
      <c r="BR181">
        <f t="shared" si="147"/>
        <v>0</v>
      </c>
      <c r="BS181">
        <f t="shared" si="148"/>
        <v>0</v>
      </c>
    </row>
    <row r="182" spans="2:71">
      <c r="B182" s="16">
        <f>Tiers!B183</f>
        <v>180</v>
      </c>
      <c r="C182" s="17" t="str">
        <f>Tiers!Y183</f>
        <v>main-9|main-4|main-11|main-15|bonusA-4||||| x 1</v>
      </c>
      <c r="D182" s="18">
        <f>Tiers!C183</f>
        <v>58</v>
      </c>
      <c r="E182" s="19">
        <f>Frequency!E184</f>
        <v>10</v>
      </c>
      <c r="F182" s="19">
        <f t="shared" si="102"/>
        <v>580</v>
      </c>
      <c r="G182" s="19">
        <f>IF(Tiers!D183&gt;1,'Data Analysis'!E182,0)</f>
        <v>0</v>
      </c>
      <c r="H182" s="19">
        <f t="shared" si="103"/>
        <v>0</v>
      </c>
      <c r="I182" s="19">
        <f>IF(AND(D182/Summary!$C$4&gt;0, D182/Summary!$C$4&lt;5),E182,0) * D182</f>
        <v>0</v>
      </c>
      <c r="J182" s="19">
        <f>IF(AND(D182/Summary!$C$4&gt;= 5, D182/Summary!$C$4&lt;10),E182,0) * D182</f>
        <v>0</v>
      </c>
      <c r="K182" s="19">
        <f>IF(AND(D182/Summary!$C$4&gt;=10, D182/Summary!$C$4&lt;25),E182,0)*D182</f>
        <v>0</v>
      </c>
      <c r="L182" s="19">
        <f>IF(D182/Summary!$C$4&gt;=25,E182,0)*D182</f>
        <v>580</v>
      </c>
      <c r="M182" s="27">
        <f>IF(AND(D182/Summary!$C$4&gt;0, D182/Summary!$C$4&lt;1),E182,0)</f>
        <v>0</v>
      </c>
      <c r="N182" s="27">
        <f t="shared" si="104"/>
        <v>0</v>
      </c>
      <c r="O182" s="27">
        <f>IF(D182/Summary!$C$4=1,1,0)*E182</f>
        <v>0</v>
      </c>
      <c r="P182" s="27">
        <f t="shared" si="105"/>
        <v>0</v>
      </c>
      <c r="Q182" s="27">
        <f>IF(AND(D182/Summary!$C$4&gt;1, D182/Summary!$C$4&lt;=2),1,0)*E182</f>
        <v>0</v>
      </c>
      <c r="R182" s="27">
        <f t="shared" si="106"/>
        <v>0</v>
      </c>
      <c r="S182" s="27">
        <f>IF(AND(D182/Summary!$C$4&gt;2,D182/Summary!$C$4&lt;=5),1,0)*E182</f>
        <v>0</v>
      </c>
      <c r="T182" s="27">
        <f t="shared" si="107"/>
        <v>0</v>
      </c>
      <c r="U182" s="27">
        <f>IF(AND(D182/Summary!$C$4&gt;5, D182/Summary!$C$4&lt;=10),1,0)*E182</f>
        <v>0</v>
      </c>
      <c r="V182" s="27">
        <f t="shared" si="108"/>
        <v>0</v>
      </c>
      <c r="W182" s="27">
        <f>IF(AND(D182/Summary!$C$4&gt;10, D182/Summary!$C$4&lt;=20),1,0)*E182</f>
        <v>0</v>
      </c>
      <c r="X182" s="27">
        <f t="shared" si="109"/>
        <v>0</v>
      </c>
      <c r="Y182" s="27">
        <f>IF(AND(D182/Summary!$C$4&gt;20, D182/Summary!$C$4&lt;=30),1,0)*E182</f>
        <v>0</v>
      </c>
      <c r="Z182" s="27">
        <f t="shared" si="110"/>
        <v>0</v>
      </c>
      <c r="AA182" s="27">
        <f>IF(AND(D182/Summary!$C$4&gt;30, D182/Summary!$C$4&lt;=50),1,0)*E182</f>
        <v>0</v>
      </c>
      <c r="AB182" s="27">
        <f t="shared" si="111"/>
        <v>0</v>
      </c>
      <c r="AC182" s="27">
        <f>IF(AND(D182/Summary!$C$4&gt;50, D182/Summary!$C$4&lt;=100),1,0)*E182</f>
        <v>10</v>
      </c>
      <c r="AD182" s="27">
        <f t="shared" si="112"/>
        <v>580</v>
      </c>
      <c r="AE182" s="27">
        <f>IF(D182/Summary!$C$4&gt;100,1,0)*E182</f>
        <v>0</v>
      </c>
      <c r="AF182" s="27">
        <f t="shared" si="113"/>
        <v>0</v>
      </c>
      <c r="AG182" s="19">
        <f t="shared" si="114"/>
        <v>0</v>
      </c>
      <c r="AH182" s="19">
        <f t="shared" si="115"/>
        <v>10</v>
      </c>
      <c r="AI182" s="19">
        <f t="shared" si="116"/>
        <v>0</v>
      </c>
      <c r="AJ182" s="27">
        <f t="shared" si="117"/>
        <v>1</v>
      </c>
      <c r="AK182" s="27">
        <f t="shared" si="118"/>
        <v>10</v>
      </c>
      <c r="AL182" s="27">
        <f t="shared" si="119"/>
        <v>580</v>
      </c>
      <c r="AM182">
        <f t="shared" si="120"/>
        <v>0</v>
      </c>
      <c r="AN182">
        <f t="shared" si="121"/>
        <v>0</v>
      </c>
      <c r="AO182">
        <f t="shared" si="122"/>
        <v>0</v>
      </c>
      <c r="AP182">
        <f t="shared" si="123"/>
        <v>0</v>
      </c>
      <c r="AQ182">
        <f t="shared" si="124"/>
        <v>0</v>
      </c>
      <c r="AR182">
        <f t="shared" si="125"/>
        <v>0</v>
      </c>
      <c r="AS182">
        <f t="shared" si="126"/>
        <v>0</v>
      </c>
      <c r="AT182">
        <f t="shared" si="127"/>
        <v>0</v>
      </c>
      <c r="AU182">
        <f t="shared" si="128"/>
        <v>0</v>
      </c>
      <c r="AV182">
        <f t="shared" si="129"/>
        <v>0</v>
      </c>
      <c r="AW182">
        <f t="shared" si="130"/>
        <v>0</v>
      </c>
      <c r="AX182">
        <f t="shared" si="131"/>
        <v>0</v>
      </c>
      <c r="AY182">
        <f t="shared" si="132"/>
        <v>0</v>
      </c>
      <c r="AZ182">
        <f t="shared" si="133"/>
        <v>0</v>
      </c>
      <c r="BA182">
        <f t="shared" si="134"/>
        <v>0</v>
      </c>
      <c r="BB182">
        <f t="shared" si="135"/>
        <v>0</v>
      </c>
      <c r="BC182">
        <f t="shared" si="136"/>
        <v>0</v>
      </c>
      <c r="BD182">
        <f t="shared" si="137"/>
        <v>10</v>
      </c>
      <c r="BE182">
        <f t="shared" si="138"/>
        <v>580</v>
      </c>
      <c r="BF182">
        <f t="shared" si="139"/>
        <v>0</v>
      </c>
      <c r="BG182">
        <f t="shared" si="140"/>
        <v>0</v>
      </c>
      <c r="BH182">
        <f t="shared" si="141"/>
        <v>0</v>
      </c>
      <c r="BI182">
        <f t="shared" si="142"/>
        <v>0</v>
      </c>
      <c r="BJ182">
        <f t="shared" si="143"/>
        <v>0</v>
      </c>
      <c r="BK182">
        <f t="shared" si="144"/>
        <v>0</v>
      </c>
      <c r="BL182">
        <v>0</v>
      </c>
      <c r="BM182" t="str">
        <f t="shared" si="151"/>
        <v>Huge Win</v>
      </c>
      <c r="BN182" s="32" t="str">
        <f t="shared" si="152"/>
        <v>Bonus Game A</v>
      </c>
      <c r="BO182">
        <f>(D182/Summary!$C$4-Summary!$C$8)^2*E182</f>
        <v>32684.089000000004</v>
      </c>
      <c r="BP182">
        <f t="shared" si="145"/>
        <v>0</v>
      </c>
      <c r="BQ182">
        <f t="shared" si="146"/>
        <v>0</v>
      </c>
      <c r="BR182">
        <f t="shared" si="147"/>
        <v>0</v>
      </c>
      <c r="BS182">
        <f t="shared" si="148"/>
        <v>0</v>
      </c>
    </row>
    <row r="183" spans="2:71">
      <c r="B183" s="16">
        <f>Tiers!B184</f>
        <v>181</v>
      </c>
      <c r="C183" s="17" t="str">
        <f>Tiers!Y184</f>
        <v>main-4|main-25|main-8|main-2|bonusA-3||||| x 1</v>
      </c>
      <c r="D183" s="18">
        <f>Tiers!C184</f>
        <v>52</v>
      </c>
      <c r="E183" s="19">
        <f>Frequency!E185</f>
        <v>10</v>
      </c>
      <c r="F183" s="19">
        <f t="shared" si="102"/>
        <v>520</v>
      </c>
      <c r="G183" s="19">
        <f>IF(Tiers!D184&gt;1,'Data Analysis'!E183,0)</f>
        <v>0</v>
      </c>
      <c r="H183" s="19">
        <f t="shared" si="103"/>
        <v>0</v>
      </c>
      <c r="I183" s="19">
        <f>IF(AND(D183/Summary!$C$4&gt;0, D183/Summary!$C$4&lt;5),E183,0) * D183</f>
        <v>0</v>
      </c>
      <c r="J183" s="19">
        <f>IF(AND(D183/Summary!$C$4&gt;= 5, D183/Summary!$C$4&lt;10),E183,0) * D183</f>
        <v>0</v>
      </c>
      <c r="K183" s="19">
        <f>IF(AND(D183/Summary!$C$4&gt;=10, D183/Summary!$C$4&lt;25),E183,0)*D183</f>
        <v>0</v>
      </c>
      <c r="L183" s="19">
        <f>IF(D183/Summary!$C$4&gt;=25,E183,0)*D183</f>
        <v>520</v>
      </c>
      <c r="M183" s="27">
        <f>IF(AND(D183/Summary!$C$4&gt;0, D183/Summary!$C$4&lt;1),E183,0)</f>
        <v>0</v>
      </c>
      <c r="N183" s="27">
        <f t="shared" si="104"/>
        <v>0</v>
      </c>
      <c r="O183" s="27">
        <f>IF(D183/Summary!$C$4=1,1,0)*E183</f>
        <v>0</v>
      </c>
      <c r="P183" s="27">
        <f t="shared" si="105"/>
        <v>0</v>
      </c>
      <c r="Q183" s="27">
        <f>IF(AND(D183/Summary!$C$4&gt;1, D183/Summary!$C$4&lt;=2),1,0)*E183</f>
        <v>0</v>
      </c>
      <c r="R183" s="27">
        <f t="shared" si="106"/>
        <v>0</v>
      </c>
      <c r="S183" s="27">
        <f>IF(AND(D183/Summary!$C$4&gt;2,D183/Summary!$C$4&lt;=5),1,0)*E183</f>
        <v>0</v>
      </c>
      <c r="T183" s="27">
        <f t="shared" si="107"/>
        <v>0</v>
      </c>
      <c r="U183" s="27">
        <f>IF(AND(D183/Summary!$C$4&gt;5, D183/Summary!$C$4&lt;=10),1,0)*E183</f>
        <v>0</v>
      </c>
      <c r="V183" s="27">
        <f t="shared" si="108"/>
        <v>0</v>
      </c>
      <c r="W183" s="27">
        <f>IF(AND(D183/Summary!$C$4&gt;10, D183/Summary!$C$4&lt;=20),1,0)*E183</f>
        <v>0</v>
      </c>
      <c r="X183" s="27">
        <f t="shared" si="109"/>
        <v>0</v>
      </c>
      <c r="Y183" s="27">
        <f>IF(AND(D183/Summary!$C$4&gt;20, D183/Summary!$C$4&lt;=30),1,0)*E183</f>
        <v>0</v>
      </c>
      <c r="Z183" s="27">
        <f t="shared" si="110"/>
        <v>0</v>
      </c>
      <c r="AA183" s="27">
        <f>IF(AND(D183/Summary!$C$4&gt;30, D183/Summary!$C$4&lt;=50),1,0)*E183</f>
        <v>0</v>
      </c>
      <c r="AB183" s="27">
        <f t="shared" si="111"/>
        <v>0</v>
      </c>
      <c r="AC183" s="27">
        <f>IF(AND(D183/Summary!$C$4&gt;50, D183/Summary!$C$4&lt;=100),1,0)*E183</f>
        <v>10</v>
      </c>
      <c r="AD183" s="27">
        <f t="shared" si="112"/>
        <v>520</v>
      </c>
      <c r="AE183" s="27">
        <f>IF(D183/Summary!$C$4&gt;100,1,0)*E183</f>
        <v>0</v>
      </c>
      <c r="AF183" s="27">
        <f t="shared" si="113"/>
        <v>0</v>
      </c>
      <c r="AG183" s="19">
        <f t="shared" si="114"/>
        <v>0</v>
      </c>
      <c r="AH183" s="19">
        <f t="shared" si="115"/>
        <v>10</v>
      </c>
      <c r="AI183" s="19">
        <f t="shared" si="116"/>
        <v>0</v>
      </c>
      <c r="AJ183" s="27">
        <f t="shared" si="117"/>
        <v>1</v>
      </c>
      <c r="AK183" s="27">
        <f t="shared" si="118"/>
        <v>10</v>
      </c>
      <c r="AL183" s="27">
        <f t="shared" si="119"/>
        <v>520</v>
      </c>
      <c r="AM183">
        <f t="shared" si="120"/>
        <v>0</v>
      </c>
      <c r="AN183">
        <f t="shared" si="121"/>
        <v>0</v>
      </c>
      <c r="AO183">
        <f t="shared" si="122"/>
        <v>0</v>
      </c>
      <c r="AP183">
        <f t="shared" si="123"/>
        <v>0</v>
      </c>
      <c r="AQ183">
        <f t="shared" si="124"/>
        <v>0</v>
      </c>
      <c r="AR183">
        <f t="shared" si="125"/>
        <v>0</v>
      </c>
      <c r="AS183">
        <f t="shared" si="126"/>
        <v>0</v>
      </c>
      <c r="AT183">
        <f t="shared" si="127"/>
        <v>0</v>
      </c>
      <c r="AU183">
        <f t="shared" si="128"/>
        <v>0</v>
      </c>
      <c r="AV183">
        <f t="shared" si="129"/>
        <v>0</v>
      </c>
      <c r="AW183">
        <f t="shared" si="130"/>
        <v>0</v>
      </c>
      <c r="AX183">
        <f t="shared" si="131"/>
        <v>0</v>
      </c>
      <c r="AY183">
        <f t="shared" si="132"/>
        <v>0</v>
      </c>
      <c r="AZ183">
        <f t="shared" si="133"/>
        <v>0</v>
      </c>
      <c r="BA183">
        <f t="shared" si="134"/>
        <v>0</v>
      </c>
      <c r="BB183">
        <f t="shared" si="135"/>
        <v>0</v>
      </c>
      <c r="BC183">
        <f t="shared" si="136"/>
        <v>0</v>
      </c>
      <c r="BD183">
        <f t="shared" si="137"/>
        <v>10</v>
      </c>
      <c r="BE183">
        <f t="shared" si="138"/>
        <v>520</v>
      </c>
      <c r="BF183">
        <f t="shared" si="139"/>
        <v>0</v>
      </c>
      <c r="BG183">
        <f t="shared" si="140"/>
        <v>0</v>
      </c>
      <c r="BH183">
        <f t="shared" si="141"/>
        <v>0</v>
      </c>
      <c r="BI183">
        <f t="shared" si="142"/>
        <v>0</v>
      </c>
      <c r="BJ183">
        <f t="shared" si="143"/>
        <v>0</v>
      </c>
      <c r="BK183">
        <f t="shared" si="144"/>
        <v>0</v>
      </c>
      <c r="BL183">
        <v>0</v>
      </c>
      <c r="BM183" t="str">
        <f t="shared" si="151"/>
        <v>Huge Win</v>
      </c>
      <c r="BN183" s="32" t="str">
        <f t="shared" si="152"/>
        <v>Bonus Game A</v>
      </c>
      <c r="BO183">
        <f>(D183/Summary!$C$4-Summary!$C$8)^2*E183</f>
        <v>26183.689000000006</v>
      </c>
      <c r="BP183">
        <f t="shared" si="145"/>
        <v>0</v>
      </c>
      <c r="BQ183">
        <f t="shared" si="146"/>
        <v>0</v>
      </c>
      <c r="BR183">
        <f t="shared" si="147"/>
        <v>0</v>
      </c>
      <c r="BS183">
        <f t="shared" si="148"/>
        <v>0</v>
      </c>
    </row>
    <row r="184" spans="2:71">
      <c r="B184" s="16">
        <f>Tiers!B185</f>
        <v>182</v>
      </c>
      <c r="C184" s="17" t="str">
        <f>Tiers!Y185</f>
        <v>main-3|main-31|main-4|main-16|main-3|bonusA-5|||| x 1</v>
      </c>
      <c r="D184" s="18">
        <f>Tiers!C185</f>
        <v>78.5</v>
      </c>
      <c r="E184" s="19">
        <f>Frequency!E186</f>
        <v>5</v>
      </c>
      <c r="F184" s="19">
        <f t="shared" si="102"/>
        <v>392.5</v>
      </c>
      <c r="G184" s="19">
        <f>IF(Tiers!D185&gt;1,'Data Analysis'!E184,0)</f>
        <v>0</v>
      </c>
      <c r="H184" s="19">
        <f t="shared" si="103"/>
        <v>0</v>
      </c>
      <c r="I184" s="19">
        <f>IF(AND(D184/Summary!$C$4&gt;0, D184/Summary!$C$4&lt;5),E184,0) * D184</f>
        <v>0</v>
      </c>
      <c r="J184" s="19">
        <f>IF(AND(D184/Summary!$C$4&gt;= 5, D184/Summary!$C$4&lt;10),E184,0) * D184</f>
        <v>0</v>
      </c>
      <c r="K184" s="19">
        <f>IF(AND(D184/Summary!$C$4&gt;=10, D184/Summary!$C$4&lt;25),E184,0)*D184</f>
        <v>0</v>
      </c>
      <c r="L184" s="19">
        <f>IF(D184/Summary!$C$4&gt;=25,E184,0)*D184</f>
        <v>392.5</v>
      </c>
      <c r="M184" s="27">
        <f>IF(AND(D184/Summary!$C$4&gt;0, D184/Summary!$C$4&lt;1),E184,0)</f>
        <v>0</v>
      </c>
      <c r="N184" s="27">
        <f t="shared" si="104"/>
        <v>0</v>
      </c>
      <c r="O184" s="27">
        <f>IF(D184/Summary!$C$4=1,1,0)*E184</f>
        <v>0</v>
      </c>
      <c r="P184" s="27">
        <f t="shared" si="105"/>
        <v>0</v>
      </c>
      <c r="Q184" s="27">
        <f>IF(AND(D184/Summary!$C$4&gt;1, D184/Summary!$C$4&lt;=2),1,0)*E184</f>
        <v>0</v>
      </c>
      <c r="R184" s="27">
        <f t="shared" si="106"/>
        <v>0</v>
      </c>
      <c r="S184" s="27">
        <f>IF(AND(D184/Summary!$C$4&gt;2,D184/Summary!$C$4&lt;=5),1,0)*E184</f>
        <v>0</v>
      </c>
      <c r="T184" s="27">
        <f t="shared" si="107"/>
        <v>0</v>
      </c>
      <c r="U184" s="27">
        <f>IF(AND(D184/Summary!$C$4&gt;5, D184/Summary!$C$4&lt;=10),1,0)*E184</f>
        <v>0</v>
      </c>
      <c r="V184" s="27">
        <f t="shared" si="108"/>
        <v>0</v>
      </c>
      <c r="W184" s="27">
        <f>IF(AND(D184/Summary!$C$4&gt;10, D184/Summary!$C$4&lt;=20),1,0)*E184</f>
        <v>0</v>
      </c>
      <c r="X184" s="27">
        <f t="shared" si="109"/>
        <v>0</v>
      </c>
      <c r="Y184" s="27">
        <f>IF(AND(D184/Summary!$C$4&gt;20, D184/Summary!$C$4&lt;=30),1,0)*E184</f>
        <v>0</v>
      </c>
      <c r="Z184" s="27">
        <f t="shared" si="110"/>
        <v>0</v>
      </c>
      <c r="AA184" s="27">
        <f>IF(AND(D184/Summary!$C$4&gt;30, D184/Summary!$C$4&lt;=50),1,0)*E184</f>
        <v>0</v>
      </c>
      <c r="AB184" s="27">
        <f t="shared" si="111"/>
        <v>0</v>
      </c>
      <c r="AC184" s="27">
        <f>IF(AND(D184/Summary!$C$4&gt;50, D184/Summary!$C$4&lt;=100),1,0)*E184</f>
        <v>5</v>
      </c>
      <c r="AD184" s="27">
        <f t="shared" si="112"/>
        <v>392.5</v>
      </c>
      <c r="AE184" s="27">
        <f>IF(D184/Summary!$C$4&gt;100,1,0)*E184</f>
        <v>0</v>
      </c>
      <c r="AF184" s="27">
        <f t="shared" si="113"/>
        <v>0</v>
      </c>
      <c r="AG184" s="19">
        <f t="shared" si="114"/>
        <v>0</v>
      </c>
      <c r="AH184" s="19">
        <f t="shared" si="115"/>
        <v>5</v>
      </c>
      <c r="AI184" s="19">
        <f t="shared" si="116"/>
        <v>0</v>
      </c>
      <c r="AJ184" s="27">
        <f t="shared" si="117"/>
        <v>1</v>
      </c>
      <c r="AK184" s="27">
        <f t="shared" si="118"/>
        <v>5</v>
      </c>
      <c r="AL184" s="27">
        <f t="shared" si="119"/>
        <v>392.5</v>
      </c>
      <c r="AM184">
        <f t="shared" si="120"/>
        <v>0</v>
      </c>
      <c r="AN184">
        <f t="shared" si="121"/>
        <v>0</v>
      </c>
      <c r="AO184">
        <f t="shared" si="122"/>
        <v>0</v>
      </c>
      <c r="AP184">
        <f t="shared" si="123"/>
        <v>0</v>
      </c>
      <c r="AQ184">
        <f t="shared" si="124"/>
        <v>0</v>
      </c>
      <c r="AR184">
        <f t="shared" si="125"/>
        <v>0</v>
      </c>
      <c r="AS184">
        <f t="shared" si="126"/>
        <v>0</v>
      </c>
      <c r="AT184">
        <f t="shared" si="127"/>
        <v>0</v>
      </c>
      <c r="AU184">
        <f t="shared" si="128"/>
        <v>0</v>
      </c>
      <c r="AV184">
        <f t="shared" si="129"/>
        <v>0</v>
      </c>
      <c r="AW184">
        <f t="shared" si="130"/>
        <v>0</v>
      </c>
      <c r="AX184">
        <f t="shared" si="131"/>
        <v>0</v>
      </c>
      <c r="AY184">
        <f t="shared" si="132"/>
        <v>0</v>
      </c>
      <c r="AZ184">
        <f t="shared" si="133"/>
        <v>0</v>
      </c>
      <c r="BA184">
        <f t="shared" si="134"/>
        <v>0</v>
      </c>
      <c r="BB184">
        <f t="shared" si="135"/>
        <v>0</v>
      </c>
      <c r="BC184">
        <f t="shared" si="136"/>
        <v>0</v>
      </c>
      <c r="BD184">
        <f t="shared" si="137"/>
        <v>5</v>
      </c>
      <c r="BE184">
        <f t="shared" si="138"/>
        <v>392.5</v>
      </c>
      <c r="BF184">
        <f t="shared" si="139"/>
        <v>0</v>
      </c>
      <c r="BG184">
        <f t="shared" si="140"/>
        <v>0</v>
      </c>
      <c r="BH184">
        <f t="shared" si="141"/>
        <v>0</v>
      </c>
      <c r="BI184">
        <f t="shared" si="142"/>
        <v>0</v>
      </c>
      <c r="BJ184">
        <f t="shared" si="143"/>
        <v>0</v>
      </c>
      <c r="BK184">
        <f t="shared" si="144"/>
        <v>0</v>
      </c>
      <c r="BL184">
        <v>0</v>
      </c>
      <c r="BM184" t="str">
        <f t="shared" si="151"/>
        <v>Huge Win</v>
      </c>
      <c r="BN184" s="32" t="str">
        <f t="shared" si="152"/>
        <v>Bonus Game A</v>
      </c>
      <c r="BO184">
        <f>(D184/Summary!$C$4-Summary!$C$8)^2*E184</f>
        <v>30163.144500000002</v>
      </c>
      <c r="BP184">
        <f t="shared" si="145"/>
        <v>0</v>
      </c>
      <c r="BQ184">
        <f t="shared" si="146"/>
        <v>0</v>
      </c>
      <c r="BR184">
        <f t="shared" si="147"/>
        <v>0</v>
      </c>
      <c r="BS184">
        <f t="shared" si="148"/>
        <v>0</v>
      </c>
    </row>
    <row r="185" spans="2:71">
      <c r="B185" s="16">
        <f>Tiers!B186</f>
        <v>183</v>
      </c>
      <c r="C185" s="17" t="str">
        <f>Tiers!Y186</f>
        <v>main-3|main-4|main-2|main-8|main-5|bonusA-3|||| x 1</v>
      </c>
      <c r="D185" s="18">
        <f>Tiers!C186</f>
        <v>35</v>
      </c>
      <c r="E185" s="19">
        <f>Frequency!E187</f>
        <v>19</v>
      </c>
      <c r="F185" s="19">
        <f t="shared" si="102"/>
        <v>665</v>
      </c>
      <c r="G185" s="19">
        <f>IF(Tiers!D186&gt;1,'Data Analysis'!E185,0)</f>
        <v>0</v>
      </c>
      <c r="H185" s="19">
        <f t="shared" si="103"/>
        <v>0</v>
      </c>
      <c r="I185" s="19">
        <f>IF(AND(D185/Summary!$C$4&gt;0, D185/Summary!$C$4&lt;5),E185,0) * D185</f>
        <v>0</v>
      </c>
      <c r="J185" s="19">
        <f>IF(AND(D185/Summary!$C$4&gt;= 5, D185/Summary!$C$4&lt;10),E185,0) * D185</f>
        <v>0</v>
      </c>
      <c r="K185" s="19">
        <f>IF(AND(D185/Summary!$C$4&gt;=10, D185/Summary!$C$4&lt;25),E185,0)*D185</f>
        <v>0</v>
      </c>
      <c r="L185" s="19">
        <f>IF(D185/Summary!$C$4&gt;=25,E185,0)*D185</f>
        <v>665</v>
      </c>
      <c r="M185" s="27">
        <f>IF(AND(D185/Summary!$C$4&gt;0, D185/Summary!$C$4&lt;1),E185,0)</f>
        <v>0</v>
      </c>
      <c r="N185" s="27">
        <f t="shared" si="104"/>
        <v>0</v>
      </c>
      <c r="O185" s="27">
        <f>IF(D185/Summary!$C$4=1,1,0)*E185</f>
        <v>0</v>
      </c>
      <c r="P185" s="27">
        <f t="shared" si="105"/>
        <v>0</v>
      </c>
      <c r="Q185" s="27">
        <f>IF(AND(D185/Summary!$C$4&gt;1, D185/Summary!$C$4&lt;=2),1,0)*E185</f>
        <v>0</v>
      </c>
      <c r="R185" s="27">
        <f t="shared" si="106"/>
        <v>0</v>
      </c>
      <c r="S185" s="27">
        <f>IF(AND(D185/Summary!$C$4&gt;2,D185/Summary!$C$4&lt;=5),1,0)*E185</f>
        <v>0</v>
      </c>
      <c r="T185" s="27">
        <f t="shared" si="107"/>
        <v>0</v>
      </c>
      <c r="U185" s="27">
        <f>IF(AND(D185/Summary!$C$4&gt;5, D185/Summary!$C$4&lt;=10),1,0)*E185</f>
        <v>0</v>
      </c>
      <c r="V185" s="27">
        <f t="shared" si="108"/>
        <v>0</v>
      </c>
      <c r="W185" s="27">
        <f>IF(AND(D185/Summary!$C$4&gt;10, D185/Summary!$C$4&lt;=20),1,0)*E185</f>
        <v>0</v>
      </c>
      <c r="X185" s="27">
        <f t="shared" si="109"/>
        <v>0</v>
      </c>
      <c r="Y185" s="27">
        <f>IF(AND(D185/Summary!$C$4&gt;20, D185/Summary!$C$4&lt;=30),1,0)*E185</f>
        <v>0</v>
      </c>
      <c r="Z185" s="27">
        <f t="shared" si="110"/>
        <v>0</v>
      </c>
      <c r="AA185" s="27">
        <f>IF(AND(D185/Summary!$C$4&gt;30, D185/Summary!$C$4&lt;=50),1,0)*E185</f>
        <v>19</v>
      </c>
      <c r="AB185" s="27">
        <f t="shared" si="111"/>
        <v>665</v>
      </c>
      <c r="AC185" s="27">
        <f>IF(AND(D185/Summary!$C$4&gt;50, D185/Summary!$C$4&lt;=100),1,0)*E185</f>
        <v>0</v>
      </c>
      <c r="AD185" s="27">
        <f t="shared" si="112"/>
        <v>0</v>
      </c>
      <c r="AE185" s="27">
        <f>IF(D185/Summary!$C$4&gt;100,1,0)*E185</f>
        <v>0</v>
      </c>
      <c r="AF185" s="27">
        <f t="shared" si="113"/>
        <v>0</v>
      </c>
      <c r="AG185" s="19">
        <f t="shared" si="114"/>
        <v>0</v>
      </c>
      <c r="AH185" s="19">
        <f t="shared" si="115"/>
        <v>19</v>
      </c>
      <c r="AI185" s="19">
        <f t="shared" si="116"/>
        <v>0</v>
      </c>
      <c r="AJ185" s="27">
        <f t="shared" si="117"/>
        <v>1</v>
      </c>
      <c r="AK185" s="27">
        <f t="shared" si="118"/>
        <v>19</v>
      </c>
      <c r="AL185" s="27">
        <f t="shared" si="119"/>
        <v>665</v>
      </c>
      <c r="AM185">
        <f t="shared" si="120"/>
        <v>0</v>
      </c>
      <c r="AN185">
        <f t="shared" si="121"/>
        <v>0</v>
      </c>
      <c r="AO185">
        <f t="shared" si="122"/>
        <v>0</v>
      </c>
      <c r="AP185">
        <f t="shared" si="123"/>
        <v>0</v>
      </c>
      <c r="AQ185">
        <f t="shared" si="124"/>
        <v>0</v>
      </c>
      <c r="AR185">
        <f t="shared" si="125"/>
        <v>0</v>
      </c>
      <c r="AS185">
        <f t="shared" si="126"/>
        <v>0</v>
      </c>
      <c r="AT185">
        <f t="shared" si="127"/>
        <v>0</v>
      </c>
      <c r="AU185">
        <f t="shared" si="128"/>
        <v>0</v>
      </c>
      <c r="AV185">
        <f t="shared" si="129"/>
        <v>0</v>
      </c>
      <c r="AW185">
        <f t="shared" si="130"/>
        <v>0</v>
      </c>
      <c r="AX185">
        <f t="shared" si="131"/>
        <v>0</v>
      </c>
      <c r="AY185">
        <f t="shared" si="132"/>
        <v>0</v>
      </c>
      <c r="AZ185">
        <f t="shared" si="133"/>
        <v>0</v>
      </c>
      <c r="BA185">
        <f t="shared" si="134"/>
        <v>0</v>
      </c>
      <c r="BB185">
        <f t="shared" si="135"/>
        <v>0</v>
      </c>
      <c r="BC185">
        <f t="shared" si="136"/>
        <v>0</v>
      </c>
      <c r="BD185">
        <f t="shared" si="137"/>
        <v>19</v>
      </c>
      <c r="BE185">
        <f t="shared" si="138"/>
        <v>665</v>
      </c>
      <c r="BF185">
        <f t="shared" si="139"/>
        <v>0</v>
      </c>
      <c r="BG185">
        <f t="shared" si="140"/>
        <v>0</v>
      </c>
      <c r="BH185">
        <f t="shared" si="141"/>
        <v>0</v>
      </c>
      <c r="BI185">
        <f t="shared" si="142"/>
        <v>0</v>
      </c>
      <c r="BJ185">
        <f t="shared" si="143"/>
        <v>0</v>
      </c>
      <c r="BK185">
        <f t="shared" si="144"/>
        <v>0</v>
      </c>
      <c r="BL185">
        <v>0</v>
      </c>
      <c r="BM185" t="str">
        <f t="shared" si="151"/>
        <v>Big Win</v>
      </c>
      <c r="BN185" s="32" t="str">
        <f t="shared" si="152"/>
        <v>Bonus Game A</v>
      </c>
      <c r="BO185">
        <f>(D185/Summary!$C$4-Summary!$C$8)^2*E185</f>
        <v>22184.189100000003</v>
      </c>
      <c r="BP185">
        <f t="shared" si="145"/>
        <v>0</v>
      </c>
      <c r="BQ185">
        <f t="shared" si="146"/>
        <v>0</v>
      </c>
      <c r="BR185">
        <f t="shared" si="147"/>
        <v>0</v>
      </c>
      <c r="BS185">
        <f t="shared" si="148"/>
        <v>0</v>
      </c>
    </row>
    <row r="186" spans="2:71">
      <c r="B186" s="16">
        <f>Tiers!B187</f>
        <v>184</v>
      </c>
      <c r="C186" s="17" t="str">
        <f>Tiers!Y187</f>
        <v>main-6|main-32|main-31|main-8|main-4|bonusA-0|||| x 1</v>
      </c>
      <c r="D186" s="18">
        <f>Tiers!C187</f>
        <v>34</v>
      </c>
      <c r="E186" s="19">
        <f>Frequency!E188</f>
        <v>16</v>
      </c>
      <c r="F186" s="19">
        <f t="shared" si="102"/>
        <v>544</v>
      </c>
      <c r="G186" s="19">
        <f>IF(Tiers!D187&gt;1,'Data Analysis'!E186,0)</f>
        <v>0</v>
      </c>
      <c r="H186" s="19">
        <f t="shared" si="103"/>
        <v>0</v>
      </c>
      <c r="I186" s="19">
        <f>IF(AND(D186/Summary!$C$4&gt;0, D186/Summary!$C$4&lt;5),E186,0) * D186</f>
        <v>0</v>
      </c>
      <c r="J186" s="19">
        <f>IF(AND(D186/Summary!$C$4&gt;= 5, D186/Summary!$C$4&lt;10),E186,0) * D186</f>
        <v>0</v>
      </c>
      <c r="K186" s="19">
        <f>IF(AND(D186/Summary!$C$4&gt;=10, D186/Summary!$C$4&lt;25),E186,0)*D186</f>
        <v>0</v>
      </c>
      <c r="L186" s="19">
        <f>IF(D186/Summary!$C$4&gt;=25,E186,0)*D186</f>
        <v>544</v>
      </c>
      <c r="M186" s="27">
        <f>IF(AND(D186/Summary!$C$4&gt;0, D186/Summary!$C$4&lt;1),E186,0)</f>
        <v>0</v>
      </c>
      <c r="N186" s="27">
        <f t="shared" si="104"/>
        <v>0</v>
      </c>
      <c r="O186" s="27">
        <f>IF(D186/Summary!$C$4=1,1,0)*E186</f>
        <v>0</v>
      </c>
      <c r="P186" s="27">
        <f t="shared" si="105"/>
        <v>0</v>
      </c>
      <c r="Q186" s="27">
        <f>IF(AND(D186/Summary!$C$4&gt;1, D186/Summary!$C$4&lt;=2),1,0)*E186</f>
        <v>0</v>
      </c>
      <c r="R186" s="27">
        <f t="shared" si="106"/>
        <v>0</v>
      </c>
      <c r="S186" s="27">
        <f>IF(AND(D186/Summary!$C$4&gt;2,D186/Summary!$C$4&lt;=5),1,0)*E186</f>
        <v>0</v>
      </c>
      <c r="T186" s="27">
        <f t="shared" si="107"/>
        <v>0</v>
      </c>
      <c r="U186" s="27">
        <f>IF(AND(D186/Summary!$C$4&gt;5, D186/Summary!$C$4&lt;=10),1,0)*E186</f>
        <v>0</v>
      </c>
      <c r="V186" s="27">
        <f t="shared" si="108"/>
        <v>0</v>
      </c>
      <c r="W186" s="27">
        <f>IF(AND(D186/Summary!$C$4&gt;10, D186/Summary!$C$4&lt;=20),1,0)*E186</f>
        <v>0</v>
      </c>
      <c r="X186" s="27">
        <f t="shared" si="109"/>
        <v>0</v>
      </c>
      <c r="Y186" s="27">
        <f>IF(AND(D186/Summary!$C$4&gt;20, D186/Summary!$C$4&lt;=30),1,0)*E186</f>
        <v>0</v>
      </c>
      <c r="Z186" s="27">
        <f t="shared" si="110"/>
        <v>0</v>
      </c>
      <c r="AA186" s="27">
        <f>IF(AND(D186/Summary!$C$4&gt;30, D186/Summary!$C$4&lt;=50),1,0)*E186</f>
        <v>16</v>
      </c>
      <c r="AB186" s="27">
        <f t="shared" si="111"/>
        <v>544</v>
      </c>
      <c r="AC186" s="27">
        <f>IF(AND(D186/Summary!$C$4&gt;50, D186/Summary!$C$4&lt;=100),1,0)*E186</f>
        <v>0</v>
      </c>
      <c r="AD186" s="27">
        <f t="shared" si="112"/>
        <v>0</v>
      </c>
      <c r="AE186" s="27">
        <f>IF(D186/Summary!$C$4&gt;100,1,0)*E186</f>
        <v>0</v>
      </c>
      <c r="AF186" s="27">
        <f t="shared" si="113"/>
        <v>0</v>
      </c>
      <c r="AG186" s="19">
        <f t="shared" si="114"/>
        <v>0</v>
      </c>
      <c r="AH186" s="19">
        <f t="shared" si="115"/>
        <v>16</v>
      </c>
      <c r="AI186" s="19">
        <f t="shared" si="116"/>
        <v>0</v>
      </c>
      <c r="AJ186" s="27">
        <f t="shared" si="117"/>
        <v>1</v>
      </c>
      <c r="AK186" s="27">
        <f t="shared" si="118"/>
        <v>16</v>
      </c>
      <c r="AL186" s="27">
        <f t="shared" si="119"/>
        <v>544</v>
      </c>
      <c r="AM186">
        <f t="shared" si="120"/>
        <v>0</v>
      </c>
      <c r="AN186">
        <f t="shared" si="121"/>
        <v>0</v>
      </c>
      <c r="AO186">
        <f t="shared" si="122"/>
        <v>0</v>
      </c>
      <c r="AP186">
        <f t="shared" si="123"/>
        <v>0</v>
      </c>
      <c r="AQ186">
        <f t="shared" si="124"/>
        <v>0</v>
      </c>
      <c r="AR186">
        <f t="shared" si="125"/>
        <v>0</v>
      </c>
      <c r="AS186">
        <f t="shared" si="126"/>
        <v>0</v>
      </c>
      <c r="AT186">
        <f t="shared" si="127"/>
        <v>0</v>
      </c>
      <c r="AU186">
        <f t="shared" si="128"/>
        <v>0</v>
      </c>
      <c r="AV186">
        <f t="shared" si="129"/>
        <v>0</v>
      </c>
      <c r="AW186">
        <f t="shared" si="130"/>
        <v>0</v>
      </c>
      <c r="AX186">
        <f t="shared" si="131"/>
        <v>0</v>
      </c>
      <c r="AY186">
        <f t="shared" si="132"/>
        <v>0</v>
      </c>
      <c r="AZ186">
        <f t="shared" si="133"/>
        <v>0</v>
      </c>
      <c r="BA186">
        <f t="shared" si="134"/>
        <v>0</v>
      </c>
      <c r="BB186">
        <f t="shared" si="135"/>
        <v>0</v>
      </c>
      <c r="BC186">
        <f t="shared" si="136"/>
        <v>0</v>
      </c>
      <c r="BD186">
        <f t="shared" si="137"/>
        <v>16</v>
      </c>
      <c r="BE186">
        <f t="shared" si="138"/>
        <v>544</v>
      </c>
      <c r="BF186">
        <f t="shared" si="139"/>
        <v>0</v>
      </c>
      <c r="BG186">
        <f t="shared" si="140"/>
        <v>0</v>
      </c>
      <c r="BH186">
        <f t="shared" si="141"/>
        <v>0</v>
      </c>
      <c r="BI186">
        <f t="shared" si="142"/>
        <v>0</v>
      </c>
      <c r="BJ186">
        <f t="shared" si="143"/>
        <v>0</v>
      </c>
      <c r="BK186">
        <f t="shared" si="144"/>
        <v>0</v>
      </c>
      <c r="BL186">
        <v>0</v>
      </c>
      <c r="BM186" t="str">
        <f t="shared" si="151"/>
        <v>Big Win</v>
      </c>
      <c r="BN186" s="32" t="str">
        <f t="shared" si="152"/>
        <v>Bonus Game A</v>
      </c>
      <c r="BO186">
        <f>(D186/Summary!$C$4-Summary!$C$8)^2*E186</f>
        <v>17603.982400000001</v>
      </c>
      <c r="BP186">
        <f t="shared" si="145"/>
        <v>0</v>
      </c>
      <c r="BQ186">
        <f t="shared" si="146"/>
        <v>0</v>
      </c>
      <c r="BR186">
        <f t="shared" si="147"/>
        <v>0</v>
      </c>
      <c r="BS186">
        <f t="shared" si="148"/>
        <v>0</v>
      </c>
    </row>
    <row r="187" spans="2:71">
      <c r="B187" s="16">
        <f>Tiers!B188</f>
        <v>185</v>
      </c>
      <c r="C187" s="17" t="str">
        <f>Tiers!Y188</f>
        <v>main-4|main-4|main-4|main-3|main-34|bonusA-4|||| x 1</v>
      </c>
      <c r="D187" s="18">
        <f>Tiers!C188</f>
        <v>55.5</v>
      </c>
      <c r="E187" s="19">
        <f>Frequency!E189</f>
        <v>10</v>
      </c>
      <c r="F187" s="19">
        <f t="shared" si="102"/>
        <v>555</v>
      </c>
      <c r="G187" s="19">
        <f>IF(Tiers!D188&gt;1,'Data Analysis'!E187,0)</f>
        <v>0</v>
      </c>
      <c r="H187" s="19">
        <f t="shared" si="103"/>
        <v>0</v>
      </c>
      <c r="I187" s="19">
        <f>IF(AND(D187/Summary!$C$4&gt;0, D187/Summary!$C$4&lt;5),E187,0) * D187</f>
        <v>0</v>
      </c>
      <c r="J187" s="19">
        <f>IF(AND(D187/Summary!$C$4&gt;= 5, D187/Summary!$C$4&lt;10),E187,0) * D187</f>
        <v>0</v>
      </c>
      <c r="K187" s="19">
        <f>IF(AND(D187/Summary!$C$4&gt;=10, D187/Summary!$C$4&lt;25),E187,0)*D187</f>
        <v>0</v>
      </c>
      <c r="L187" s="19">
        <f>IF(D187/Summary!$C$4&gt;=25,E187,0)*D187</f>
        <v>555</v>
      </c>
      <c r="M187" s="27">
        <f>IF(AND(D187/Summary!$C$4&gt;0, D187/Summary!$C$4&lt;1),E187,0)</f>
        <v>0</v>
      </c>
      <c r="N187" s="27">
        <f t="shared" si="104"/>
        <v>0</v>
      </c>
      <c r="O187" s="27">
        <f>IF(D187/Summary!$C$4=1,1,0)*E187</f>
        <v>0</v>
      </c>
      <c r="P187" s="27">
        <f t="shared" si="105"/>
        <v>0</v>
      </c>
      <c r="Q187" s="27">
        <f>IF(AND(D187/Summary!$C$4&gt;1, D187/Summary!$C$4&lt;=2),1,0)*E187</f>
        <v>0</v>
      </c>
      <c r="R187" s="27">
        <f t="shared" si="106"/>
        <v>0</v>
      </c>
      <c r="S187" s="27">
        <f>IF(AND(D187/Summary!$C$4&gt;2,D187/Summary!$C$4&lt;=5),1,0)*E187</f>
        <v>0</v>
      </c>
      <c r="T187" s="27">
        <f t="shared" si="107"/>
        <v>0</v>
      </c>
      <c r="U187" s="27">
        <f>IF(AND(D187/Summary!$C$4&gt;5, D187/Summary!$C$4&lt;=10),1,0)*E187</f>
        <v>0</v>
      </c>
      <c r="V187" s="27">
        <f t="shared" si="108"/>
        <v>0</v>
      </c>
      <c r="W187" s="27">
        <f>IF(AND(D187/Summary!$C$4&gt;10, D187/Summary!$C$4&lt;=20),1,0)*E187</f>
        <v>0</v>
      </c>
      <c r="X187" s="27">
        <f t="shared" si="109"/>
        <v>0</v>
      </c>
      <c r="Y187" s="27">
        <f>IF(AND(D187/Summary!$C$4&gt;20, D187/Summary!$C$4&lt;=30),1,0)*E187</f>
        <v>0</v>
      </c>
      <c r="Z187" s="27">
        <f t="shared" si="110"/>
        <v>0</v>
      </c>
      <c r="AA187" s="27">
        <f>IF(AND(D187/Summary!$C$4&gt;30, D187/Summary!$C$4&lt;=50),1,0)*E187</f>
        <v>0</v>
      </c>
      <c r="AB187" s="27">
        <f t="shared" si="111"/>
        <v>0</v>
      </c>
      <c r="AC187" s="27">
        <f>IF(AND(D187/Summary!$C$4&gt;50, D187/Summary!$C$4&lt;=100),1,0)*E187</f>
        <v>10</v>
      </c>
      <c r="AD187" s="27">
        <f t="shared" si="112"/>
        <v>555</v>
      </c>
      <c r="AE187" s="27">
        <f>IF(D187/Summary!$C$4&gt;100,1,0)*E187</f>
        <v>0</v>
      </c>
      <c r="AF187" s="27">
        <f t="shared" si="113"/>
        <v>0</v>
      </c>
      <c r="AG187" s="19">
        <f t="shared" si="114"/>
        <v>0</v>
      </c>
      <c r="AH187" s="19">
        <f t="shared" si="115"/>
        <v>10</v>
      </c>
      <c r="AI187" s="19">
        <f t="shared" si="116"/>
        <v>0</v>
      </c>
      <c r="AJ187" s="27">
        <f t="shared" si="117"/>
        <v>1</v>
      </c>
      <c r="AK187" s="27">
        <f t="shared" si="118"/>
        <v>10</v>
      </c>
      <c r="AL187" s="27">
        <f t="shared" si="119"/>
        <v>555</v>
      </c>
      <c r="AM187">
        <f t="shared" si="120"/>
        <v>0</v>
      </c>
      <c r="AN187">
        <f t="shared" si="121"/>
        <v>0</v>
      </c>
      <c r="AO187">
        <f t="shared" si="122"/>
        <v>0</v>
      </c>
      <c r="AP187">
        <f t="shared" si="123"/>
        <v>0</v>
      </c>
      <c r="AQ187">
        <f t="shared" si="124"/>
        <v>0</v>
      </c>
      <c r="AR187">
        <f t="shared" si="125"/>
        <v>0</v>
      </c>
      <c r="AS187">
        <f t="shared" si="126"/>
        <v>0</v>
      </c>
      <c r="AT187">
        <f t="shared" si="127"/>
        <v>0</v>
      </c>
      <c r="AU187">
        <f t="shared" si="128"/>
        <v>0</v>
      </c>
      <c r="AV187">
        <f t="shared" si="129"/>
        <v>0</v>
      </c>
      <c r="AW187">
        <f t="shared" si="130"/>
        <v>0</v>
      </c>
      <c r="AX187">
        <f t="shared" si="131"/>
        <v>0</v>
      </c>
      <c r="AY187">
        <f t="shared" si="132"/>
        <v>0</v>
      </c>
      <c r="AZ187">
        <f t="shared" si="133"/>
        <v>0</v>
      </c>
      <c r="BA187">
        <f t="shared" si="134"/>
        <v>0</v>
      </c>
      <c r="BB187">
        <f t="shared" si="135"/>
        <v>0</v>
      </c>
      <c r="BC187">
        <f t="shared" si="136"/>
        <v>0</v>
      </c>
      <c r="BD187">
        <f t="shared" si="137"/>
        <v>10</v>
      </c>
      <c r="BE187">
        <f t="shared" si="138"/>
        <v>555</v>
      </c>
      <c r="BF187">
        <f t="shared" si="139"/>
        <v>0</v>
      </c>
      <c r="BG187">
        <f t="shared" si="140"/>
        <v>0</v>
      </c>
      <c r="BH187">
        <f t="shared" si="141"/>
        <v>0</v>
      </c>
      <c r="BI187">
        <f t="shared" si="142"/>
        <v>0</v>
      </c>
      <c r="BJ187">
        <f t="shared" si="143"/>
        <v>0</v>
      </c>
      <c r="BK187">
        <f t="shared" si="144"/>
        <v>0</v>
      </c>
      <c r="BL187">
        <v>0</v>
      </c>
      <c r="BM187" t="str">
        <f t="shared" si="151"/>
        <v>Huge Win</v>
      </c>
      <c r="BN187" s="32" t="str">
        <f t="shared" si="152"/>
        <v>Bonus Game A</v>
      </c>
      <c r="BO187">
        <f>(D187/Summary!$C$4-Summary!$C$8)^2*E187</f>
        <v>29888.089</v>
      </c>
      <c r="BP187">
        <f t="shared" si="145"/>
        <v>0</v>
      </c>
      <c r="BQ187">
        <f t="shared" si="146"/>
        <v>0</v>
      </c>
      <c r="BR187">
        <f t="shared" si="147"/>
        <v>0</v>
      </c>
      <c r="BS187">
        <f t="shared" si="148"/>
        <v>0</v>
      </c>
    </row>
    <row r="188" spans="2:71">
      <c r="B188" s="16">
        <f>Tiers!B189</f>
        <v>186</v>
      </c>
      <c r="C188" s="17" t="str">
        <f>Tiers!Y189</f>
        <v>main-5|main-21|main-4|main-4|main-1|bonusA-4|||| x 1</v>
      </c>
      <c r="D188" s="18">
        <f>Tiers!C189</f>
        <v>37.200000000000003</v>
      </c>
      <c r="E188" s="19">
        <f>Frequency!E190</f>
        <v>17</v>
      </c>
      <c r="F188" s="19">
        <f t="shared" si="102"/>
        <v>632.40000000000009</v>
      </c>
      <c r="G188" s="19">
        <f>IF(Tiers!D189&gt;1,'Data Analysis'!E188,0)</f>
        <v>0</v>
      </c>
      <c r="H188" s="19">
        <f t="shared" si="103"/>
        <v>0</v>
      </c>
      <c r="I188" s="19">
        <f>IF(AND(D188/Summary!$C$4&gt;0, D188/Summary!$C$4&lt;5),E188,0) * D188</f>
        <v>0</v>
      </c>
      <c r="J188" s="19">
        <f>IF(AND(D188/Summary!$C$4&gt;= 5, D188/Summary!$C$4&lt;10),E188,0) * D188</f>
        <v>0</v>
      </c>
      <c r="K188" s="19">
        <f>IF(AND(D188/Summary!$C$4&gt;=10, D188/Summary!$C$4&lt;25),E188,0)*D188</f>
        <v>0</v>
      </c>
      <c r="L188" s="19">
        <f>IF(D188/Summary!$C$4&gt;=25,E188,0)*D188</f>
        <v>632.40000000000009</v>
      </c>
      <c r="M188" s="27">
        <f>IF(AND(D188/Summary!$C$4&gt;0, D188/Summary!$C$4&lt;1),E188,0)</f>
        <v>0</v>
      </c>
      <c r="N188" s="27">
        <f t="shared" si="104"/>
        <v>0</v>
      </c>
      <c r="O188" s="27">
        <f>IF(D188/Summary!$C$4=1,1,0)*E188</f>
        <v>0</v>
      </c>
      <c r="P188" s="27">
        <f t="shared" si="105"/>
        <v>0</v>
      </c>
      <c r="Q188" s="27">
        <f>IF(AND(D188/Summary!$C$4&gt;1, D188/Summary!$C$4&lt;=2),1,0)*E188</f>
        <v>0</v>
      </c>
      <c r="R188" s="27">
        <f t="shared" si="106"/>
        <v>0</v>
      </c>
      <c r="S188" s="27">
        <f>IF(AND(D188/Summary!$C$4&gt;2,D188/Summary!$C$4&lt;=5),1,0)*E188</f>
        <v>0</v>
      </c>
      <c r="T188" s="27">
        <f t="shared" si="107"/>
        <v>0</v>
      </c>
      <c r="U188" s="27">
        <f>IF(AND(D188/Summary!$C$4&gt;5, D188/Summary!$C$4&lt;=10),1,0)*E188</f>
        <v>0</v>
      </c>
      <c r="V188" s="27">
        <f t="shared" si="108"/>
        <v>0</v>
      </c>
      <c r="W188" s="27">
        <f>IF(AND(D188/Summary!$C$4&gt;10, D188/Summary!$C$4&lt;=20),1,0)*E188</f>
        <v>0</v>
      </c>
      <c r="X188" s="27">
        <f t="shared" si="109"/>
        <v>0</v>
      </c>
      <c r="Y188" s="27">
        <f>IF(AND(D188/Summary!$C$4&gt;20, D188/Summary!$C$4&lt;=30),1,0)*E188</f>
        <v>0</v>
      </c>
      <c r="Z188" s="27">
        <f t="shared" si="110"/>
        <v>0</v>
      </c>
      <c r="AA188" s="27">
        <f>IF(AND(D188/Summary!$C$4&gt;30, D188/Summary!$C$4&lt;=50),1,0)*E188</f>
        <v>17</v>
      </c>
      <c r="AB188" s="27">
        <f t="shared" si="111"/>
        <v>632.40000000000009</v>
      </c>
      <c r="AC188" s="27">
        <f>IF(AND(D188/Summary!$C$4&gt;50, D188/Summary!$C$4&lt;=100),1,0)*E188</f>
        <v>0</v>
      </c>
      <c r="AD188" s="27">
        <f t="shared" si="112"/>
        <v>0</v>
      </c>
      <c r="AE188" s="27">
        <f>IF(D188/Summary!$C$4&gt;100,1,0)*E188</f>
        <v>0</v>
      </c>
      <c r="AF188" s="27">
        <f t="shared" si="113"/>
        <v>0</v>
      </c>
      <c r="AG188" s="19">
        <f t="shared" si="114"/>
        <v>0</v>
      </c>
      <c r="AH188" s="19">
        <f t="shared" si="115"/>
        <v>17</v>
      </c>
      <c r="AI188" s="19">
        <f t="shared" si="116"/>
        <v>0</v>
      </c>
      <c r="AJ188" s="27">
        <f t="shared" si="117"/>
        <v>1</v>
      </c>
      <c r="AK188" s="27">
        <f t="shared" si="118"/>
        <v>17</v>
      </c>
      <c r="AL188" s="27">
        <f t="shared" si="119"/>
        <v>632.40000000000009</v>
      </c>
      <c r="AM188">
        <f t="shared" si="120"/>
        <v>0</v>
      </c>
      <c r="AN188">
        <f t="shared" si="121"/>
        <v>0</v>
      </c>
      <c r="AO188">
        <f t="shared" si="122"/>
        <v>0</v>
      </c>
      <c r="AP188">
        <f t="shared" si="123"/>
        <v>0</v>
      </c>
      <c r="AQ188">
        <f t="shared" si="124"/>
        <v>0</v>
      </c>
      <c r="AR188">
        <f t="shared" si="125"/>
        <v>0</v>
      </c>
      <c r="AS188">
        <f t="shared" si="126"/>
        <v>0</v>
      </c>
      <c r="AT188">
        <f t="shared" si="127"/>
        <v>0</v>
      </c>
      <c r="AU188">
        <f t="shared" si="128"/>
        <v>0</v>
      </c>
      <c r="AV188">
        <f t="shared" si="129"/>
        <v>0</v>
      </c>
      <c r="AW188">
        <f t="shared" si="130"/>
        <v>0</v>
      </c>
      <c r="AX188">
        <f t="shared" si="131"/>
        <v>0</v>
      </c>
      <c r="AY188">
        <f t="shared" si="132"/>
        <v>0</v>
      </c>
      <c r="AZ188">
        <f t="shared" si="133"/>
        <v>0</v>
      </c>
      <c r="BA188">
        <f t="shared" si="134"/>
        <v>0</v>
      </c>
      <c r="BB188">
        <f t="shared" si="135"/>
        <v>0</v>
      </c>
      <c r="BC188">
        <f t="shared" si="136"/>
        <v>0</v>
      </c>
      <c r="BD188">
        <f t="shared" si="137"/>
        <v>17</v>
      </c>
      <c r="BE188">
        <f t="shared" si="138"/>
        <v>632.40000000000009</v>
      </c>
      <c r="BF188">
        <f t="shared" si="139"/>
        <v>0</v>
      </c>
      <c r="BG188">
        <f t="shared" si="140"/>
        <v>0</v>
      </c>
      <c r="BH188">
        <f t="shared" si="141"/>
        <v>0</v>
      </c>
      <c r="BI188">
        <f t="shared" si="142"/>
        <v>0</v>
      </c>
      <c r="BJ188">
        <f t="shared" si="143"/>
        <v>0</v>
      </c>
      <c r="BK188">
        <f t="shared" si="144"/>
        <v>0</v>
      </c>
      <c r="BL188">
        <v>0</v>
      </c>
      <c r="BM188" t="str">
        <f t="shared" si="151"/>
        <v>Big Win</v>
      </c>
      <c r="BN188" s="32" t="str">
        <f t="shared" si="152"/>
        <v>Bonus Game A</v>
      </c>
      <c r="BO188">
        <f>(D188/Summary!$C$4-Summary!$C$8)^2*E188</f>
        <v>22487.207300000005</v>
      </c>
      <c r="BP188">
        <f t="shared" si="145"/>
        <v>0</v>
      </c>
      <c r="BQ188">
        <f t="shared" si="146"/>
        <v>0</v>
      </c>
      <c r="BR188">
        <f t="shared" si="147"/>
        <v>0</v>
      </c>
      <c r="BS188">
        <f t="shared" si="148"/>
        <v>0</v>
      </c>
    </row>
    <row r="189" spans="2:71">
      <c r="B189" s="16">
        <f>Tiers!B190</f>
        <v>187</v>
      </c>
      <c r="C189" s="17" t="str">
        <f>Tiers!Y190</f>
        <v>main-7|main-5|main-5|main-14|main-3|bonusA-3|||| x 1</v>
      </c>
      <c r="D189" s="18">
        <f>Tiers!C190</f>
        <v>43</v>
      </c>
      <c r="E189" s="19">
        <f>Frequency!E191</f>
        <v>17</v>
      </c>
      <c r="F189" s="19">
        <f t="shared" si="102"/>
        <v>731</v>
      </c>
      <c r="G189" s="19">
        <f>IF(Tiers!D190&gt;1,'Data Analysis'!E189,0)</f>
        <v>0</v>
      </c>
      <c r="H189" s="19">
        <f t="shared" si="103"/>
        <v>0</v>
      </c>
      <c r="I189" s="19">
        <f>IF(AND(D189/Summary!$C$4&gt;0, D189/Summary!$C$4&lt;5),E189,0) * D189</f>
        <v>0</v>
      </c>
      <c r="J189" s="19">
        <f>IF(AND(D189/Summary!$C$4&gt;= 5, D189/Summary!$C$4&lt;10),E189,0) * D189</f>
        <v>0</v>
      </c>
      <c r="K189" s="19">
        <f>IF(AND(D189/Summary!$C$4&gt;=10, D189/Summary!$C$4&lt;25),E189,0)*D189</f>
        <v>0</v>
      </c>
      <c r="L189" s="19">
        <f>IF(D189/Summary!$C$4&gt;=25,E189,0)*D189</f>
        <v>731</v>
      </c>
      <c r="M189" s="27">
        <f>IF(AND(D189/Summary!$C$4&gt;0, D189/Summary!$C$4&lt;1),E189,0)</f>
        <v>0</v>
      </c>
      <c r="N189" s="27">
        <f t="shared" si="104"/>
        <v>0</v>
      </c>
      <c r="O189" s="27">
        <f>IF(D189/Summary!$C$4=1,1,0)*E189</f>
        <v>0</v>
      </c>
      <c r="P189" s="27">
        <f t="shared" si="105"/>
        <v>0</v>
      </c>
      <c r="Q189" s="27">
        <f>IF(AND(D189/Summary!$C$4&gt;1, D189/Summary!$C$4&lt;=2),1,0)*E189</f>
        <v>0</v>
      </c>
      <c r="R189" s="27">
        <f t="shared" si="106"/>
        <v>0</v>
      </c>
      <c r="S189" s="27">
        <f>IF(AND(D189/Summary!$C$4&gt;2,D189/Summary!$C$4&lt;=5),1,0)*E189</f>
        <v>0</v>
      </c>
      <c r="T189" s="27">
        <f t="shared" si="107"/>
        <v>0</v>
      </c>
      <c r="U189" s="27">
        <f>IF(AND(D189/Summary!$C$4&gt;5, D189/Summary!$C$4&lt;=10),1,0)*E189</f>
        <v>0</v>
      </c>
      <c r="V189" s="27">
        <f t="shared" si="108"/>
        <v>0</v>
      </c>
      <c r="W189" s="27">
        <f>IF(AND(D189/Summary!$C$4&gt;10, D189/Summary!$C$4&lt;=20),1,0)*E189</f>
        <v>0</v>
      </c>
      <c r="X189" s="27">
        <f t="shared" si="109"/>
        <v>0</v>
      </c>
      <c r="Y189" s="27">
        <f>IF(AND(D189/Summary!$C$4&gt;20, D189/Summary!$C$4&lt;=30),1,0)*E189</f>
        <v>0</v>
      </c>
      <c r="Z189" s="27">
        <f t="shared" si="110"/>
        <v>0</v>
      </c>
      <c r="AA189" s="27">
        <f>IF(AND(D189/Summary!$C$4&gt;30, D189/Summary!$C$4&lt;=50),1,0)*E189</f>
        <v>17</v>
      </c>
      <c r="AB189" s="27">
        <f t="shared" si="111"/>
        <v>731</v>
      </c>
      <c r="AC189" s="27">
        <f>IF(AND(D189/Summary!$C$4&gt;50, D189/Summary!$C$4&lt;=100),1,0)*E189</f>
        <v>0</v>
      </c>
      <c r="AD189" s="27">
        <f t="shared" si="112"/>
        <v>0</v>
      </c>
      <c r="AE189" s="27">
        <f>IF(D189/Summary!$C$4&gt;100,1,0)*E189</f>
        <v>0</v>
      </c>
      <c r="AF189" s="27">
        <f t="shared" si="113"/>
        <v>0</v>
      </c>
      <c r="AG189" s="19">
        <f t="shared" si="114"/>
        <v>0</v>
      </c>
      <c r="AH189" s="19">
        <f t="shared" si="115"/>
        <v>17</v>
      </c>
      <c r="AI189" s="19">
        <f t="shared" si="116"/>
        <v>0</v>
      </c>
      <c r="AJ189" s="27">
        <f t="shared" si="117"/>
        <v>1</v>
      </c>
      <c r="AK189" s="27">
        <f t="shared" si="118"/>
        <v>17</v>
      </c>
      <c r="AL189" s="27">
        <f t="shared" si="119"/>
        <v>731</v>
      </c>
      <c r="AM189">
        <f t="shared" si="120"/>
        <v>0</v>
      </c>
      <c r="AN189">
        <f t="shared" si="121"/>
        <v>0</v>
      </c>
      <c r="AO189">
        <f t="shared" si="122"/>
        <v>0</v>
      </c>
      <c r="AP189">
        <f t="shared" si="123"/>
        <v>0</v>
      </c>
      <c r="AQ189">
        <f t="shared" si="124"/>
        <v>0</v>
      </c>
      <c r="AR189">
        <f t="shared" si="125"/>
        <v>0</v>
      </c>
      <c r="AS189">
        <f t="shared" si="126"/>
        <v>0</v>
      </c>
      <c r="AT189">
        <f t="shared" si="127"/>
        <v>0</v>
      </c>
      <c r="AU189">
        <f t="shared" si="128"/>
        <v>0</v>
      </c>
      <c r="AV189">
        <f t="shared" si="129"/>
        <v>0</v>
      </c>
      <c r="AW189">
        <f t="shared" si="130"/>
        <v>0</v>
      </c>
      <c r="AX189">
        <f t="shared" si="131"/>
        <v>0</v>
      </c>
      <c r="AY189">
        <f t="shared" si="132"/>
        <v>0</v>
      </c>
      <c r="AZ189">
        <f t="shared" si="133"/>
        <v>0</v>
      </c>
      <c r="BA189">
        <f t="shared" si="134"/>
        <v>0</v>
      </c>
      <c r="BB189">
        <f t="shared" si="135"/>
        <v>0</v>
      </c>
      <c r="BC189">
        <f t="shared" si="136"/>
        <v>0</v>
      </c>
      <c r="BD189">
        <f t="shared" si="137"/>
        <v>17</v>
      </c>
      <c r="BE189">
        <f t="shared" si="138"/>
        <v>731</v>
      </c>
      <c r="BF189">
        <f t="shared" si="139"/>
        <v>0</v>
      </c>
      <c r="BG189">
        <f t="shared" si="140"/>
        <v>0</v>
      </c>
      <c r="BH189">
        <f t="shared" si="141"/>
        <v>0</v>
      </c>
      <c r="BI189">
        <f t="shared" si="142"/>
        <v>0</v>
      </c>
      <c r="BJ189">
        <f t="shared" si="143"/>
        <v>0</v>
      </c>
      <c r="BK189">
        <f t="shared" si="144"/>
        <v>0</v>
      </c>
      <c r="BL189">
        <v>0</v>
      </c>
      <c r="BM189" t="str">
        <f t="shared" si="151"/>
        <v>Big Win</v>
      </c>
      <c r="BN189" s="32" t="str">
        <f t="shared" si="152"/>
        <v>Bonus Game A</v>
      </c>
      <c r="BO189">
        <f>(D189/Summary!$C$4-Summary!$C$8)^2*E189</f>
        <v>30231.251300000004</v>
      </c>
      <c r="BP189">
        <f t="shared" si="145"/>
        <v>0</v>
      </c>
      <c r="BQ189">
        <f t="shared" si="146"/>
        <v>0</v>
      </c>
      <c r="BR189">
        <f t="shared" si="147"/>
        <v>0</v>
      </c>
      <c r="BS189">
        <f t="shared" si="148"/>
        <v>0</v>
      </c>
    </row>
    <row r="190" spans="2:71">
      <c r="B190" s="16">
        <f>Tiers!B191</f>
        <v>188</v>
      </c>
      <c r="C190" s="17" t="str">
        <f>Tiers!Y191</f>
        <v>main-0|bonusA-3|||||||| x 20</v>
      </c>
      <c r="D190" s="18">
        <f>Tiers!C191</f>
        <v>27</v>
      </c>
      <c r="E190" s="19">
        <f>Frequency!E192</f>
        <v>200</v>
      </c>
      <c r="F190" s="19">
        <f t="shared" si="102"/>
        <v>5400</v>
      </c>
      <c r="G190" s="19">
        <f>IF(Tiers!D191&gt;1,'Data Analysis'!E190,0)</f>
        <v>200</v>
      </c>
      <c r="H190" s="19">
        <f t="shared" si="103"/>
        <v>5400</v>
      </c>
      <c r="I190" s="19">
        <f>IF(AND(D190/Summary!$C$4&gt;0, D190/Summary!$C$4&lt;5),E190,0) * D190</f>
        <v>0</v>
      </c>
      <c r="J190" s="19">
        <f>IF(AND(D190/Summary!$C$4&gt;= 5, D190/Summary!$C$4&lt;10),E190,0) * D190</f>
        <v>0</v>
      </c>
      <c r="K190" s="19">
        <f>IF(AND(D190/Summary!$C$4&gt;=10, D190/Summary!$C$4&lt;25),E190,0)*D190</f>
        <v>0</v>
      </c>
      <c r="L190" s="19">
        <f>IF(D190/Summary!$C$4&gt;=25,E190,0)*D190</f>
        <v>5400</v>
      </c>
      <c r="M190" s="27">
        <f>IF(AND(D190/Summary!$C$4&gt;0, D190/Summary!$C$4&lt;1),E190,0)</f>
        <v>0</v>
      </c>
      <c r="N190" s="27">
        <f t="shared" si="104"/>
        <v>0</v>
      </c>
      <c r="O190" s="27">
        <f>IF(D190/Summary!$C$4=1,1,0)*E190</f>
        <v>0</v>
      </c>
      <c r="P190" s="27">
        <f t="shared" si="105"/>
        <v>0</v>
      </c>
      <c r="Q190" s="27">
        <f>IF(AND(D190/Summary!$C$4&gt;1, D190/Summary!$C$4&lt;=2),1,0)*E190</f>
        <v>0</v>
      </c>
      <c r="R190" s="27">
        <f t="shared" si="106"/>
        <v>0</v>
      </c>
      <c r="S190" s="27">
        <f>IF(AND(D190/Summary!$C$4&gt;2,D190/Summary!$C$4&lt;=5),1,0)*E190</f>
        <v>0</v>
      </c>
      <c r="T190" s="27">
        <f t="shared" si="107"/>
        <v>0</v>
      </c>
      <c r="U190" s="27">
        <f>IF(AND(D190/Summary!$C$4&gt;5, D190/Summary!$C$4&lt;=10),1,0)*E190</f>
        <v>0</v>
      </c>
      <c r="V190" s="27">
        <f t="shared" si="108"/>
        <v>0</v>
      </c>
      <c r="W190" s="27">
        <f>IF(AND(D190/Summary!$C$4&gt;10, D190/Summary!$C$4&lt;=20),1,0)*E190</f>
        <v>0</v>
      </c>
      <c r="X190" s="27">
        <f t="shared" si="109"/>
        <v>0</v>
      </c>
      <c r="Y190" s="27">
        <f>IF(AND(D190/Summary!$C$4&gt;20, D190/Summary!$C$4&lt;=30),1,0)*E190</f>
        <v>200</v>
      </c>
      <c r="Z190" s="27">
        <f t="shared" si="110"/>
        <v>5400</v>
      </c>
      <c r="AA190" s="27">
        <f>IF(AND(D190/Summary!$C$4&gt;30, D190/Summary!$C$4&lt;=50),1,0)*E190</f>
        <v>0</v>
      </c>
      <c r="AB190" s="27">
        <f t="shared" si="111"/>
        <v>0</v>
      </c>
      <c r="AC190" s="27">
        <f>IF(AND(D190/Summary!$C$4&gt;50, D190/Summary!$C$4&lt;=100),1,0)*E190</f>
        <v>0</v>
      </c>
      <c r="AD190" s="27">
        <f t="shared" si="112"/>
        <v>0</v>
      </c>
      <c r="AE190" s="27">
        <f>IF(D190/Summary!$C$4&gt;100,1,0)*E190</f>
        <v>0</v>
      </c>
      <c r="AF190" s="27">
        <f t="shared" si="113"/>
        <v>0</v>
      </c>
      <c r="AG190" s="19">
        <f t="shared" si="114"/>
        <v>0</v>
      </c>
      <c r="AH190" s="19">
        <f t="shared" si="115"/>
        <v>200</v>
      </c>
      <c r="AI190" s="19">
        <f t="shared" si="116"/>
        <v>0</v>
      </c>
      <c r="AJ190" s="27">
        <f t="shared" si="117"/>
        <v>1</v>
      </c>
      <c r="AK190" s="27">
        <f t="shared" si="118"/>
        <v>200</v>
      </c>
      <c r="AL190" s="27">
        <f t="shared" si="119"/>
        <v>5400</v>
      </c>
      <c r="AM190">
        <f t="shared" si="120"/>
        <v>0</v>
      </c>
      <c r="AN190">
        <f t="shared" si="121"/>
        <v>0</v>
      </c>
      <c r="AO190">
        <f t="shared" si="122"/>
        <v>0</v>
      </c>
      <c r="AP190">
        <f t="shared" si="123"/>
        <v>0</v>
      </c>
      <c r="AQ190">
        <f t="shared" si="124"/>
        <v>0</v>
      </c>
      <c r="AR190">
        <f t="shared" si="125"/>
        <v>0</v>
      </c>
      <c r="AS190">
        <f t="shared" si="126"/>
        <v>0</v>
      </c>
      <c r="AT190">
        <f t="shared" si="127"/>
        <v>0</v>
      </c>
      <c r="AU190">
        <f t="shared" si="128"/>
        <v>0</v>
      </c>
      <c r="AV190">
        <f t="shared" si="129"/>
        <v>0</v>
      </c>
      <c r="AW190">
        <f t="shared" si="130"/>
        <v>0</v>
      </c>
      <c r="AX190">
        <f t="shared" si="131"/>
        <v>0</v>
      </c>
      <c r="AY190">
        <f t="shared" si="132"/>
        <v>0</v>
      </c>
      <c r="AZ190">
        <f t="shared" si="133"/>
        <v>0</v>
      </c>
      <c r="BA190">
        <f t="shared" si="134"/>
        <v>0</v>
      </c>
      <c r="BB190">
        <f t="shared" si="135"/>
        <v>0</v>
      </c>
      <c r="BC190">
        <f t="shared" si="136"/>
        <v>0</v>
      </c>
      <c r="BD190">
        <f t="shared" si="137"/>
        <v>200</v>
      </c>
      <c r="BE190">
        <f t="shared" si="138"/>
        <v>5400</v>
      </c>
      <c r="BF190">
        <f t="shared" si="139"/>
        <v>0</v>
      </c>
      <c r="BG190">
        <f t="shared" si="140"/>
        <v>0</v>
      </c>
      <c r="BH190">
        <f t="shared" si="141"/>
        <v>0</v>
      </c>
      <c r="BI190">
        <f t="shared" si="142"/>
        <v>0</v>
      </c>
      <c r="BJ190">
        <f t="shared" si="143"/>
        <v>0</v>
      </c>
      <c r="BK190">
        <f t="shared" si="144"/>
        <v>0</v>
      </c>
      <c r="BL190">
        <v>0</v>
      </c>
      <c r="BM190" t="str">
        <f t="shared" si="151"/>
        <v>Big Win</v>
      </c>
      <c r="BN190" s="32" t="str">
        <f t="shared" si="152"/>
        <v>Bonus Game A</v>
      </c>
      <c r="BO190">
        <f>(D190/Summary!$C$4-Summary!$C$8)^2*E190</f>
        <v>136973.78</v>
      </c>
      <c r="BP190">
        <f t="shared" si="145"/>
        <v>0</v>
      </c>
      <c r="BQ190">
        <f t="shared" si="146"/>
        <v>0</v>
      </c>
      <c r="BR190">
        <f t="shared" si="147"/>
        <v>0</v>
      </c>
      <c r="BS190">
        <f t="shared" si="148"/>
        <v>0</v>
      </c>
    </row>
    <row r="191" spans="2:71">
      <c r="B191" s="16">
        <f>Tiers!B192</f>
        <v>189</v>
      </c>
      <c r="C191" s="17" t="str">
        <f>Tiers!Y192</f>
        <v>main-1|bonusA-3|||||||| x 20</v>
      </c>
      <c r="D191" s="18">
        <f>Tiers!C192</f>
        <v>29</v>
      </c>
      <c r="E191" s="19">
        <f>Frequency!E193</f>
        <v>200</v>
      </c>
      <c r="F191" s="19">
        <f t="shared" si="102"/>
        <v>5800</v>
      </c>
      <c r="G191" s="19">
        <f>IF(Tiers!D192&gt;1,'Data Analysis'!E191,0)</f>
        <v>200</v>
      </c>
      <c r="H191" s="19">
        <f t="shared" si="103"/>
        <v>5800</v>
      </c>
      <c r="I191" s="19">
        <f>IF(AND(D191/Summary!$C$4&gt;0, D191/Summary!$C$4&lt;5),E191,0) * D191</f>
        <v>0</v>
      </c>
      <c r="J191" s="19">
        <f>IF(AND(D191/Summary!$C$4&gt;= 5, D191/Summary!$C$4&lt;10),E191,0) * D191</f>
        <v>0</v>
      </c>
      <c r="K191" s="19">
        <f>IF(AND(D191/Summary!$C$4&gt;=10, D191/Summary!$C$4&lt;25),E191,0)*D191</f>
        <v>0</v>
      </c>
      <c r="L191" s="19">
        <f>IF(D191/Summary!$C$4&gt;=25,E191,0)*D191</f>
        <v>5800</v>
      </c>
      <c r="M191" s="27">
        <f>IF(AND(D191/Summary!$C$4&gt;0, D191/Summary!$C$4&lt;1),E191,0)</f>
        <v>0</v>
      </c>
      <c r="N191" s="27">
        <f t="shared" si="104"/>
        <v>0</v>
      </c>
      <c r="O191" s="27">
        <f>IF(D191/Summary!$C$4=1,1,0)*E191</f>
        <v>0</v>
      </c>
      <c r="P191" s="27">
        <f t="shared" si="105"/>
        <v>0</v>
      </c>
      <c r="Q191" s="27">
        <f>IF(AND(D191/Summary!$C$4&gt;1, D191/Summary!$C$4&lt;=2),1,0)*E191</f>
        <v>0</v>
      </c>
      <c r="R191" s="27">
        <f t="shared" si="106"/>
        <v>0</v>
      </c>
      <c r="S191" s="27">
        <f>IF(AND(D191/Summary!$C$4&gt;2,D191/Summary!$C$4&lt;=5),1,0)*E191</f>
        <v>0</v>
      </c>
      <c r="T191" s="27">
        <f t="shared" si="107"/>
        <v>0</v>
      </c>
      <c r="U191" s="27">
        <f>IF(AND(D191/Summary!$C$4&gt;5, D191/Summary!$C$4&lt;=10),1,0)*E191</f>
        <v>0</v>
      </c>
      <c r="V191" s="27">
        <f t="shared" si="108"/>
        <v>0</v>
      </c>
      <c r="W191" s="27">
        <f>IF(AND(D191/Summary!$C$4&gt;10, D191/Summary!$C$4&lt;=20),1,0)*E191</f>
        <v>0</v>
      </c>
      <c r="X191" s="27">
        <f t="shared" si="109"/>
        <v>0</v>
      </c>
      <c r="Y191" s="27">
        <f>IF(AND(D191/Summary!$C$4&gt;20, D191/Summary!$C$4&lt;=30),1,0)*E191</f>
        <v>200</v>
      </c>
      <c r="Z191" s="27">
        <f t="shared" si="110"/>
        <v>5800</v>
      </c>
      <c r="AA191" s="27">
        <f>IF(AND(D191/Summary!$C$4&gt;30, D191/Summary!$C$4&lt;=50),1,0)*E191</f>
        <v>0</v>
      </c>
      <c r="AB191" s="27">
        <f t="shared" si="111"/>
        <v>0</v>
      </c>
      <c r="AC191" s="27">
        <f>IF(AND(D191/Summary!$C$4&gt;50, D191/Summary!$C$4&lt;=100),1,0)*E191</f>
        <v>0</v>
      </c>
      <c r="AD191" s="27">
        <f t="shared" si="112"/>
        <v>0</v>
      </c>
      <c r="AE191" s="27">
        <f>IF(D191/Summary!$C$4&gt;100,1,0)*E191</f>
        <v>0</v>
      </c>
      <c r="AF191" s="27">
        <f t="shared" si="113"/>
        <v>0</v>
      </c>
      <c r="AG191" s="19">
        <f t="shared" si="114"/>
        <v>0</v>
      </c>
      <c r="AH191" s="19">
        <f t="shared" si="115"/>
        <v>200</v>
      </c>
      <c r="AI191" s="19">
        <f t="shared" si="116"/>
        <v>0</v>
      </c>
      <c r="AJ191" s="27">
        <f t="shared" si="117"/>
        <v>1</v>
      </c>
      <c r="AK191" s="27">
        <f t="shared" si="118"/>
        <v>200</v>
      </c>
      <c r="AL191" s="27">
        <f t="shared" si="119"/>
        <v>5800</v>
      </c>
      <c r="AM191">
        <f t="shared" si="120"/>
        <v>0</v>
      </c>
      <c r="AN191">
        <f t="shared" si="121"/>
        <v>0</v>
      </c>
      <c r="AO191">
        <f t="shared" si="122"/>
        <v>0</v>
      </c>
      <c r="AP191">
        <f t="shared" si="123"/>
        <v>0</v>
      </c>
      <c r="AQ191">
        <f t="shared" si="124"/>
        <v>0</v>
      </c>
      <c r="AR191">
        <f t="shared" si="125"/>
        <v>0</v>
      </c>
      <c r="AS191">
        <f t="shared" si="126"/>
        <v>0</v>
      </c>
      <c r="AT191">
        <f t="shared" si="127"/>
        <v>0</v>
      </c>
      <c r="AU191">
        <f t="shared" si="128"/>
        <v>0</v>
      </c>
      <c r="AV191">
        <f t="shared" si="129"/>
        <v>0</v>
      </c>
      <c r="AW191">
        <f t="shared" si="130"/>
        <v>0</v>
      </c>
      <c r="AX191">
        <f t="shared" si="131"/>
        <v>0</v>
      </c>
      <c r="AY191">
        <f t="shared" si="132"/>
        <v>0</v>
      </c>
      <c r="AZ191">
        <f t="shared" si="133"/>
        <v>0</v>
      </c>
      <c r="BA191">
        <f t="shared" si="134"/>
        <v>0</v>
      </c>
      <c r="BB191">
        <f t="shared" si="135"/>
        <v>0</v>
      </c>
      <c r="BC191">
        <f t="shared" si="136"/>
        <v>0</v>
      </c>
      <c r="BD191">
        <f t="shared" si="137"/>
        <v>200</v>
      </c>
      <c r="BE191">
        <f t="shared" si="138"/>
        <v>5800</v>
      </c>
      <c r="BF191">
        <f t="shared" si="139"/>
        <v>0</v>
      </c>
      <c r="BG191">
        <f t="shared" si="140"/>
        <v>0</v>
      </c>
      <c r="BH191">
        <f t="shared" si="141"/>
        <v>0</v>
      </c>
      <c r="BI191">
        <f t="shared" si="142"/>
        <v>0</v>
      </c>
      <c r="BJ191">
        <f t="shared" si="143"/>
        <v>0</v>
      </c>
      <c r="BK191">
        <f t="shared" si="144"/>
        <v>0</v>
      </c>
      <c r="BL191">
        <v>0</v>
      </c>
      <c r="BM191" t="str">
        <f t="shared" si="151"/>
        <v>Big Win</v>
      </c>
      <c r="BN191" s="32" t="str">
        <f t="shared" si="152"/>
        <v>Bonus Game A</v>
      </c>
      <c r="BO191">
        <f>(D191/Summary!$C$4-Summary!$C$8)^2*E191</f>
        <v>158709.78000000003</v>
      </c>
      <c r="BP191">
        <f t="shared" si="145"/>
        <v>0</v>
      </c>
      <c r="BQ191">
        <f t="shared" si="146"/>
        <v>0</v>
      </c>
      <c r="BR191">
        <f t="shared" si="147"/>
        <v>0</v>
      </c>
      <c r="BS191">
        <f t="shared" si="148"/>
        <v>0</v>
      </c>
    </row>
    <row r="192" spans="2:71">
      <c r="B192" s="16">
        <f>Tiers!B193</f>
        <v>190</v>
      </c>
      <c r="C192" s="17" t="str">
        <f>Tiers!Y193</f>
        <v>main-2|bonusA-3|||||||| x 20</v>
      </c>
      <c r="D192" s="18">
        <f>Tiers!C193</f>
        <v>35</v>
      </c>
      <c r="E192" s="19">
        <f>Frequency!E194</f>
        <v>94</v>
      </c>
      <c r="F192" s="19">
        <f t="shared" si="102"/>
        <v>3290</v>
      </c>
      <c r="G192" s="19">
        <f>IF(Tiers!D193&gt;1,'Data Analysis'!E192,0)</f>
        <v>94</v>
      </c>
      <c r="H192" s="19">
        <f t="shared" si="103"/>
        <v>3290</v>
      </c>
      <c r="I192" s="19">
        <f>IF(AND(D192/Summary!$C$4&gt;0, D192/Summary!$C$4&lt;5),E192,0) * D192</f>
        <v>0</v>
      </c>
      <c r="J192" s="19">
        <f>IF(AND(D192/Summary!$C$4&gt;= 5, D192/Summary!$C$4&lt;10),E192,0) * D192</f>
        <v>0</v>
      </c>
      <c r="K192" s="19">
        <f>IF(AND(D192/Summary!$C$4&gt;=10, D192/Summary!$C$4&lt;25),E192,0)*D192</f>
        <v>0</v>
      </c>
      <c r="L192" s="19">
        <f>IF(D192/Summary!$C$4&gt;=25,E192,0)*D192</f>
        <v>3290</v>
      </c>
      <c r="M192" s="27">
        <f>IF(AND(D192/Summary!$C$4&gt;0, D192/Summary!$C$4&lt;1),E192,0)</f>
        <v>0</v>
      </c>
      <c r="N192" s="27">
        <f t="shared" si="104"/>
        <v>0</v>
      </c>
      <c r="O192" s="27">
        <f>IF(D192/Summary!$C$4=1,1,0)*E192</f>
        <v>0</v>
      </c>
      <c r="P192" s="27">
        <f t="shared" si="105"/>
        <v>0</v>
      </c>
      <c r="Q192" s="27">
        <f>IF(AND(D192/Summary!$C$4&gt;1, D192/Summary!$C$4&lt;=2),1,0)*E192</f>
        <v>0</v>
      </c>
      <c r="R192" s="27">
        <f t="shared" si="106"/>
        <v>0</v>
      </c>
      <c r="S192" s="27">
        <f>IF(AND(D192/Summary!$C$4&gt;2,D192/Summary!$C$4&lt;=5),1,0)*E192</f>
        <v>0</v>
      </c>
      <c r="T192" s="27">
        <f t="shared" si="107"/>
        <v>0</v>
      </c>
      <c r="U192" s="27">
        <f>IF(AND(D192/Summary!$C$4&gt;5, D192/Summary!$C$4&lt;=10),1,0)*E192</f>
        <v>0</v>
      </c>
      <c r="V192" s="27">
        <f t="shared" si="108"/>
        <v>0</v>
      </c>
      <c r="W192" s="27">
        <f>IF(AND(D192/Summary!$C$4&gt;10, D192/Summary!$C$4&lt;=20),1,0)*E192</f>
        <v>0</v>
      </c>
      <c r="X192" s="27">
        <f t="shared" si="109"/>
        <v>0</v>
      </c>
      <c r="Y192" s="27">
        <f>IF(AND(D192/Summary!$C$4&gt;20, D192/Summary!$C$4&lt;=30),1,0)*E192</f>
        <v>0</v>
      </c>
      <c r="Z192" s="27">
        <f t="shared" si="110"/>
        <v>0</v>
      </c>
      <c r="AA192" s="27">
        <f>IF(AND(D192/Summary!$C$4&gt;30, D192/Summary!$C$4&lt;=50),1,0)*E192</f>
        <v>94</v>
      </c>
      <c r="AB192" s="27">
        <f t="shared" si="111"/>
        <v>3290</v>
      </c>
      <c r="AC192" s="27">
        <f>IF(AND(D192/Summary!$C$4&gt;50, D192/Summary!$C$4&lt;=100),1,0)*E192</f>
        <v>0</v>
      </c>
      <c r="AD192" s="27">
        <f t="shared" si="112"/>
        <v>0</v>
      </c>
      <c r="AE192" s="27">
        <f>IF(D192/Summary!$C$4&gt;100,1,0)*E192</f>
        <v>0</v>
      </c>
      <c r="AF192" s="27">
        <f t="shared" si="113"/>
        <v>0</v>
      </c>
      <c r="AG192" s="19">
        <f t="shared" si="114"/>
        <v>0</v>
      </c>
      <c r="AH192" s="19">
        <f t="shared" si="115"/>
        <v>94</v>
      </c>
      <c r="AI192" s="19">
        <f t="shared" si="116"/>
        <v>0</v>
      </c>
      <c r="AJ192" s="27">
        <f t="shared" si="117"/>
        <v>1</v>
      </c>
      <c r="AK192" s="27">
        <f t="shared" si="118"/>
        <v>94</v>
      </c>
      <c r="AL192" s="27">
        <f t="shared" si="119"/>
        <v>3290</v>
      </c>
      <c r="AM192">
        <f t="shared" si="120"/>
        <v>0</v>
      </c>
      <c r="AN192">
        <f t="shared" si="121"/>
        <v>0</v>
      </c>
      <c r="AO192">
        <f t="shared" si="122"/>
        <v>0</v>
      </c>
      <c r="AP192">
        <f t="shared" si="123"/>
        <v>0</v>
      </c>
      <c r="AQ192">
        <f t="shared" si="124"/>
        <v>0</v>
      </c>
      <c r="AR192">
        <f t="shared" si="125"/>
        <v>0</v>
      </c>
      <c r="AS192">
        <f t="shared" si="126"/>
        <v>0</v>
      </c>
      <c r="AT192">
        <f t="shared" si="127"/>
        <v>0</v>
      </c>
      <c r="AU192">
        <f t="shared" si="128"/>
        <v>0</v>
      </c>
      <c r="AV192">
        <f t="shared" si="129"/>
        <v>0</v>
      </c>
      <c r="AW192">
        <f t="shared" si="130"/>
        <v>0</v>
      </c>
      <c r="AX192">
        <f t="shared" si="131"/>
        <v>0</v>
      </c>
      <c r="AY192">
        <f t="shared" si="132"/>
        <v>0</v>
      </c>
      <c r="AZ192">
        <f t="shared" si="133"/>
        <v>0</v>
      </c>
      <c r="BA192">
        <f t="shared" si="134"/>
        <v>0</v>
      </c>
      <c r="BB192">
        <f t="shared" si="135"/>
        <v>0</v>
      </c>
      <c r="BC192">
        <f t="shared" si="136"/>
        <v>0</v>
      </c>
      <c r="BD192">
        <f t="shared" si="137"/>
        <v>94</v>
      </c>
      <c r="BE192">
        <f t="shared" si="138"/>
        <v>3290</v>
      </c>
      <c r="BF192">
        <f t="shared" si="139"/>
        <v>0</v>
      </c>
      <c r="BG192">
        <f t="shared" si="140"/>
        <v>0</v>
      </c>
      <c r="BH192">
        <f t="shared" si="141"/>
        <v>0</v>
      </c>
      <c r="BI192">
        <f t="shared" si="142"/>
        <v>0</v>
      </c>
      <c r="BJ192">
        <f t="shared" si="143"/>
        <v>0</v>
      </c>
      <c r="BK192">
        <f t="shared" si="144"/>
        <v>0</v>
      </c>
      <c r="BL192">
        <v>0</v>
      </c>
      <c r="BM192" t="str">
        <f t="shared" si="151"/>
        <v>Big Win</v>
      </c>
      <c r="BN192" s="32" t="str">
        <f t="shared" si="152"/>
        <v>Bonus Game A</v>
      </c>
      <c r="BO192">
        <f>(D192/Summary!$C$4-Summary!$C$8)^2*E192</f>
        <v>109753.35660000001</v>
      </c>
      <c r="BP192">
        <f t="shared" si="145"/>
        <v>0</v>
      </c>
      <c r="BQ192">
        <f t="shared" si="146"/>
        <v>0</v>
      </c>
      <c r="BR192">
        <f t="shared" si="147"/>
        <v>0</v>
      </c>
      <c r="BS192">
        <f t="shared" si="148"/>
        <v>0</v>
      </c>
    </row>
    <row r="193" spans="2:71">
      <c r="B193" s="16">
        <f>Tiers!B194</f>
        <v>191</v>
      </c>
      <c r="C193" s="17" t="str">
        <f>Tiers!Y194</f>
        <v>main-3|bonusA-1|||||||| x 20</v>
      </c>
      <c r="D193" s="18">
        <f>Tiers!C194</f>
        <v>35</v>
      </c>
      <c r="E193" s="19">
        <f>Frequency!E195</f>
        <v>73</v>
      </c>
      <c r="F193" s="19">
        <f t="shared" si="102"/>
        <v>2555</v>
      </c>
      <c r="G193" s="19">
        <f>IF(Tiers!D194&gt;1,'Data Analysis'!E193,0)</f>
        <v>73</v>
      </c>
      <c r="H193" s="19">
        <f t="shared" si="103"/>
        <v>2555</v>
      </c>
      <c r="I193" s="19">
        <f>IF(AND(D193/Summary!$C$4&gt;0, D193/Summary!$C$4&lt;5),E193,0) * D193</f>
        <v>0</v>
      </c>
      <c r="J193" s="19">
        <f>IF(AND(D193/Summary!$C$4&gt;= 5, D193/Summary!$C$4&lt;10),E193,0) * D193</f>
        <v>0</v>
      </c>
      <c r="K193" s="19">
        <f>IF(AND(D193/Summary!$C$4&gt;=10, D193/Summary!$C$4&lt;25),E193,0)*D193</f>
        <v>0</v>
      </c>
      <c r="L193" s="19">
        <f>IF(D193/Summary!$C$4&gt;=25,E193,0)*D193</f>
        <v>2555</v>
      </c>
      <c r="M193" s="27">
        <f>IF(AND(D193/Summary!$C$4&gt;0, D193/Summary!$C$4&lt;1),E193,0)</f>
        <v>0</v>
      </c>
      <c r="N193" s="27">
        <f t="shared" si="104"/>
        <v>0</v>
      </c>
      <c r="O193" s="27">
        <f>IF(D193/Summary!$C$4=1,1,0)*E193</f>
        <v>0</v>
      </c>
      <c r="P193" s="27">
        <f t="shared" si="105"/>
        <v>0</v>
      </c>
      <c r="Q193" s="27">
        <f>IF(AND(D193/Summary!$C$4&gt;1, D193/Summary!$C$4&lt;=2),1,0)*E193</f>
        <v>0</v>
      </c>
      <c r="R193" s="27">
        <f t="shared" si="106"/>
        <v>0</v>
      </c>
      <c r="S193" s="27">
        <f>IF(AND(D193/Summary!$C$4&gt;2,D193/Summary!$C$4&lt;=5),1,0)*E193</f>
        <v>0</v>
      </c>
      <c r="T193" s="27">
        <f t="shared" si="107"/>
        <v>0</v>
      </c>
      <c r="U193" s="27">
        <f>IF(AND(D193/Summary!$C$4&gt;5, D193/Summary!$C$4&lt;=10),1,0)*E193</f>
        <v>0</v>
      </c>
      <c r="V193" s="27">
        <f t="shared" si="108"/>
        <v>0</v>
      </c>
      <c r="W193" s="27">
        <f>IF(AND(D193/Summary!$C$4&gt;10, D193/Summary!$C$4&lt;=20),1,0)*E193</f>
        <v>0</v>
      </c>
      <c r="X193" s="27">
        <f t="shared" si="109"/>
        <v>0</v>
      </c>
      <c r="Y193" s="27">
        <f>IF(AND(D193/Summary!$C$4&gt;20, D193/Summary!$C$4&lt;=30),1,0)*E193</f>
        <v>0</v>
      </c>
      <c r="Z193" s="27">
        <f t="shared" si="110"/>
        <v>0</v>
      </c>
      <c r="AA193" s="27">
        <f>IF(AND(D193/Summary!$C$4&gt;30, D193/Summary!$C$4&lt;=50),1,0)*E193</f>
        <v>73</v>
      </c>
      <c r="AB193" s="27">
        <f t="shared" si="111"/>
        <v>2555</v>
      </c>
      <c r="AC193" s="27">
        <f>IF(AND(D193/Summary!$C$4&gt;50, D193/Summary!$C$4&lt;=100),1,0)*E193</f>
        <v>0</v>
      </c>
      <c r="AD193" s="27">
        <f t="shared" si="112"/>
        <v>0</v>
      </c>
      <c r="AE193" s="27">
        <f>IF(D193/Summary!$C$4&gt;100,1,0)*E193</f>
        <v>0</v>
      </c>
      <c r="AF193" s="27">
        <f t="shared" si="113"/>
        <v>0</v>
      </c>
      <c r="AG193" s="19">
        <f t="shared" si="114"/>
        <v>0</v>
      </c>
      <c r="AH193" s="19">
        <f t="shared" si="115"/>
        <v>73</v>
      </c>
      <c r="AI193" s="19">
        <f t="shared" si="116"/>
        <v>0</v>
      </c>
      <c r="AJ193" s="27">
        <f t="shared" si="117"/>
        <v>1</v>
      </c>
      <c r="AK193" s="27">
        <f t="shared" si="118"/>
        <v>73</v>
      </c>
      <c r="AL193" s="27">
        <f t="shared" si="119"/>
        <v>2555</v>
      </c>
      <c r="AM193">
        <f t="shared" si="120"/>
        <v>0</v>
      </c>
      <c r="AN193">
        <f t="shared" si="121"/>
        <v>0</v>
      </c>
      <c r="AO193">
        <f t="shared" si="122"/>
        <v>0</v>
      </c>
      <c r="AP193">
        <f t="shared" si="123"/>
        <v>0</v>
      </c>
      <c r="AQ193">
        <f t="shared" si="124"/>
        <v>0</v>
      </c>
      <c r="AR193">
        <f t="shared" si="125"/>
        <v>0</v>
      </c>
      <c r="AS193">
        <f t="shared" si="126"/>
        <v>0</v>
      </c>
      <c r="AT193">
        <f t="shared" si="127"/>
        <v>0</v>
      </c>
      <c r="AU193">
        <f t="shared" si="128"/>
        <v>0</v>
      </c>
      <c r="AV193">
        <f t="shared" si="129"/>
        <v>0</v>
      </c>
      <c r="AW193">
        <f t="shared" si="130"/>
        <v>0</v>
      </c>
      <c r="AX193">
        <f t="shared" si="131"/>
        <v>0</v>
      </c>
      <c r="AY193">
        <f t="shared" si="132"/>
        <v>0</v>
      </c>
      <c r="AZ193">
        <f t="shared" si="133"/>
        <v>0</v>
      </c>
      <c r="BA193">
        <f t="shared" si="134"/>
        <v>0</v>
      </c>
      <c r="BB193">
        <f t="shared" si="135"/>
        <v>0</v>
      </c>
      <c r="BC193">
        <f t="shared" si="136"/>
        <v>0</v>
      </c>
      <c r="BD193">
        <f t="shared" si="137"/>
        <v>73</v>
      </c>
      <c r="BE193">
        <f t="shared" si="138"/>
        <v>2555</v>
      </c>
      <c r="BF193">
        <f t="shared" si="139"/>
        <v>0</v>
      </c>
      <c r="BG193">
        <f t="shared" si="140"/>
        <v>0</v>
      </c>
      <c r="BH193">
        <f t="shared" si="141"/>
        <v>0</v>
      </c>
      <c r="BI193">
        <f t="shared" si="142"/>
        <v>0</v>
      </c>
      <c r="BJ193">
        <f t="shared" si="143"/>
        <v>0</v>
      </c>
      <c r="BK193">
        <f t="shared" si="144"/>
        <v>0</v>
      </c>
      <c r="BL193">
        <v>0</v>
      </c>
      <c r="BM193" t="str">
        <f t="shared" si="151"/>
        <v>Big Win</v>
      </c>
      <c r="BN193" s="32" t="str">
        <f t="shared" si="152"/>
        <v>Bonus Game A</v>
      </c>
      <c r="BO193">
        <f>(D193/Summary!$C$4-Summary!$C$8)^2*E193</f>
        <v>85233.98970000002</v>
      </c>
      <c r="BP193">
        <f t="shared" si="145"/>
        <v>0</v>
      </c>
      <c r="BQ193">
        <f t="shared" si="146"/>
        <v>0</v>
      </c>
      <c r="BR193">
        <f t="shared" si="147"/>
        <v>0</v>
      </c>
      <c r="BS193">
        <f t="shared" si="148"/>
        <v>0</v>
      </c>
    </row>
    <row r="194" spans="2:71">
      <c r="B194" s="16">
        <f>Tiers!B195</f>
        <v>192</v>
      </c>
      <c r="C194" s="17" t="str">
        <f>Tiers!Y195</f>
        <v>main-4|bonusA-1|||||||| x 20</v>
      </c>
      <c r="D194" s="18">
        <f>Tiers!C195</f>
        <v>45</v>
      </c>
      <c r="E194" s="19">
        <f>Frequency!E196</f>
        <v>100</v>
      </c>
      <c r="F194" s="19">
        <f t="shared" ref="F194:F257" si="153">E194*D194</f>
        <v>4500</v>
      </c>
      <c r="G194" s="19">
        <f>IF(Tiers!D195&gt;1,'Data Analysis'!E194,0)</f>
        <v>100</v>
      </c>
      <c r="H194" s="19">
        <f t="shared" ref="H194:H257" si="154">G194*D194</f>
        <v>4500</v>
      </c>
      <c r="I194" s="19">
        <f>IF(AND(D194/Summary!$C$4&gt;0, D194/Summary!$C$4&lt;5),E194,0) * D194</f>
        <v>0</v>
      </c>
      <c r="J194" s="19">
        <f>IF(AND(D194/Summary!$C$4&gt;= 5, D194/Summary!$C$4&lt;10),E194,0) * D194</f>
        <v>0</v>
      </c>
      <c r="K194" s="19">
        <f>IF(AND(D194/Summary!$C$4&gt;=10, D194/Summary!$C$4&lt;25),E194,0)*D194</f>
        <v>0</v>
      </c>
      <c r="L194" s="19">
        <f>IF(D194/Summary!$C$4&gt;=25,E194,0)*D194</f>
        <v>4500</v>
      </c>
      <c r="M194" s="27">
        <f>IF(AND(D194/Summary!$C$4&gt;0, D194/Summary!$C$4&lt;1),E194,0)</f>
        <v>0</v>
      </c>
      <c r="N194" s="27">
        <f t="shared" ref="N194:N257" si="155">IF(M194&gt;0,D194*E194,0)</f>
        <v>0</v>
      </c>
      <c r="O194" s="27">
        <f>IF(D194/Summary!$C$4=1,1,0)*E194</f>
        <v>0</v>
      </c>
      <c r="P194" s="27">
        <f t="shared" ref="P194:P257" si="156">IF(O194&gt;0,D194*E194,0)</f>
        <v>0</v>
      </c>
      <c r="Q194" s="27">
        <f>IF(AND(D194/Summary!$C$4&gt;1, D194/Summary!$C$4&lt;=2),1,0)*E194</f>
        <v>0</v>
      </c>
      <c r="R194" s="27">
        <f t="shared" ref="R194:R257" si="157">IF(Q194&gt;0,D194*E194,0)</f>
        <v>0</v>
      </c>
      <c r="S194" s="27">
        <f>IF(AND(D194/Summary!$C$4&gt;2,D194/Summary!$C$4&lt;=5),1,0)*E194</f>
        <v>0</v>
      </c>
      <c r="T194" s="27">
        <f t="shared" ref="T194:T257" si="158">IF(S194&gt;0,D194*E194,0)</f>
        <v>0</v>
      </c>
      <c r="U194" s="27">
        <f>IF(AND(D194/Summary!$C$4&gt;5, D194/Summary!$C$4&lt;=10),1,0)*E194</f>
        <v>0</v>
      </c>
      <c r="V194" s="27">
        <f t="shared" ref="V194:V257" si="159">IF(U194&gt;0,D194*E194,0)</f>
        <v>0</v>
      </c>
      <c r="W194" s="27">
        <f>IF(AND(D194/Summary!$C$4&gt;10, D194/Summary!$C$4&lt;=20),1,0)*E194</f>
        <v>0</v>
      </c>
      <c r="X194" s="27">
        <f t="shared" ref="X194:X257" si="160">IF(W194&gt;0,D194*E194,0)</f>
        <v>0</v>
      </c>
      <c r="Y194" s="27">
        <f>IF(AND(D194/Summary!$C$4&gt;20, D194/Summary!$C$4&lt;=30),1,0)*E194</f>
        <v>0</v>
      </c>
      <c r="Z194" s="27">
        <f t="shared" ref="Z194:Z257" si="161">IF(Y194&gt;0,D194*E194,0)</f>
        <v>0</v>
      </c>
      <c r="AA194" s="27">
        <f>IF(AND(D194/Summary!$C$4&gt;30, D194/Summary!$C$4&lt;=50),1,0)*E194</f>
        <v>100</v>
      </c>
      <c r="AB194" s="27">
        <f t="shared" ref="AB194:AB257" si="162">IF(AA194&gt;0,D194*E194,0)</f>
        <v>4500</v>
      </c>
      <c r="AC194" s="27">
        <f>IF(AND(D194/Summary!$C$4&gt;50, D194/Summary!$C$4&lt;=100),1,0)*E194</f>
        <v>0</v>
      </c>
      <c r="AD194" s="27">
        <f t="shared" ref="AD194:AD257" si="163">IF(AC194&gt;0,D194*E194,0)</f>
        <v>0</v>
      </c>
      <c r="AE194" s="27">
        <f>IF(D194/Summary!$C$4&gt;100,1,0)*E194</f>
        <v>0</v>
      </c>
      <c r="AF194" s="27">
        <f t="shared" ref="AF194:AF257" si="164">IF(AE194&gt;0,D194*E194,0)</f>
        <v>0</v>
      </c>
      <c r="AG194" s="19">
        <f t="shared" ref="AG194:AG257" si="165">IF(AV194&gt;0,E194,0)</f>
        <v>0</v>
      </c>
      <c r="AH194" s="19">
        <f t="shared" ref="AH194:AH257" si="166">IF(BD194&gt;0,E194,0)</f>
        <v>100</v>
      </c>
      <c r="AI194" s="19">
        <f t="shared" ref="AI194:AI257" si="167">IF(BJ194&gt;0,E194,0)</f>
        <v>0</v>
      </c>
      <c r="AJ194" s="27">
        <f t="shared" ref="AJ194:AJ257" si="168">IF(ISNUMBER(SEARCH("|||||||||",C194)),0,1)</f>
        <v>1</v>
      </c>
      <c r="AK194" s="27">
        <f t="shared" ref="AK194:AK257" si="169">IF(AJ194=1, E194,0)</f>
        <v>100</v>
      </c>
      <c r="AL194" s="27">
        <f t="shared" ref="AL194:AL257" si="170">IF(AK194&gt;0,D194*E194,0)</f>
        <v>4500</v>
      </c>
      <c r="AM194">
        <f t="shared" ref="AM194:AM257" si="171">IF(ISNUMBER(SEARCH("Wild",C194)),1,0)</f>
        <v>0</v>
      </c>
      <c r="AN194">
        <f t="shared" ref="AN194:AN257" si="172">IF(AM194=1, E194,0)</f>
        <v>0</v>
      </c>
      <c r="AO194">
        <f t="shared" ref="AO194:AO257" si="173">IF(AN194&gt;0,D194*E194,0)</f>
        <v>0</v>
      </c>
      <c r="AP194">
        <f t="shared" ref="AP194:AP257" si="174">IF(ISNUMBER(SEARCH("Wild-",C194)),1,0)</f>
        <v>0</v>
      </c>
      <c r="AQ194">
        <f t="shared" ref="AQ194:AQ257" si="175">IF(AP194=1, E194,0)</f>
        <v>0</v>
      </c>
      <c r="AR194">
        <f t="shared" ref="AR194:AR257" si="176">IF(AQ194&gt;0,D194*E194,0)</f>
        <v>0</v>
      </c>
      <c r="AS194">
        <f t="shared" ref="AS194:AS257" si="177">IF(ISNUMBER(SEARCH("WildX",C194)),1,0)</f>
        <v>0</v>
      </c>
      <c r="AT194">
        <f t="shared" ref="AT194:AT257" si="178">IF(AS194=1, E194,0)</f>
        <v>0</v>
      </c>
      <c r="AU194">
        <f t="shared" ref="AU194:AU257" si="179">IF(AT194&gt;0,D194*E194,0)</f>
        <v>0</v>
      </c>
      <c r="AV194">
        <f t="shared" ref="AV194:AV257" si="180">IF(ISNUMBER(SEARCH("freeplayA",C194)),E194,0)</f>
        <v>0</v>
      </c>
      <c r="AW194">
        <f t="shared" ref="AW194:AW257" si="181">AV194*D194</f>
        <v>0</v>
      </c>
      <c r="AX194">
        <f t="shared" ref="AX194:AX257" si="182">IF(ISNUMBER(SEARCH("FreePlayB",C194)),E194,0)</f>
        <v>0</v>
      </c>
      <c r="AY194">
        <f t="shared" ref="AY194:AY257" si="183">AX194*D194</f>
        <v>0</v>
      </c>
      <c r="AZ194">
        <f t="shared" ref="AZ194:AZ257" si="184">IF(ISNUMBER(SEARCH("FreePlayC",C194)),E194,0)</f>
        <v>0</v>
      </c>
      <c r="BA194">
        <f t="shared" ref="BA194:BA257" si="185">AZ194*D194</f>
        <v>0</v>
      </c>
      <c r="BB194">
        <f t="shared" ref="BB194:BB257" si="186">IF(ISNUMBER(SEARCH("FreePlayD",C194)),E194,0)</f>
        <v>0</v>
      </c>
      <c r="BC194">
        <f t="shared" ref="BC194:BC257" si="187">BB194*D194</f>
        <v>0</v>
      </c>
      <c r="BD194">
        <f t="shared" ref="BD194:BD257" si="188">IF(ISNUMBER(SEARCH("bonusA",C194)),E194,0)</f>
        <v>100</v>
      </c>
      <c r="BE194">
        <f t="shared" ref="BE194:BE257" si="189">BD194*D194</f>
        <v>4500</v>
      </c>
      <c r="BF194">
        <f t="shared" ref="BF194:BF257" si="190">IF(ISNUMBER(SEARCH("BonusB",C194)),E194,0)</f>
        <v>0</v>
      </c>
      <c r="BG194">
        <f t="shared" ref="BG194:BG257" si="191">BF194*D194</f>
        <v>0</v>
      </c>
      <c r="BH194">
        <f t="shared" ref="BH194:BH257" si="192">IF(ISNUMBER(SEARCH("BonusC",C194)),E194,0)</f>
        <v>0</v>
      </c>
      <c r="BI194">
        <f t="shared" ref="BI194:BI257" si="193">BH194*D194</f>
        <v>0</v>
      </c>
      <c r="BJ194">
        <f t="shared" ref="BJ194:BJ257" si="194">IF(ISNUMBER(SEARCH("Instant",C194)),E194,0)</f>
        <v>0</v>
      </c>
      <c r="BK194">
        <f t="shared" ref="BK194:BK257" si="195">BJ194*D194</f>
        <v>0</v>
      </c>
      <c r="BL194">
        <v>0</v>
      </c>
      <c r="BM194" t="str">
        <f>IF(D194 &lt; $D$367, $C$367,
      IF(D194 = $D$368, $C$368,
          IF(D194 &lt; $D$369, $C$369,
              IF(D194 &lt; $D$370, $C$370,
                 IF(D194 &lt; $D$371, $C$371, $C$372)))))</f>
        <v>Big Win</v>
      </c>
      <c r="BN194" s="32" t="str">
        <f>IF(AV194 &gt; 0,$C$376,
      IF(AX194 &gt; 0,$C$377,
          IF(AZ194 &gt; 0,$C$378,
             IF(BB194 &gt; 0,$C$379,
              IF(BD194 &gt; 0,$C$380,
                  IF(BF194 &gt; 0,$C$381,
                     IF(BH194 &gt; 0,$C$382,
                        IF(BJ194 &gt; 0,$C$383,
                           IF(ISNUMBER(SEARCH("|||||||||",C194)), $C$384,$C$385)))))))))</f>
        <v>Bonus Game A</v>
      </c>
      <c r="BO194">
        <f>(D194/Summary!$C$4-Summary!$C$8)^2*E194</f>
        <v>195098.89</v>
      </c>
      <c r="BP194">
        <f t="shared" ref="BP194:BP257" si="196">IF(AV194=1, E194*D194,0)</f>
        <v>0</v>
      </c>
      <c r="BQ194">
        <f t="shared" ref="BQ194:BQ257" si="197">IF(BD194=1, E194*D194,0)</f>
        <v>0</v>
      </c>
      <c r="BR194">
        <f t="shared" ref="BR194:BR257" si="198">IF(BJ194=1, D194*E194,0)</f>
        <v>0</v>
      </c>
      <c r="BS194">
        <f t="shared" ref="BS194:BS257" si="199">IF(BL194&gt;0,BL194*E194,0)</f>
        <v>0</v>
      </c>
    </row>
    <row r="195" spans="2:71">
      <c r="B195" s="16">
        <f>Tiers!B196</f>
        <v>193</v>
      </c>
      <c r="C195" s="17" t="str">
        <f>Tiers!Y196</f>
        <v>main-5|bonusA-3|||||||| x 20</v>
      </c>
      <c r="D195" s="18">
        <f>Tiers!C196</f>
        <v>65</v>
      </c>
      <c r="E195" s="19">
        <f>Frequency!E197</f>
        <v>5</v>
      </c>
      <c r="F195" s="19">
        <f t="shared" si="153"/>
        <v>325</v>
      </c>
      <c r="G195" s="19">
        <f>IF(Tiers!D196&gt;1,'Data Analysis'!E195,0)</f>
        <v>5</v>
      </c>
      <c r="H195" s="19">
        <f t="shared" si="154"/>
        <v>325</v>
      </c>
      <c r="I195" s="19">
        <f>IF(AND(D195/Summary!$C$4&gt;0, D195/Summary!$C$4&lt;5),E195,0) * D195</f>
        <v>0</v>
      </c>
      <c r="J195" s="19">
        <f>IF(AND(D195/Summary!$C$4&gt;= 5, D195/Summary!$C$4&lt;10),E195,0) * D195</f>
        <v>0</v>
      </c>
      <c r="K195" s="19">
        <f>IF(AND(D195/Summary!$C$4&gt;=10, D195/Summary!$C$4&lt;25),E195,0)*D195</f>
        <v>0</v>
      </c>
      <c r="L195" s="19">
        <f>IF(D195/Summary!$C$4&gt;=25,E195,0)*D195</f>
        <v>325</v>
      </c>
      <c r="M195" s="27">
        <f>IF(AND(D195/Summary!$C$4&gt;0, D195/Summary!$C$4&lt;1),E195,0)</f>
        <v>0</v>
      </c>
      <c r="N195" s="27">
        <f t="shared" si="155"/>
        <v>0</v>
      </c>
      <c r="O195" s="27">
        <f>IF(D195/Summary!$C$4=1,1,0)*E195</f>
        <v>0</v>
      </c>
      <c r="P195" s="27">
        <f t="shared" si="156"/>
        <v>0</v>
      </c>
      <c r="Q195" s="27">
        <f>IF(AND(D195/Summary!$C$4&gt;1, D195/Summary!$C$4&lt;=2),1,0)*E195</f>
        <v>0</v>
      </c>
      <c r="R195" s="27">
        <f t="shared" si="157"/>
        <v>0</v>
      </c>
      <c r="S195" s="27">
        <f>IF(AND(D195/Summary!$C$4&gt;2,D195/Summary!$C$4&lt;=5),1,0)*E195</f>
        <v>0</v>
      </c>
      <c r="T195" s="27">
        <f t="shared" si="158"/>
        <v>0</v>
      </c>
      <c r="U195" s="27">
        <f>IF(AND(D195/Summary!$C$4&gt;5, D195/Summary!$C$4&lt;=10),1,0)*E195</f>
        <v>0</v>
      </c>
      <c r="V195" s="27">
        <f t="shared" si="159"/>
        <v>0</v>
      </c>
      <c r="W195" s="27">
        <f>IF(AND(D195/Summary!$C$4&gt;10, D195/Summary!$C$4&lt;=20),1,0)*E195</f>
        <v>0</v>
      </c>
      <c r="X195" s="27">
        <f t="shared" si="160"/>
        <v>0</v>
      </c>
      <c r="Y195" s="27">
        <f>IF(AND(D195/Summary!$C$4&gt;20, D195/Summary!$C$4&lt;=30),1,0)*E195</f>
        <v>0</v>
      </c>
      <c r="Z195" s="27">
        <f t="shared" si="161"/>
        <v>0</v>
      </c>
      <c r="AA195" s="27">
        <f>IF(AND(D195/Summary!$C$4&gt;30, D195/Summary!$C$4&lt;=50),1,0)*E195</f>
        <v>0</v>
      </c>
      <c r="AB195" s="27">
        <f t="shared" si="162"/>
        <v>0</v>
      </c>
      <c r="AC195" s="27">
        <f>IF(AND(D195/Summary!$C$4&gt;50, D195/Summary!$C$4&lt;=100),1,0)*E195</f>
        <v>5</v>
      </c>
      <c r="AD195" s="27">
        <f t="shared" si="163"/>
        <v>325</v>
      </c>
      <c r="AE195" s="27">
        <f>IF(D195/Summary!$C$4&gt;100,1,0)*E195</f>
        <v>0</v>
      </c>
      <c r="AF195" s="27">
        <f t="shared" si="164"/>
        <v>0</v>
      </c>
      <c r="AG195" s="19">
        <f t="shared" si="165"/>
        <v>0</v>
      </c>
      <c r="AH195" s="19">
        <f t="shared" si="166"/>
        <v>5</v>
      </c>
      <c r="AI195" s="19">
        <f t="shared" si="167"/>
        <v>0</v>
      </c>
      <c r="AJ195" s="27">
        <f t="shared" si="168"/>
        <v>1</v>
      </c>
      <c r="AK195" s="27">
        <f t="shared" si="169"/>
        <v>5</v>
      </c>
      <c r="AL195" s="27">
        <f t="shared" si="170"/>
        <v>325</v>
      </c>
      <c r="AM195">
        <f t="shared" si="171"/>
        <v>0</v>
      </c>
      <c r="AN195">
        <f t="shared" si="172"/>
        <v>0</v>
      </c>
      <c r="AO195">
        <f t="shared" si="173"/>
        <v>0</v>
      </c>
      <c r="AP195">
        <f t="shared" si="174"/>
        <v>0</v>
      </c>
      <c r="AQ195">
        <f t="shared" si="175"/>
        <v>0</v>
      </c>
      <c r="AR195">
        <f t="shared" si="176"/>
        <v>0</v>
      </c>
      <c r="AS195">
        <f t="shared" si="177"/>
        <v>0</v>
      </c>
      <c r="AT195">
        <f t="shared" si="178"/>
        <v>0</v>
      </c>
      <c r="AU195">
        <f t="shared" si="179"/>
        <v>0</v>
      </c>
      <c r="AV195">
        <f t="shared" si="180"/>
        <v>0</v>
      </c>
      <c r="AW195">
        <f t="shared" si="181"/>
        <v>0</v>
      </c>
      <c r="AX195">
        <f t="shared" si="182"/>
        <v>0</v>
      </c>
      <c r="AY195">
        <f t="shared" si="183"/>
        <v>0</v>
      </c>
      <c r="AZ195">
        <f t="shared" si="184"/>
        <v>0</v>
      </c>
      <c r="BA195">
        <f t="shared" si="185"/>
        <v>0</v>
      </c>
      <c r="BB195">
        <f t="shared" si="186"/>
        <v>0</v>
      </c>
      <c r="BC195">
        <f t="shared" si="187"/>
        <v>0</v>
      </c>
      <c r="BD195">
        <f t="shared" si="188"/>
        <v>5</v>
      </c>
      <c r="BE195">
        <f t="shared" si="189"/>
        <v>325</v>
      </c>
      <c r="BF195">
        <f t="shared" si="190"/>
        <v>0</v>
      </c>
      <c r="BG195">
        <f t="shared" si="191"/>
        <v>0</v>
      </c>
      <c r="BH195">
        <f t="shared" si="192"/>
        <v>0</v>
      </c>
      <c r="BI195">
        <f t="shared" si="193"/>
        <v>0</v>
      </c>
      <c r="BJ195">
        <f t="shared" si="194"/>
        <v>0</v>
      </c>
      <c r="BK195">
        <f t="shared" si="195"/>
        <v>0</v>
      </c>
      <c r="BL195">
        <v>0</v>
      </c>
      <c r="BM195" t="str">
        <f t="shared" ref="BM195:BM226" si="200">IF(D195 &lt; $D$367, $C$367,
IF(D195 = $D$368, $C$368,
IF(D195 &lt; $D$369, $C$369,
IF(D195 &lt; $D$370, $C$370,
IF(D195 &lt; $D$371, $C$371, $C$372)))))</f>
        <v>Huge Win</v>
      </c>
      <c r="BN195" s="32" t="str">
        <f t="shared" ref="BN195:BN226" si="201">IF(AV195 &gt; 0,$C$376,
IF(AX195 &gt; 0,$C$377,
IF(AZ195 &gt; 0,$C$378,
IF(BB195 &gt; 0,$C$379,
IF(BD195 &gt; 0,$C$380,
IF(BF195 &gt; 0,$C$381,
IF(BH195 &gt; 0,$C$382,
IF(BJ195 &gt; 0,$C$383,
IF(ISNUMBER(SEARCH("|||||||||",C195)), $C$384,$C$385)))))))))</f>
        <v>Bonus Game A</v>
      </c>
      <c r="BO195">
        <f>(D195/Summary!$C$4-Summary!$C$8)^2*E195</f>
        <v>20588.944500000001</v>
      </c>
      <c r="BP195">
        <f t="shared" si="196"/>
        <v>0</v>
      </c>
      <c r="BQ195">
        <f t="shared" si="197"/>
        <v>0</v>
      </c>
      <c r="BR195">
        <f t="shared" si="198"/>
        <v>0</v>
      </c>
      <c r="BS195">
        <f t="shared" si="199"/>
        <v>0</v>
      </c>
    </row>
    <row r="196" spans="2:71">
      <c r="B196" s="16">
        <f>Tiers!B197</f>
        <v>194</v>
      </c>
      <c r="C196" s="17" t="str">
        <f>Tiers!Y197</f>
        <v>main-10|bonusA-0|||||||| x 20</v>
      </c>
      <c r="D196" s="18">
        <f>Tiers!C197</f>
        <v>30</v>
      </c>
      <c r="E196" s="19">
        <f>Frequency!E198</f>
        <v>100</v>
      </c>
      <c r="F196" s="19">
        <f t="shared" si="153"/>
        <v>3000</v>
      </c>
      <c r="G196" s="19">
        <f>IF(Tiers!D197&gt;1,'Data Analysis'!E196,0)</f>
        <v>100</v>
      </c>
      <c r="H196" s="19">
        <f t="shared" si="154"/>
        <v>3000</v>
      </c>
      <c r="I196" s="19">
        <f>IF(AND(D196/Summary!$C$4&gt;0, D196/Summary!$C$4&lt;5),E196,0) * D196</f>
        <v>0</v>
      </c>
      <c r="J196" s="19">
        <f>IF(AND(D196/Summary!$C$4&gt;= 5, D196/Summary!$C$4&lt;10),E196,0) * D196</f>
        <v>0</v>
      </c>
      <c r="K196" s="19">
        <f>IF(AND(D196/Summary!$C$4&gt;=10, D196/Summary!$C$4&lt;25),E196,0)*D196</f>
        <v>0</v>
      </c>
      <c r="L196" s="19">
        <f>IF(D196/Summary!$C$4&gt;=25,E196,0)*D196</f>
        <v>3000</v>
      </c>
      <c r="M196" s="27">
        <f>IF(AND(D196/Summary!$C$4&gt;0, D196/Summary!$C$4&lt;1),E196,0)</f>
        <v>0</v>
      </c>
      <c r="N196" s="27">
        <f t="shared" si="155"/>
        <v>0</v>
      </c>
      <c r="O196" s="27">
        <f>IF(D196/Summary!$C$4=1,1,0)*E196</f>
        <v>0</v>
      </c>
      <c r="P196" s="27">
        <f t="shared" si="156"/>
        <v>0</v>
      </c>
      <c r="Q196" s="27">
        <f>IF(AND(D196/Summary!$C$4&gt;1, D196/Summary!$C$4&lt;=2),1,0)*E196</f>
        <v>0</v>
      </c>
      <c r="R196" s="27">
        <f t="shared" si="157"/>
        <v>0</v>
      </c>
      <c r="S196" s="27">
        <f>IF(AND(D196/Summary!$C$4&gt;2,D196/Summary!$C$4&lt;=5),1,0)*E196</f>
        <v>0</v>
      </c>
      <c r="T196" s="27">
        <f t="shared" si="158"/>
        <v>0</v>
      </c>
      <c r="U196" s="27">
        <f>IF(AND(D196/Summary!$C$4&gt;5, D196/Summary!$C$4&lt;=10),1,0)*E196</f>
        <v>0</v>
      </c>
      <c r="V196" s="27">
        <f t="shared" si="159"/>
        <v>0</v>
      </c>
      <c r="W196" s="27">
        <f>IF(AND(D196/Summary!$C$4&gt;10, D196/Summary!$C$4&lt;=20),1,0)*E196</f>
        <v>0</v>
      </c>
      <c r="X196" s="27">
        <f t="shared" si="160"/>
        <v>0</v>
      </c>
      <c r="Y196" s="27">
        <f>IF(AND(D196/Summary!$C$4&gt;20, D196/Summary!$C$4&lt;=30),1,0)*E196</f>
        <v>100</v>
      </c>
      <c r="Z196" s="27">
        <f t="shared" si="161"/>
        <v>3000</v>
      </c>
      <c r="AA196" s="27">
        <f>IF(AND(D196/Summary!$C$4&gt;30, D196/Summary!$C$4&lt;=50),1,0)*E196</f>
        <v>0</v>
      </c>
      <c r="AB196" s="27">
        <f t="shared" si="162"/>
        <v>0</v>
      </c>
      <c r="AC196" s="27">
        <f>IF(AND(D196/Summary!$C$4&gt;50, D196/Summary!$C$4&lt;=100),1,0)*E196</f>
        <v>0</v>
      </c>
      <c r="AD196" s="27">
        <f t="shared" si="163"/>
        <v>0</v>
      </c>
      <c r="AE196" s="27">
        <f>IF(D196/Summary!$C$4&gt;100,1,0)*E196</f>
        <v>0</v>
      </c>
      <c r="AF196" s="27">
        <f t="shared" si="164"/>
        <v>0</v>
      </c>
      <c r="AG196" s="19">
        <f t="shared" si="165"/>
        <v>0</v>
      </c>
      <c r="AH196" s="19">
        <f t="shared" si="166"/>
        <v>100</v>
      </c>
      <c r="AI196" s="19">
        <f t="shared" si="167"/>
        <v>0</v>
      </c>
      <c r="AJ196" s="27">
        <f t="shared" si="168"/>
        <v>1</v>
      </c>
      <c r="AK196" s="27">
        <f t="shared" si="169"/>
        <v>100</v>
      </c>
      <c r="AL196" s="27">
        <f t="shared" si="170"/>
        <v>3000</v>
      </c>
      <c r="AM196">
        <f t="shared" si="171"/>
        <v>0</v>
      </c>
      <c r="AN196">
        <f t="shared" si="172"/>
        <v>0</v>
      </c>
      <c r="AO196">
        <f t="shared" si="173"/>
        <v>0</v>
      </c>
      <c r="AP196">
        <f t="shared" si="174"/>
        <v>0</v>
      </c>
      <c r="AQ196">
        <f t="shared" si="175"/>
        <v>0</v>
      </c>
      <c r="AR196">
        <f t="shared" si="176"/>
        <v>0</v>
      </c>
      <c r="AS196">
        <f t="shared" si="177"/>
        <v>0</v>
      </c>
      <c r="AT196">
        <f t="shared" si="178"/>
        <v>0</v>
      </c>
      <c r="AU196">
        <f t="shared" si="179"/>
        <v>0</v>
      </c>
      <c r="AV196">
        <f t="shared" si="180"/>
        <v>0</v>
      </c>
      <c r="AW196">
        <f t="shared" si="181"/>
        <v>0</v>
      </c>
      <c r="AX196">
        <f t="shared" si="182"/>
        <v>0</v>
      </c>
      <c r="AY196">
        <f t="shared" si="183"/>
        <v>0</v>
      </c>
      <c r="AZ196">
        <f t="shared" si="184"/>
        <v>0</v>
      </c>
      <c r="BA196">
        <f t="shared" si="185"/>
        <v>0</v>
      </c>
      <c r="BB196">
        <f t="shared" si="186"/>
        <v>0</v>
      </c>
      <c r="BC196">
        <f t="shared" si="187"/>
        <v>0</v>
      </c>
      <c r="BD196">
        <f t="shared" si="188"/>
        <v>100</v>
      </c>
      <c r="BE196">
        <f t="shared" si="189"/>
        <v>3000</v>
      </c>
      <c r="BF196">
        <f t="shared" si="190"/>
        <v>0</v>
      </c>
      <c r="BG196">
        <f t="shared" si="191"/>
        <v>0</v>
      </c>
      <c r="BH196">
        <f t="shared" si="192"/>
        <v>0</v>
      </c>
      <c r="BI196">
        <f t="shared" si="193"/>
        <v>0</v>
      </c>
      <c r="BJ196">
        <f t="shared" si="194"/>
        <v>0</v>
      </c>
      <c r="BK196">
        <f t="shared" si="195"/>
        <v>0</v>
      </c>
      <c r="BL196">
        <v>0</v>
      </c>
      <c r="BM196" t="str">
        <f t="shared" si="200"/>
        <v>Big Win</v>
      </c>
      <c r="BN196" s="32" t="str">
        <f t="shared" si="201"/>
        <v>Bonus Game A</v>
      </c>
      <c r="BO196">
        <f>(D196/Summary!$C$4-Summary!$C$8)^2*E196</f>
        <v>85088.890000000014</v>
      </c>
      <c r="BP196">
        <f t="shared" si="196"/>
        <v>0</v>
      </c>
      <c r="BQ196">
        <f t="shared" si="197"/>
        <v>0</v>
      </c>
      <c r="BR196">
        <f t="shared" si="198"/>
        <v>0</v>
      </c>
      <c r="BS196">
        <f t="shared" si="199"/>
        <v>0</v>
      </c>
    </row>
    <row r="197" spans="2:71">
      <c r="B197" s="16">
        <f>Tiers!B198</f>
        <v>195</v>
      </c>
      <c r="C197" s="17" t="str">
        <f>Tiers!Y198</f>
        <v>main-11|bonusA-4|||||||| x 20</v>
      </c>
      <c r="D197" s="18">
        <f>Tiers!C198</f>
        <v>60</v>
      </c>
      <c r="E197" s="19">
        <f>Frequency!E199</f>
        <v>5</v>
      </c>
      <c r="F197" s="19">
        <f t="shared" si="153"/>
        <v>300</v>
      </c>
      <c r="G197" s="19">
        <f>IF(Tiers!D198&gt;1,'Data Analysis'!E197,0)</f>
        <v>5</v>
      </c>
      <c r="H197" s="19">
        <f t="shared" si="154"/>
        <v>300</v>
      </c>
      <c r="I197" s="19">
        <f>IF(AND(D197/Summary!$C$4&gt;0, D197/Summary!$C$4&lt;5),E197,0) * D197</f>
        <v>0</v>
      </c>
      <c r="J197" s="19">
        <f>IF(AND(D197/Summary!$C$4&gt;= 5, D197/Summary!$C$4&lt;10),E197,0) * D197</f>
        <v>0</v>
      </c>
      <c r="K197" s="19">
        <f>IF(AND(D197/Summary!$C$4&gt;=10, D197/Summary!$C$4&lt;25),E197,0)*D197</f>
        <v>0</v>
      </c>
      <c r="L197" s="19">
        <f>IF(D197/Summary!$C$4&gt;=25,E197,0)*D197</f>
        <v>300</v>
      </c>
      <c r="M197" s="27">
        <f>IF(AND(D197/Summary!$C$4&gt;0, D197/Summary!$C$4&lt;1),E197,0)</f>
        <v>0</v>
      </c>
      <c r="N197" s="27">
        <f t="shared" si="155"/>
        <v>0</v>
      </c>
      <c r="O197" s="27">
        <f>IF(D197/Summary!$C$4=1,1,0)*E197</f>
        <v>0</v>
      </c>
      <c r="P197" s="27">
        <f t="shared" si="156"/>
        <v>0</v>
      </c>
      <c r="Q197" s="27">
        <f>IF(AND(D197/Summary!$C$4&gt;1, D197/Summary!$C$4&lt;=2),1,0)*E197</f>
        <v>0</v>
      </c>
      <c r="R197" s="27">
        <f t="shared" si="157"/>
        <v>0</v>
      </c>
      <c r="S197" s="27">
        <f>IF(AND(D197/Summary!$C$4&gt;2,D197/Summary!$C$4&lt;=5),1,0)*E197</f>
        <v>0</v>
      </c>
      <c r="T197" s="27">
        <f t="shared" si="158"/>
        <v>0</v>
      </c>
      <c r="U197" s="27">
        <f>IF(AND(D197/Summary!$C$4&gt;5, D197/Summary!$C$4&lt;=10),1,0)*E197</f>
        <v>0</v>
      </c>
      <c r="V197" s="27">
        <f t="shared" si="159"/>
        <v>0</v>
      </c>
      <c r="W197" s="27">
        <f>IF(AND(D197/Summary!$C$4&gt;10, D197/Summary!$C$4&lt;=20),1,0)*E197</f>
        <v>0</v>
      </c>
      <c r="X197" s="27">
        <f t="shared" si="160"/>
        <v>0</v>
      </c>
      <c r="Y197" s="27">
        <f>IF(AND(D197/Summary!$C$4&gt;20, D197/Summary!$C$4&lt;=30),1,0)*E197</f>
        <v>0</v>
      </c>
      <c r="Z197" s="27">
        <f t="shared" si="161"/>
        <v>0</v>
      </c>
      <c r="AA197" s="27">
        <f>IF(AND(D197/Summary!$C$4&gt;30, D197/Summary!$C$4&lt;=50),1,0)*E197</f>
        <v>0</v>
      </c>
      <c r="AB197" s="27">
        <f t="shared" si="162"/>
        <v>0</v>
      </c>
      <c r="AC197" s="27">
        <f>IF(AND(D197/Summary!$C$4&gt;50, D197/Summary!$C$4&lt;=100),1,0)*E197</f>
        <v>5</v>
      </c>
      <c r="AD197" s="27">
        <f t="shared" si="163"/>
        <v>300</v>
      </c>
      <c r="AE197" s="27">
        <f>IF(D197/Summary!$C$4&gt;100,1,0)*E197</f>
        <v>0</v>
      </c>
      <c r="AF197" s="27">
        <f t="shared" si="164"/>
        <v>0</v>
      </c>
      <c r="AG197" s="19">
        <f t="shared" si="165"/>
        <v>0</v>
      </c>
      <c r="AH197" s="19">
        <f t="shared" si="166"/>
        <v>5</v>
      </c>
      <c r="AI197" s="19">
        <f t="shared" si="167"/>
        <v>0</v>
      </c>
      <c r="AJ197" s="27">
        <f t="shared" si="168"/>
        <v>1</v>
      </c>
      <c r="AK197" s="27">
        <f t="shared" si="169"/>
        <v>5</v>
      </c>
      <c r="AL197" s="27">
        <f t="shared" si="170"/>
        <v>300</v>
      </c>
      <c r="AM197">
        <f t="shared" si="171"/>
        <v>0</v>
      </c>
      <c r="AN197">
        <f t="shared" si="172"/>
        <v>0</v>
      </c>
      <c r="AO197">
        <f t="shared" si="173"/>
        <v>0</v>
      </c>
      <c r="AP197">
        <f t="shared" si="174"/>
        <v>0</v>
      </c>
      <c r="AQ197">
        <f t="shared" si="175"/>
        <v>0</v>
      </c>
      <c r="AR197">
        <f t="shared" si="176"/>
        <v>0</v>
      </c>
      <c r="AS197">
        <f t="shared" si="177"/>
        <v>0</v>
      </c>
      <c r="AT197">
        <f t="shared" si="178"/>
        <v>0</v>
      </c>
      <c r="AU197">
        <f t="shared" si="179"/>
        <v>0</v>
      </c>
      <c r="AV197">
        <f t="shared" si="180"/>
        <v>0</v>
      </c>
      <c r="AW197">
        <f t="shared" si="181"/>
        <v>0</v>
      </c>
      <c r="AX197">
        <f t="shared" si="182"/>
        <v>0</v>
      </c>
      <c r="AY197">
        <f t="shared" si="183"/>
        <v>0</v>
      </c>
      <c r="AZ197">
        <f t="shared" si="184"/>
        <v>0</v>
      </c>
      <c r="BA197">
        <f t="shared" si="185"/>
        <v>0</v>
      </c>
      <c r="BB197">
        <f t="shared" si="186"/>
        <v>0</v>
      </c>
      <c r="BC197">
        <f t="shared" si="187"/>
        <v>0</v>
      </c>
      <c r="BD197">
        <f t="shared" si="188"/>
        <v>5</v>
      </c>
      <c r="BE197">
        <f t="shared" si="189"/>
        <v>300</v>
      </c>
      <c r="BF197">
        <f t="shared" si="190"/>
        <v>0</v>
      </c>
      <c r="BG197">
        <f t="shared" si="191"/>
        <v>0</v>
      </c>
      <c r="BH197">
        <f t="shared" si="192"/>
        <v>0</v>
      </c>
      <c r="BI197">
        <f t="shared" si="193"/>
        <v>0</v>
      </c>
      <c r="BJ197">
        <f t="shared" si="194"/>
        <v>0</v>
      </c>
      <c r="BK197">
        <f t="shared" si="195"/>
        <v>0</v>
      </c>
      <c r="BL197">
        <v>0</v>
      </c>
      <c r="BM197" t="str">
        <f t="shared" si="200"/>
        <v>Huge Win</v>
      </c>
      <c r="BN197" s="32" t="str">
        <f t="shared" si="201"/>
        <v>Bonus Game A</v>
      </c>
      <c r="BO197">
        <f>(D197/Summary!$C$4-Summary!$C$8)^2*E197</f>
        <v>17505.444500000001</v>
      </c>
      <c r="BP197">
        <f t="shared" si="196"/>
        <v>0</v>
      </c>
      <c r="BQ197">
        <f t="shared" si="197"/>
        <v>0</v>
      </c>
      <c r="BR197">
        <f t="shared" si="198"/>
        <v>0</v>
      </c>
      <c r="BS197">
        <f t="shared" si="199"/>
        <v>0</v>
      </c>
    </row>
    <row r="198" spans="2:71">
      <c r="B198" s="16">
        <f>Tiers!B199</f>
        <v>196</v>
      </c>
      <c r="C198" s="17" t="str">
        <f>Tiers!Y199</f>
        <v>main-12|bonusA-1|||||||| x 20</v>
      </c>
      <c r="D198" s="18">
        <f>Tiers!C199</f>
        <v>55</v>
      </c>
      <c r="E198" s="19">
        <f>Frequency!E200</f>
        <v>101</v>
      </c>
      <c r="F198" s="19">
        <f t="shared" si="153"/>
        <v>5555</v>
      </c>
      <c r="G198" s="19">
        <f>IF(Tiers!D199&gt;1,'Data Analysis'!E198,0)</f>
        <v>101</v>
      </c>
      <c r="H198" s="19">
        <f t="shared" si="154"/>
        <v>5555</v>
      </c>
      <c r="I198" s="19">
        <f>IF(AND(D198/Summary!$C$4&gt;0, D198/Summary!$C$4&lt;5),E198,0) * D198</f>
        <v>0</v>
      </c>
      <c r="J198" s="19">
        <f>IF(AND(D198/Summary!$C$4&gt;= 5, D198/Summary!$C$4&lt;10),E198,0) * D198</f>
        <v>0</v>
      </c>
      <c r="K198" s="19">
        <f>IF(AND(D198/Summary!$C$4&gt;=10, D198/Summary!$C$4&lt;25),E198,0)*D198</f>
        <v>0</v>
      </c>
      <c r="L198" s="19">
        <f>IF(D198/Summary!$C$4&gt;=25,E198,0)*D198</f>
        <v>5555</v>
      </c>
      <c r="M198" s="27">
        <f>IF(AND(D198/Summary!$C$4&gt;0, D198/Summary!$C$4&lt;1),E198,0)</f>
        <v>0</v>
      </c>
      <c r="N198" s="27">
        <f t="shared" si="155"/>
        <v>0</v>
      </c>
      <c r="O198" s="27">
        <f>IF(D198/Summary!$C$4=1,1,0)*E198</f>
        <v>0</v>
      </c>
      <c r="P198" s="27">
        <f t="shared" si="156"/>
        <v>0</v>
      </c>
      <c r="Q198" s="27">
        <f>IF(AND(D198/Summary!$C$4&gt;1, D198/Summary!$C$4&lt;=2),1,0)*E198</f>
        <v>0</v>
      </c>
      <c r="R198" s="27">
        <f t="shared" si="157"/>
        <v>0</v>
      </c>
      <c r="S198" s="27">
        <f>IF(AND(D198/Summary!$C$4&gt;2,D198/Summary!$C$4&lt;=5),1,0)*E198</f>
        <v>0</v>
      </c>
      <c r="T198" s="27">
        <f t="shared" si="158"/>
        <v>0</v>
      </c>
      <c r="U198" s="27">
        <f>IF(AND(D198/Summary!$C$4&gt;5, D198/Summary!$C$4&lt;=10),1,0)*E198</f>
        <v>0</v>
      </c>
      <c r="V198" s="27">
        <f t="shared" si="159"/>
        <v>0</v>
      </c>
      <c r="W198" s="27">
        <f>IF(AND(D198/Summary!$C$4&gt;10, D198/Summary!$C$4&lt;=20),1,0)*E198</f>
        <v>0</v>
      </c>
      <c r="X198" s="27">
        <f t="shared" si="160"/>
        <v>0</v>
      </c>
      <c r="Y198" s="27">
        <f>IF(AND(D198/Summary!$C$4&gt;20, D198/Summary!$C$4&lt;=30),1,0)*E198</f>
        <v>0</v>
      </c>
      <c r="Z198" s="27">
        <f t="shared" si="161"/>
        <v>0</v>
      </c>
      <c r="AA198" s="27">
        <f>IF(AND(D198/Summary!$C$4&gt;30, D198/Summary!$C$4&lt;=50),1,0)*E198</f>
        <v>0</v>
      </c>
      <c r="AB198" s="27">
        <f t="shared" si="162"/>
        <v>0</v>
      </c>
      <c r="AC198" s="27">
        <f>IF(AND(D198/Summary!$C$4&gt;50, D198/Summary!$C$4&lt;=100),1,0)*E198</f>
        <v>101</v>
      </c>
      <c r="AD198" s="27">
        <f t="shared" si="163"/>
        <v>5555</v>
      </c>
      <c r="AE198" s="27">
        <f>IF(D198/Summary!$C$4&gt;100,1,0)*E198</f>
        <v>0</v>
      </c>
      <c r="AF198" s="27">
        <f t="shared" si="164"/>
        <v>0</v>
      </c>
      <c r="AG198" s="19">
        <f t="shared" si="165"/>
        <v>0</v>
      </c>
      <c r="AH198" s="19">
        <f t="shared" si="166"/>
        <v>101</v>
      </c>
      <c r="AI198" s="19">
        <f t="shared" si="167"/>
        <v>0</v>
      </c>
      <c r="AJ198" s="27">
        <f t="shared" si="168"/>
        <v>1</v>
      </c>
      <c r="AK198" s="27">
        <f t="shared" si="169"/>
        <v>101</v>
      </c>
      <c r="AL198" s="27">
        <f t="shared" si="170"/>
        <v>5555</v>
      </c>
      <c r="AM198">
        <f t="shared" si="171"/>
        <v>0</v>
      </c>
      <c r="AN198">
        <f t="shared" si="172"/>
        <v>0</v>
      </c>
      <c r="AO198">
        <f t="shared" si="173"/>
        <v>0</v>
      </c>
      <c r="AP198">
        <f t="shared" si="174"/>
        <v>0</v>
      </c>
      <c r="AQ198">
        <f t="shared" si="175"/>
        <v>0</v>
      </c>
      <c r="AR198">
        <f t="shared" si="176"/>
        <v>0</v>
      </c>
      <c r="AS198">
        <f t="shared" si="177"/>
        <v>0</v>
      </c>
      <c r="AT198">
        <f t="shared" si="178"/>
        <v>0</v>
      </c>
      <c r="AU198">
        <f t="shared" si="179"/>
        <v>0</v>
      </c>
      <c r="AV198">
        <f t="shared" si="180"/>
        <v>0</v>
      </c>
      <c r="AW198">
        <f t="shared" si="181"/>
        <v>0</v>
      </c>
      <c r="AX198">
        <f t="shared" si="182"/>
        <v>0</v>
      </c>
      <c r="AY198">
        <f t="shared" si="183"/>
        <v>0</v>
      </c>
      <c r="AZ198">
        <f t="shared" si="184"/>
        <v>0</v>
      </c>
      <c r="BA198">
        <f t="shared" si="185"/>
        <v>0</v>
      </c>
      <c r="BB198">
        <f t="shared" si="186"/>
        <v>0</v>
      </c>
      <c r="BC198">
        <f t="shared" si="187"/>
        <v>0</v>
      </c>
      <c r="BD198">
        <f t="shared" si="188"/>
        <v>101</v>
      </c>
      <c r="BE198">
        <f t="shared" si="189"/>
        <v>5555</v>
      </c>
      <c r="BF198">
        <f t="shared" si="190"/>
        <v>0</v>
      </c>
      <c r="BG198">
        <f t="shared" si="191"/>
        <v>0</v>
      </c>
      <c r="BH198">
        <f t="shared" si="192"/>
        <v>0</v>
      </c>
      <c r="BI198">
        <f t="shared" si="193"/>
        <v>0</v>
      </c>
      <c r="BJ198">
        <f t="shared" si="194"/>
        <v>0</v>
      </c>
      <c r="BK198">
        <f t="shared" si="195"/>
        <v>0</v>
      </c>
      <c r="BL198">
        <v>0</v>
      </c>
      <c r="BM198" t="str">
        <f t="shared" si="200"/>
        <v>Huge Win</v>
      </c>
      <c r="BN198" s="32" t="str">
        <f t="shared" si="201"/>
        <v>Bonus Game A</v>
      </c>
      <c r="BO198">
        <f>(D198/Summary!$C$4-Summary!$C$8)^2*E198</f>
        <v>296373.27890000003</v>
      </c>
      <c r="BP198">
        <f t="shared" si="196"/>
        <v>0</v>
      </c>
      <c r="BQ198">
        <f t="shared" si="197"/>
        <v>0</v>
      </c>
      <c r="BR198">
        <f t="shared" si="198"/>
        <v>0</v>
      </c>
      <c r="BS198">
        <f t="shared" si="199"/>
        <v>0</v>
      </c>
    </row>
    <row r="199" spans="2:71">
      <c r="B199" s="16">
        <f>Tiers!B200</f>
        <v>197</v>
      </c>
      <c r="C199" s="17" t="str">
        <f>Tiers!Y200</f>
        <v>main-13|bonusA-3|||||||| x 20</v>
      </c>
      <c r="D199" s="18">
        <f>Tiers!C200</f>
        <v>125</v>
      </c>
      <c r="E199" s="19">
        <f>Frequency!E201</f>
        <v>2</v>
      </c>
      <c r="F199" s="19">
        <f t="shared" si="153"/>
        <v>250</v>
      </c>
      <c r="G199" s="19">
        <f>IF(Tiers!D200&gt;1,'Data Analysis'!E199,0)</f>
        <v>2</v>
      </c>
      <c r="H199" s="19">
        <f t="shared" si="154"/>
        <v>250</v>
      </c>
      <c r="I199" s="19">
        <f>IF(AND(D199/Summary!$C$4&gt;0, D199/Summary!$C$4&lt;5),E199,0) * D199</f>
        <v>0</v>
      </c>
      <c r="J199" s="19">
        <f>IF(AND(D199/Summary!$C$4&gt;= 5, D199/Summary!$C$4&lt;10),E199,0) * D199</f>
        <v>0</v>
      </c>
      <c r="K199" s="19">
        <f>IF(AND(D199/Summary!$C$4&gt;=10, D199/Summary!$C$4&lt;25),E199,0)*D199</f>
        <v>0</v>
      </c>
      <c r="L199" s="19">
        <f>IF(D199/Summary!$C$4&gt;=25,E199,0)*D199</f>
        <v>250</v>
      </c>
      <c r="M199" s="27">
        <f>IF(AND(D199/Summary!$C$4&gt;0, D199/Summary!$C$4&lt;1),E199,0)</f>
        <v>0</v>
      </c>
      <c r="N199" s="27">
        <f t="shared" si="155"/>
        <v>0</v>
      </c>
      <c r="O199" s="27">
        <f>IF(D199/Summary!$C$4=1,1,0)*E199</f>
        <v>0</v>
      </c>
      <c r="P199" s="27">
        <f t="shared" si="156"/>
        <v>0</v>
      </c>
      <c r="Q199" s="27">
        <f>IF(AND(D199/Summary!$C$4&gt;1, D199/Summary!$C$4&lt;=2),1,0)*E199</f>
        <v>0</v>
      </c>
      <c r="R199" s="27">
        <f t="shared" si="157"/>
        <v>0</v>
      </c>
      <c r="S199" s="27">
        <f>IF(AND(D199/Summary!$C$4&gt;2,D199/Summary!$C$4&lt;=5),1,0)*E199</f>
        <v>0</v>
      </c>
      <c r="T199" s="27">
        <f t="shared" si="158"/>
        <v>0</v>
      </c>
      <c r="U199" s="27">
        <f>IF(AND(D199/Summary!$C$4&gt;5, D199/Summary!$C$4&lt;=10),1,0)*E199</f>
        <v>0</v>
      </c>
      <c r="V199" s="27">
        <f t="shared" si="159"/>
        <v>0</v>
      </c>
      <c r="W199" s="27">
        <f>IF(AND(D199/Summary!$C$4&gt;10, D199/Summary!$C$4&lt;=20),1,0)*E199</f>
        <v>0</v>
      </c>
      <c r="X199" s="27">
        <f t="shared" si="160"/>
        <v>0</v>
      </c>
      <c r="Y199" s="27">
        <f>IF(AND(D199/Summary!$C$4&gt;20, D199/Summary!$C$4&lt;=30),1,0)*E199</f>
        <v>0</v>
      </c>
      <c r="Z199" s="27">
        <f t="shared" si="161"/>
        <v>0</v>
      </c>
      <c r="AA199" s="27">
        <f>IF(AND(D199/Summary!$C$4&gt;30, D199/Summary!$C$4&lt;=50),1,0)*E199</f>
        <v>0</v>
      </c>
      <c r="AB199" s="27">
        <f t="shared" si="162"/>
        <v>0</v>
      </c>
      <c r="AC199" s="27">
        <f>IF(AND(D199/Summary!$C$4&gt;50, D199/Summary!$C$4&lt;=100),1,0)*E199</f>
        <v>0</v>
      </c>
      <c r="AD199" s="27">
        <f t="shared" si="163"/>
        <v>0</v>
      </c>
      <c r="AE199" s="27">
        <f>IF(D199/Summary!$C$4&gt;100,1,0)*E199</f>
        <v>2</v>
      </c>
      <c r="AF199" s="27">
        <f t="shared" si="164"/>
        <v>250</v>
      </c>
      <c r="AG199" s="19">
        <f t="shared" si="165"/>
        <v>0</v>
      </c>
      <c r="AH199" s="19">
        <f t="shared" si="166"/>
        <v>2</v>
      </c>
      <c r="AI199" s="19">
        <f t="shared" si="167"/>
        <v>0</v>
      </c>
      <c r="AJ199" s="27">
        <f t="shared" si="168"/>
        <v>1</v>
      </c>
      <c r="AK199" s="27">
        <f t="shared" si="169"/>
        <v>2</v>
      </c>
      <c r="AL199" s="27">
        <f t="shared" si="170"/>
        <v>250</v>
      </c>
      <c r="AM199">
        <f t="shared" si="171"/>
        <v>0</v>
      </c>
      <c r="AN199">
        <f t="shared" si="172"/>
        <v>0</v>
      </c>
      <c r="AO199">
        <f t="shared" si="173"/>
        <v>0</v>
      </c>
      <c r="AP199">
        <f t="shared" si="174"/>
        <v>0</v>
      </c>
      <c r="AQ199">
        <f t="shared" si="175"/>
        <v>0</v>
      </c>
      <c r="AR199">
        <f t="shared" si="176"/>
        <v>0</v>
      </c>
      <c r="AS199">
        <f t="shared" si="177"/>
        <v>0</v>
      </c>
      <c r="AT199">
        <f t="shared" si="178"/>
        <v>0</v>
      </c>
      <c r="AU199">
        <f t="shared" si="179"/>
        <v>0</v>
      </c>
      <c r="AV199">
        <f t="shared" si="180"/>
        <v>0</v>
      </c>
      <c r="AW199">
        <f t="shared" si="181"/>
        <v>0</v>
      </c>
      <c r="AX199">
        <f t="shared" si="182"/>
        <v>0</v>
      </c>
      <c r="AY199">
        <f t="shared" si="183"/>
        <v>0</v>
      </c>
      <c r="AZ199">
        <f t="shared" si="184"/>
        <v>0</v>
      </c>
      <c r="BA199">
        <f t="shared" si="185"/>
        <v>0</v>
      </c>
      <c r="BB199">
        <f t="shared" si="186"/>
        <v>0</v>
      </c>
      <c r="BC199">
        <f t="shared" si="187"/>
        <v>0</v>
      </c>
      <c r="BD199">
        <f t="shared" si="188"/>
        <v>2</v>
      </c>
      <c r="BE199">
        <f t="shared" si="189"/>
        <v>250</v>
      </c>
      <c r="BF199">
        <f t="shared" si="190"/>
        <v>0</v>
      </c>
      <c r="BG199">
        <f t="shared" si="191"/>
        <v>0</v>
      </c>
      <c r="BH199">
        <f t="shared" si="192"/>
        <v>0</v>
      </c>
      <c r="BI199">
        <f t="shared" si="193"/>
        <v>0</v>
      </c>
      <c r="BJ199">
        <f t="shared" si="194"/>
        <v>0</v>
      </c>
      <c r="BK199">
        <f t="shared" si="195"/>
        <v>0</v>
      </c>
      <c r="BL199">
        <v>0</v>
      </c>
      <c r="BM199" t="str">
        <f t="shared" si="200"/>
        <v>Huge Win</v>
      </c>
      <c r="BN199" s="32" t="str">
        <f t="shared" si="201"/>
        <v>Bonus Game A</v>
      </c>
      <c r="BO199">
        <f>(D199/Summary!$C$4-Summary!$C$8)^2*E199</f>
        <v>30836.377800000002</v>
      </c>
      <c r="BP199">
        <f t="shared" si="196"/>
        <v>0</v>
      </c>
      <c r="BQ199">
        <f t="shared" si="197"/>
        <v>0</v>
      </c>
      <c r="BR199">
        <f t="shared" si="198"/>
        <v>0</v>
      </c>
      <c r="BS199">
        <f t="shared" si="199"/>
        <v>0</v>
      </c>
    </row>
    <row r="200" spans="2:71">
      <c r="B200" s="16">
        <f>Tiers!B201</f>
        <v>198</v>
      </c>
      <c r="C200" s="17" t="str">
        <f>Tiers!Y201</f>
        <v>main-20|bonusA-0|||||||| x 20</v>
      </c>
      <c r="D200" s="18">
        <f>Tiers!C201</f>
        <v>40</v>
      </c>
      <c r="E200" s="19">
        <f>Frequency!E202</f>
        <v>103</v>
      </c>
      <c r="F200" s="19">
        <f t="shared" si="153"/>
        <v>4120</v>
      </c>
      <c r="G200" s="19">
        <f>IF(Tiers!D201&gt;1,'Data Analysis'!E200,0)</f>
        <v>103</v>
      </c>
      <c r="H200" s="19">
        <f t="shared" si="154"/>
        <v>4120</v>
      </c>
      <c r="I200" s="19">
        <f>IF(AND(D200/Summary!$C$4&gt;0, D200/Summary!$C$4&lt;5),E200,0) * D200</f>
        <v>0</v>
      </c>
      <c r="J200" s="19">
        <f>IF(AND(D200/Summary!$C$4&gt;= 5, D200/Summary!$C$4&lt;10),E200,0) * D200</f>
        <v>0</v>
      </c>
      <c r="K200" s="19">
        <f>IF(AND(D200/Summary!$C$4&gt;=10, D200/Summary!$C$4&lt;25),E200,0)*D200</f>
        <v>0</v>
      </c>
      <c r="L200" s="19">
        <f>IF(D200/Summary!$C$4&gt;=25,E200,0)*D200</f>
        <v>4120</v>
      </c>
      <c r="M200" s="27">
        <f>IF(AND(D200/Summary!$C$4&gt;0, D200/Summary!$C$4&lt;1),E200,0)</f>
        <v>0</v>
      </c>
      <c r="N200" s="27">
        <f t="shared" si="155"/>
        <v>0</v>
      </c>
      <c r="O200" s="27">
        <f>IF(D200/Summary!$C$4=1,1,0)*E200</f>
        <v>0</v>
      </c>
      <c r="P200" s="27">
        <f t="shared" si="156"/>
        <v>0</v>
      </c>
      <c r="Q200" s="27">
        <f>IF(AND(D200/Summary!$C$4&gt;1, D200/Summary!$C$4&lt;=2),1,0)*E200</f>
        <v>0</v>
      </c>
      <c r="R200" s="27">
        <f t="shared" si="157"/>
        <v>0</v>
      </c>
      <c r="S200" s="27">
        <f>IF(AND(D200/Summary!$C$4&gt;2,D200/Summary!$C$4&lt;=5),1,0)*E200</f>
        <v>0</v>
      </c>
      <c r="T200" s="27">
        <f t="shared" si="158"/>
        <v>0</v>
      </c>
      <c r="U200" s="27">
        <f>IF(AND(D200/Summary!$C$4&gt;5, D200/Summary!$C$4&lt;=10),1,0)*E200</f>
        <v>0</v>
      </c>
      <c r="V200" s="27">
        <f t="shared" si="159"/>
        <v>0</v>
      </c>
      <c r="W200" s="27">
        <f>IF(AND(D200/Summary!$C$4&gt;10, D200/Summary!$C$4&lt;=20),1,0)*E200</f>
        <v>0</v>
      </c>
      <c r="X200" s="27">
        <f t="shared" si="160"/>
        <v>0</v>
      </c>
      <c r="Y200" s="27">
        <f>IF(AND(D200/Summary!$C$4&gt;20, D200/Summary!$C$4&lt;=30),1,0)*E200</f>
        <v>0</v>
      </c>
      <c r="Z200" s="27">
        <f t="shared" si="161"/>
        <v>0</v>
      </c>
      <c r="AA200" s="27">
        <f>IF(AND(D200/Summary!$C$4&gt;30, D200/Summary!$C$4&lt;=50),1,0)*E200</f>
        <v>103</v>
      </c>
      <c r="AB200" s="27">
        <f t="shared" si="162"/>
        <v>4120</v>
      </c>
      <c r="AC200" s="27">
        <f>IF(AND(D200/Summary!$C$4&gt;50, D200/Summary!$C$4&lt;=100),1,0)*E200</f>
        <v>0</v>
      </c>
      <c r="AD200" s="27">
        <f t="shared" si="163"/>
        <v>0</v>
      </c>
      <c r="AE200" s="27">
        <f>IF(D200/Summary!$C$4&gt;100,1,0)*E200</f>
        <v>0</v>
      </c>
      <c r="AF200" s="27">
        <f t="shared" si="164"/>
        <v>0</v>
      </c>
      <c r="AG200" s="19">
        <f t="shared" si="165"/>
        <v>0</v>
      </c>
      <c r="AH200" s="19">
        <f t="shared" si="166"/>
        <v>103</v>
      </c>
      <c r="AI200" s="19">
        <f t="shared" si="167"/>
        <v>0</v>
      </c>
      <c r="AJ200" s="27">
        <f t="shared" si="168"/>
        <v>1</v>
      </c>
      <c r="AK200" s="27">
        <f t="shared" si="169"/>
        <v>103</v>
      </c>
      <c r="AL200" s="27">
        <f t="shared" si="170"/>
        <v>4120</v>
      </c>
      <c r="AM200">
        <f t="shared" si="171"/>
        <v>0</v>
      </c>
      <c r="AN200">
        <f t="shared" si="172"/>
        <v>0</v>
      </c>
      <c r="AO200">
        <f t="shared" si="173"/>
        <v>0</v>
      </c>
      <c r="AP200">
        <f t="shared" si="174"/>
        <v>0</v>
      </c>
      <c r="AQ200">
        <f t="shared" si="175"/>
        <v>0</v>
      </c>
      <c r="AR200">
        <f t="shared" si="176"/>
        <v>0</v>
      </c>
      <c r="AS200">
        <f t="shared" si="177"/>
        <v>0</v>
      </c>
      <c r="AT200">
        <f t="shared" si="178"/>
        <v>0</v>
      </c>
      <c r="AU200">
        <f t="shared" si="179"/>
        <v>0</v>
      </c>
      <c r="AV200">
        <f t="shared" si="180"/>
        <v>0</v>
      </c>
      <c r="AW200">
        <f t="shared" si="181"/>
        <v>0</v>
      </c>
      <c r="AX200">
        <f t="shared" si="182"/>
        <v>0</v>
      </c>
      <c r="AY200">
        <f t="shared" si="183"/>
        <v>0</v>
      </c>
      <c r="AZ200">
        <f t="shared" si="184"/>
        <v>0</v>
      </c>
      <c r="BA200">
        <f t="shared" si="185"/>
        <v>0</v>
      </c>
      <c r="BB200">
        <f t="shared" si="186"/>
        <v>0</v>
      </c>
      <c r="BC200">
        <f t="shared" si="187"/>
        <v>0</v>
      </c>
      <c r="BD200">
        <f t="shared" si="188"/>
        <v>103</v>
      </c>
      <c r="BE200">
        <f t="shared" si="189"/>
        <v>4120</v>
      </c>
      <c r="BF200">
        <f t="shared" si="190"/>
        <v>0</v>
      </c>
      <c r="BG200">
        <f t="shared" si="191"/>
        <v>0</v>
      </c>
      <c r="BH200">
        <f t="shared" si="192"/>
        <v>0</v>
      </c>
      <c r="BI200">
        <f t="shared" si="193"/>
        <v>0</v>
      </c>
      <c r="BJ200">
        <f t="shared" si="194"/>
        <v>0</v>
      </c>
      <c r="BK200">
        <f t="shared" si="195"/>
        <v>0</v>
      </c>
      <c r="BL200">
        <v>0</v>
      </c>
      <c r="BM200" t="str">
        <f t="shared" si="200"/>
        <v>Big Win</v>
      </c>
      <c r="BN200" s="32" t="str">
        <f t="shared" si="201"/>
        <v>Bonus Game A</v>
      </c>
      <c r="BO200">
        <f>(D200/Summary!$C$4-Summary!$C$8)^2*E200</f>
        <v>158031.75670000003</v>
      </c>
      <c r="BP200">
        <f t="shared" si="196"/>
        <v>0</v>
      </c>
      <c r="BQ200">
        <f t="shared" si="197"/>
        <v>0</v>
      </c>
      <c r="BR200">
        <f t="shared" si="198"/>
        <v>0</v>
      </c>
      <c r="BS200">
        <f t="shared" si="199"/>
        <v>0</v>
      </c>
    </row>
    <row r="201" spans="2:71">
      <c r="B201" s="16">
        <f>Tiers!B202</f>
        <v>199</v>
      </c>
      <c r="C201" s="17" t="str">
        <f>Tiers!Y202</f>
        <v>main-21|bonusA-4|||||||| x 20</v>
      </c>
      <c r="D201" s="18">
        <f>Tiers!C202</f>
        <v>70</v>
      </c>
      <c r="E201" s="19">
        <f>Frequency!E203</f>
        <v>8</v>
      </c>
      <c r="F201" s="19">
        <f t="shared" si="153"/>
        <v>560</v>
      </c>
      <c r="G201" s="19">
        <f>IF(Tiers!D202&gt;1,'Data Analysis'!E201,0)</f>
        <v>8</v>
      </c>
      <c r="H201" s="19">
        <f t="shared" si="154"/>
        <v>560</v>
      </c>
      <c r="I201" s="19">
        <f>IF(AND(D201/Summary!$C$4&gt;0, D201/Summary!$C$4&lt;5),E201,0) * D201</f>
        <v>0</v>
      </c>
      <c r="J201" s="19">
        <f>IF(AND(D201/Summary!$C$4&gt;= 5, D201/Summary!$C$4&lt;10),E201,0) * D201</f>
        <v>0</v>
      </c>
      <c r="K201" s="19">
        <f>IF(AND(D201/Summary!$C$4&gt;=10, D201/Summary!$C$4&lt;25),E201,0)*D201</f>
        <v>0</v>
      </c>
      <c r="L201" s="19">
        <f>IF(D201/Summary!$C$4&gt;=25,E201,0)*D201</f>
        <v>560</v>
      </c>
      <c r="M201" s="27">
        <f>IF(AND(D201/Summary!$C$4&gt;0, D201/Summary!$C$4&lt;1),E201,0)</f>
        <v>0</v>
      </c>
      <c r="N201" s="27">
        <f t="shared" si="155"/>
        <v>0</v>
      </c>
      <c r="O201" s="27">
        <f>IF(D201/Summary!$C$4=1,1,0)*E201</f>
        <v>0</v>
      </c>
      <c r="P201" s="27">
        <f t="shared" si="156"/>
        <v>0</v>
      </c>
      <c r="Q201" s="27">
        <f>IF(AND(D201/Summary!$C$4&gt;1, D201/Summary!$C$4&lt;=2),1,0)*E201</f>
        <v>0</v>
      </c>
      <c r="R201" s="27">
        <f t="shared" si="157"/>
        <v>0</v>
      </c>
      <c r="S201" s="27">
        <f>IF(AND(D201/Summary!$C$4&gt;2,D201/Summary!$C$4&lt;=5),1,0)*E201</f>
        <v>0</v>
      </c>
      <c r="T201" s="27">
        <f t="shared" si="158"/>
        <v>0</v>
      </c>
      <c r="U201" s="27">
        <f>IF(AND(D201/Summary!$C$4&gt;5, D201/Summary!$C$4&lt;=10),1,0)*E201</f>
        <v>0</v>
      </c>
      <c r="V201" s="27">
        <f t="shared" si="159"/>
        <v>0</v>
      </c>
      <c r="W201" s="27">
        <f>IF(AND(D201/Summary!$C$4&gt;10, D201/Summary!$C$4&lt;=20),1,0)*E201</f>
        <v>0</v>
      </c>
      <c r="X201" s="27">
        <f t="shared" si="160"/>
        <v>0</v>
      </c>
      <c r="Y201" s="27">
        <f>IF(AND(D201/Summary!$C$4&gt;20, D201/Summary!$C$4&lt;=30),1,0)*E201</f>
        <v>0</v>
      </c>
      <c r="Z201" s="27">
        <f t="shared" si="161"/>
        <v>0</v>
      </c>
      <c r="AA201" s="27">
        <f>IF(AND(D201/Summary!$C$4&gt;30, D201/Summary!$C$4&lt;=50),1,0)*E201</f>
        <v>0</v>
      </c>
      <c r="AB201" s="27">
        <f t="shared" si="162"/>
        <v>0</v>
      </c>
      <c r="AC201" s="27">
        <f>IF(AND(D201/Summary!$C$4&gt;50, D201/Summary!$C$4&lt;=100),1,0)*E201</f>
        <v>8</v>
      </c>
      <c r="AD201" s="27">
        <f t="shared" si="163"/>
        <v>560</v>
      </c>
      <c r="AE201" s="27">
        <f>IF(D201/Summary!$C$4&gt;100,1,0)*E201</f>
        <v>0</v>
      </c>
      <c r="AF201" s="27">
        <f t="shared" si="164"/>
        <v>0</v>
      </c>
      <c r="AG201" s="19">
        <f t="shared" si="165"/>
        <v>0</v>
      </c>
      <c r="AH201" s="19">
        <f t="shared" si="166"/>
        <v>8</v>
      </c>
      <c r="AI201" s="19">
        <f t="shared" si="167"/>
        <v>0</v>
      </c>
      <c r="AJ201" s="27">
        <f t="shared" si="168"/>
        <v>1</v>
      </c>
      <c r="AK201" s="27">
        <f t="shared" si="169"/>
        <v>8</v>
      </c>
      <c r="AL201" s="27">
        <f t="shared" si="170"/>
        <v>560</v>
      </c>
      <c r="AM201">
        <f t="shared" si="171"/>
        <v>0</v>
      </c>
      <c r="AN201">
        <f t="shared" si="172"/>
        <v>0</v>
      </c>
      <c r="AO201">
        <f t="shared" si="173"/>
        <v>0</v>
      </c>
      <c r="AP201">
        <f t="shared" si="174"/>
        <v>0</v>
      </c>
      <c r="AQ201">
        <f t="shared" si="175"/>
        <v>0</v>
      </c>
      <c r="AR201">
        <f t="shared" si="176"/>
        <v>0</v>
      </c>
      <c r="AS201">
        <f t="shared" si="177"/>
        <v>0</v>
      </c>
      <c r="AT201">
        <f t="shared" si="178"/>
        <v>0</v>
      </c>
      <c r="AU201">
        <f t="shared" si="179"/>
        <v>0</v>
      </c>
      <c r="AV201">
        <f t="shared" si="180"/>
        <v>0</v>
      </c>
      <c r="AW201">
        <f t="shared" si="181"/>
        <v>0</v>
      </c>
      <c r="AX201">
        <f t="shared" si="182"/>
        <v>0</v>
      </c>
      <c r="AY201">
        <f t="shared" si="183"/>
        <v>0</v>
      </c>
      <c r="AZ201">
        <f t="shared" si="184"/>
        <v>0</v>
      </c>
      <c r="BA201">
        <f t="shared" si="185"/>
        <v>0</v>
      </c>
      <c r="BB201">
        <f t="shared" si="186"/>
        <v>0</v>
      </c>
      <c r="BC201">
        <f t="shared" si="187"/>
        <v>0</v>
      </c>
      <c r="BD201">
        <f t="shared" si="188"/>
        <v>8</v>
      </c>
      <c r="BE201">
        <f t="shared" si="189"/>
        <v>560</v>
      </c>
      <c r="BF201">
        <f t="shared" si="190"/>
        <v>0</v>
      </c>
      <c r="BG201">
        <f t="shared" si="191"/>
        <v>0</v>
      </c>
      <c r="BH201">
        <f t="shared" si="192"/>
        <v>0</v>
      </c>
      <c r="BI201">
        <f t="shared" si="193"/>
        <v>0</v>
      </c>
      <c r="BJ201">
        <f t="shared" si="194"/>
        <v>0</v>
      </c>
      <c r="BK201">
        <f t="shared" si="195"/>
        <v>0</v>
      </c>
      <c r="BL201">
        <v>0</v>
      </c>
      <c r="BM201" t="str">
        <f t="shared" si="200"/>
        <v>Huge Win</v>
      </c>
      <c r="BN201" s="32" t="str">
        <f t="shared" si="201"/>
        <v>Bonus Game A</v>
      </c>
      <c r="BO201">
        <f>(D201/Summary!$C$4-Summary!$C$8)^2*E201</f>
        <v>38275.911200000002</v>
      </c>
      <c r="BP201">
        <f t="shared" si="196"/>
        <v>0</v>
      </c>
      <c r="BQ201">
        <f t="shared" si="197"/>
        <v>0</v>
      </c>
      <c r="BR201">
        <f t="shared" si="198"/>
        <v>0</v>
      </c>
      <c r="BS201">
        <f t="shared" si="199"/>
        <v>0</v>
      </c>
    </row>
    <row r="202" spans="2:71">
      <c r="B202" s="16">
        <f>Tiers!B203</f>
        <v>200</v>
      </c>
      <c r="C202" s="17" t="str">
        <f>Tiers!Y203</f>
        <v>main-30|bonusA-2|||||||| x 20</v>
      </c>
      <c r="D202" s="18">
        <f>Tiers!C203</f>
        <v>60</v>
      </c>
      <c r="E202" s="19">
        <f>Frequency!E204</f>
        <v>9</v>
      </c>
      <c r="F202" s="19">
        <f t="shared" si="153"/>
        <v>540</v>
      </c>
      <c r="G202" s="19">
        <f>IF(Tiers!D203&gt;1,'Data Analysis'!E202,0)</f>
        <v>9</v>
      </c>
      <c r="H202" s="19">
        <f t="shared" si="154"/>
        <v>540</v>
      </c>
      <c r="I202" s="19">
        <f>IF(AND(D202/Summary!$C$4&gt;0, D202/Summary!$C$4&lt;5),E202,0) * D202</f>
        <v>0</v>
      </c>
      <c r="J202" s="19">
        <f>IF(AND(D202/Summary!$C$4&gt;= 5, D202/Summary!$C$4&lt;10),E202,0) * D202</f>
        <v>0</v>
      </c>
      <c r="K202" s="19">
        <f>IF(AND(D202/Summary!$C$4&gt;=10, D202/Summary!$C$4&lt;25),E202,0)*D202</f>
        <v>0</v>
      </c>
      <c r="L202" s="19">
        <f>IF(D202/Summary!$C$4&gt;=25,E202,0)*D202</f>
        <v>540</v>
      </c>
      <c r="M202" s="27">
        <f>IF(AND(D202/Summary!$C$4&gt;0, D202/Summary!$C$4&lt;1),E202,0)</f>
        <v>0</v>
      </c>
      <c r="N202" s="27">
        <f t="shared" si="155"/>
        <v>0</v>
      </c>
      <c r="O202" s="27">
        <f>IF(D202/Summary!$C$4=1,1,0)*E202</f>
        <v>0</v>
      </c>
      <c r="P202" s="27">
        <f t="shared" si="156"/>
        <v>0</v>
      </c>
      <c r="Q202" s="27">
        <f>IF(AND(D202/Summary!$C$4&gt;1, D202/Summary!$C$4&lt;=2),1,0)*E202</f>
        <v>0</v>
      </c>
      <c r="R202" s="27">
        <f t="shared" si="157"/>
        <v>0</v>
      </c>
      <c r="S202" s="27">
        <f>IF(AND(D202/Summary!$C$4&gt;2,D202/Summary!$C$4&lt;=5),1,0)*E202</f>
        <v>0</v>
      </c>
      <c r="T202" s="27">
        <f t="shared" si="158"/>
        <v>0</v>
      </c>
      <c r="U202" s="27">
        <f>IF(AND(D202/Summary!$C$4&gt;5, D202/Summary!$C$4&lt;=10),1,0)*E202</f>
        <v>0</v>
      </c>
      <c r="V202" s="27">
        <f t="shared" si="159"/>
        <v>0</v>
      </c>
      <c r="W202" s="27">
        <f>IF(AND(D202/Summary!$C$4&gt;10, D202/Summary!$C$4&lt;=20),1,0)*E202</f>
        <v>0</v>
      </c>
      <c r="X202" s="27">
        <f t="shared" si="160"/>
        <v>0</v>
      </c>
      <c r="Y202" s="27">
        <f>IF(AND(D202/Summary!$C$4&gt;20, D202/Summary!$C$4&lt;=30),1,0)*E202</f>
        <v>0</v>
      </c>
      <c r="Z202" s="27">
        <f t="shared" si="161"/>
        <v>0</v>
      </c>
      <c r="AA202" s="27">
        <f>IF(AND(D202/Summary!$C$4&gt;30, D202/Summary!$C$4&lt;=50),1,0)*E202</f>
        <v>0</v>
      </c>
      <c r="AB202" s="27">
        <f t="shared" si="162"/>
        <v>0</v>
      </c>
      <c r="AC202" s="27">
        <f>IF(AND(D202/Summary!$C$4&gt;50, D202/Summary!$C$4&lt;=100),1,0)*E202</f>
        <v>9</v>
      </c>
      <c r="AD202" s="27">
        <f t="shared" si="163"/>
        <v>540</v>
      </c>
      <c r="AE202" s="27">
        <f>IF(D202/Summary!$C$4&gt;100,1,0)*E202</f>
        <v>0</v>
      </c>
      <c r="AF202" s="27">
        <f t="shared" si="164"/>
        <v>0</v>
      </c>
      <c r="AG202" s="19">
        <f t="shared" si="165"/>
        <v>0</v>
      </c>
      <c r="AH202" s="19">
        <f t="shared" si="166"/>
        <v>9</v>
      </c>
      <c r="AI202" s="19">
        <f t="shared" si="167"/>
        <v>0</v>
      </c>
      <c r="AJ202" s="27">
        <f t="shared" si="168"/>
        <v>1</v>
      </c>
      <c r="AK202" s="27">
        <f t="shared" si="169"/>
        <v>9</v>
      </c>
      <c r="AL202" s="27">
        <f t="shared" si="170"/>
        <v>540</v>
      </c>
      <c r="AM202">
        <f t="shared" si="171"/>
        <v>0</v>
      </c>
      <c r="AN202">
        <f t="shared" si="172"/>
        <v>0</v>
      </c>
      <c r="AO202">
        <f t="shared" si="173"/>
        <v>0</v>
      </c>
      <c r="AP202">
        <f t="shared" si="174"/>
        <v>0</v>
      </c>
      <c r="AQ202">
        <f t="shared" si="175"/>
        <v>0</v>
      </c>
      <c r="AR202">
        <f t="shared" si="176"/>
        <v>0</v>
      </c>
      <c r="AS202">
        <f t="shared" si="177"/>
        <v>0</v>
      </c>
      <c r="AT202">
        <f t="shared" si="178"/>
        <v>0</v>
      </c>
      <c r="AU202">
        <f t="shared" si="179"/>
        <v>0</v>
      </c>
      <c r="AV202">
        <f t="shared" si="180"/>
        <v>0</v>
      </c>
      <c r="AW202">
        <f t="shared" si="181"/>
        <v>0</v>
      </c>
      <c r="AX202">
        <f t="shared" si="182"/>
        <v>0</v>
      </c>
      <c r="AY202">
        <f t="shared" si="183"/>
        <v>0</v>
      </c>
      <c r="AZ202">
        <f t="shared" si="184"/>
        <v>0</v>
      </c>
      <c r="BA202">
        <f t="shared" si="185"/>
        <v>0</v>
      </c>
      <c r="BB202">
        <f t="shared" si="186"/>
        <v>0</v>
      </c>
      <c r="BC202">
        <f t="shared" si="187"/>
        <v>0</v>
      </c>
      <c r="BD202">
        <f t="shared" si="188"/>
        <v>9</v>
      </c>
      <c r="BE202">
        <f t="shared" si="189"/>
        <v>540</v>
      </c>
      <c r="BF202">
        <f t="shared" si="190"/>
        <v>0</v>
      </c>
      <c r="BG202">
        <f t="shared" si="191"/>
        <v>0</v>
      </c>
      <c r="BH202">
        <f t="shared" si="192"/>
        <v>0</v>
      </c>
      <c r="BI202">
        <f t="shared" si="193"/>
        <v>0</v>
      </c>
      <c r="BJ202">
        <f t="shared" si="194"/>
        <v>0</v>
      </c>
      <c r="BK202">
        <f t="shared" si="195"/>
        <v>0</v>
      </c>
      <c r="BL202">
        <v>0</v>
      </c>
      <c r="BM202" t="str">
        <f t="shared" si="200"/>
        <v>Huge Win</v>
      </c>
      <c r="BN202" s="32" t="str">
        <f t="shared" si="201"/>
        <v>Bonus Game A</v>
      </c>
      <c r="BO202">
        <f>(D202/Summary!$C$4-Summary!$C$8)^2*E202</f>
        <v>31509.8001</v>
      </c>
      <c r="BP202">
        <f t="shared" si="196"/>
        <v>0</v>
      </c>
      <c r="BQ202">
        <f t="shared" si="197"/>
        <v>0</v>
      </c>
      <c r="BR202">
        <f t="shared" si="198"/>
        <v>0</v>
      </c>
      <c r="BS202">
        <f t="shared" si="199"/>
        <v>0</v>
      </c>
    </row>
    <row r="203" spans="2:71">
      <c r="B203" s="16">
        <f>Tiers!B204</f>
        <v>201</v>
      </c>
      <c r="C203" s="17" t="str">
        <f>Tiers!Y204</f>
        <v>main-0|main-0|bonusA-1||||||| x 20</v>
      </c>
      <c r="D203" s="18">
        <f>Tiers!C204</f>
        <v>19</v>
      </c>
      <c r="E203" s="19">
        <f>Frequency!E205</f>
        <v>1200</v>
      </c>
      <c r="F203" s="19">
        <f t="shared" si="153"/>
        <v>22800</v>
      </c>
      <c r="G203" s="19">
        <f>IF(Tiers!D204&gt;1,'Data Analysis'!E203,0)</f>
        <v>1200</v>
      </c>
      <c r="H203" s="19">
        <f t="shared" si="154"/>
        <v>22800</v>
      </c>
      <c r="I203" s="19">
        <f>IF(AND(D203/Summary!$C$4&gt;0, D203/Summary!$C$4&lt;5),E203,0) * D203</f>
        <v>0</v>
      </c>
      <c r="J203" s="19">
        <f>IF(AND(D203/Summary!$C$4&gt;= 5, D203/Summary!$C$4&lt;10),E203,0) * D203</f>
        <v>0</v>
      </c>
      <c r="K203" s="19">
        <f>IF(AND(D203/Summary!$C$4&gt;=10, D203/Summary!$C$4&lt;25),E203,0)*D203</f>
        <v>22800</v>
      </c>
      <c r="L203" s="19">
        <f>IF(D203/Summary!$C$4&gt;=25,E203,0)*D203</f>
        <v>0</v>
      </c>
      <c r="M203" s="27">
        <f>IF(AND(D203/Summary!$C$4&gt;0, D203/Summary!$C$4&lt;1),E203,0)</f>
        <v>0</v>
      </c>
      <c r="N203" s="27">
        <f t="shared" si="155"/>
        <v>0</v>
      </c>
      <c r="O203" s="27">
        <f>IF(D203/Summary!$C$4=1,1,0)*E203</f>
        <v>0</v>
      </c>
      <c r="P203" s="27">
        <f t="shared" si="156"/>
        <v>0</v>
      </c>
      <c r="Q203" s="27">
        <f>IF(AND(D203/Summary!$C$4&gt;1, D203/Summary!$C$4&lt;=2),1,0)*E203</f>
        <v>0</v>
      </c>
      <c r="R203" s="27">
        <f t="shared" si="157"/>
        <v>0</v>
      </c>
      <c r="S203" s="27">
        <f>IF(AND(D203/Summary!$C$4&gt;2,D203/Summary!$C$4&lt;=5),1,0)*E203</f>
        <v>0</v>
      </c>
      <c r="T203" s="27">
        <f t="shared" si="158"/>
        <v>0</v>
      </c>
      <c r="U203" s="27">
        <f>IF(AND(D203/Summary!$C$4&gt;5, D203/Summary!$C$4&lt;=10),1,0)*E203</f>
        <v>0</v>
      </c>
      <c r="V203" s="27">
        <f t="shared" si="159"/>
        <v>0</v>
      </c>
      <c r="W203" s="27">
        <f>IF(AND(D203/Summary!$C$4&gt;10, D203/Summary!$C$4&lt;=20),1,0)*E203</f>
        <v>1200</v>
      </c>
      <c r="X203" s="27">
        <f t="shared" si="160"/>
        <v>22800</v>
      </c>
      <c r="Y203" s="27">
        <f>IF(AND(D203/Summary!$C$4&gt;20, D203/Summary!$C$4&lt;=30),1,0)*E203</f>
        <v>0</v>
      </c>
      <c r="Z203" s="27">
        <f t="shared" si="161"/>
        <v>0</v>
      </c>
      <c r="AA203" s="27">
        <f>IF(AND(D203/Summary!$C$4&gt;30, D203/Summary!$C$4&lt;=50),1,0)*E203</f>
        <v>0</v>
      </c>
      <c r="AB203" s="27">
        <f t="shared" si="162"/>
        <v>0</v>
      </c>
      <c r="AC203" s="27">
        <f>IF(AND(D203/Summary!$C$4&gt;50, D203/Summary!$C$4&lt;=100),1,0)*E203</f>
        <v>0</v>
      </c>
      <c r="AD203" s="27">
        <f t="shared" si="163"/>
        <v>0</v>
      </c>
      <c r="AE203" s="27">
        <f>IF(D203/Summary!$C$4&gt;100,1,0)*E203</f>
        <v>0</v>
      </c>
      <c r="AF203" s="27">
        <f t="shared" si="164"/>
        <v>0</v>
      </c>
      <c r="AG203" s="19">
        <f t="shared" si="165"/>
        <v>0</v>
      </c>
      <c r="AH203" s="19">
        <f t="shared" si="166"/>
        <v>1200</v>
      </c>
      <c r="AI203" s="19">
        <f t="shared" si="167"/>
        <v>0</v>
      </c>
      <c r="AJ203" s="27">
        <f t="shared" si="168"/>
        <v>1</v>
      </c>
      <c r="AK203" s="27">
        <f t="shared" si="169"/>
        <v>1200</v>
      </c>
      <c r="AL203" s="27">
        <f t="shared" si="170"/>
        <v>22800</v>
      </c>
      <c r="AM203">
        <f t="shared" si="171"/>
        <v>0</v>
      </c>
      <c r="AN203">
        <f t="shared" si="172"/>
        <v>0</v>
      </c>
      <c r="AO203">
        <f t="shared" si="173"/>
        <v>0</v>
      </c>
      <c r="AP203">
        <f t="shared" si="174"/>
        <v>0</v>
      </c>
      <c r="AQ203">
        <f t="shared" si="175"/>
        <v>0</v>
      </c>
      <c r="AR203">
        <f t="shared" si="176"/>
        <v>0</v>
      </c>
      <c r="AS203">
        <f t="shared" si="177"/>
        <v>0</v>
      </c>
      <c r="AT203">
        <f t="shared" si="178"/>
        <v>0</v>
      </c>
      <c r="AU203">
        <f t="shared" si="179"/>
        <v>0</v>
      </c>
      <c r="AV203">
        <f t="shared" si="180"/>
        <v>0</v>
      </c>
      <c r="AW203">
        <f t="shared" si="181"/>
        <v>0</v>
      </c>
      <c r="AX203">
        <f t="shared" si="182"/>
        <v>0</v>
      </c>
      <c r="AY203">
        <f t="shared" si="183"/>
        <v>0</v>
      </c>
      <c r="AZ203">
        <f t="shared" si="184"/>
        <v>0</v>
      </c>
      <c r="BA203">
        <f t="shared" si="185"/>
        <v>0</v>
      </c>
      <c r="BB203">
        <f t="shared" si="186"/>
        <v>0</v>
      </c>
      <c r="BC203">
        <f t="shared" si="187"/>
        <v>0</v>
      </c>
      <c r="BD203">
        <f t="shared" si="188"/>
        <v>1200</v>
      </c>
      <c r="BE203">
        <f t="shared" si="189"/>
        <v>22800</v>
      </c>
      <c r="BF203">
        <f t="shared" si="190"/>
        <v>0</v>
      </c>
      <c r="BG203">
        <f t="shared" si="191"/>
        <v>0</v>
      </c>
      <c r="BH203">
        <f t="shared" si="192"/>
        <v>0</v>
      </c>
      <c r="BI203">
        <f t="shared" si="193"/>
        <v>0</v>
      </c>
      <c r="BJ203">
        <f t="shared" si="194"/>
        <v>0</v>
      </c>
      <c r="BK203">
        <f t="shared" si="195"/>
        <v>0</v>
      </c>
      <c r="BL203">
        <v>0</v>
      </c>
      <c r="BM203" t="str">
        <f t="shared" si="200"/>
        <v>Big Win</v>
      </c>
      <c r="BN203" s="32" t="str">
        <f t="shared" si="201"/>
        <v>Bonus Game A</v>
      </c>
      <c r="BO203">
        <f>(D203/Summary!$C$4-Summary!$C$8)^2*E203</f>
        <v>396178.68000000011</v>
      </c>
      <c r="BP203">
        <f t="shared" si="196"/>
        <v>0</v>
      </c>
      <c r="BQ203">
        <f t="shared" si="197"/>
        <v>0</v>
      </c>
      <c r="BR203">
        <f t="shared" si="198"/>
        <v>0</v>
      </c>
      <c r="BS203">
        <f t="shared" si="199"/>
        <v>0</v>
      </c>
    </row>
    <row r="204" spans="2:71">
      <c r="B204" s="16">
        <f>Tiers!B205</f>
        <v>202</v>
      </c>
      <c r="C204" s="17" t="str">
        <f>Tiers!Y205</f>
        <v>main-0|main-1|bonusA-3||||||| x 20</v>
      </c>
      <c r="D204" s="18">
        <f>Tiers!C205</f>
        <v>31</v>
      </c>
      <c r="E204" s="19">
        <f>Frequency!E206</f>
        <v>200</v>
      </c>
      <c r="F204" s="19">
        <f t="shared" si="153"/>
        <v>6200</v>
      </c>
      <c r="G204" s="19">
        <f>IF(Tiers!D205&gt;1,'Data Analysis'!E204,0)</f>
        <v>200</v>
      </c>
      <c r="H204" s="19">
        <f t="shared" si="154"/>
        <v>6200</v>
      </c>
      <c r="I204" s="19">
        <f>IF(AND(D204/Summary!$C$4&gt;0, D204/Summary!$C$4&lt;5),E204,0) * D204</f>
        <v>0</v>
      </c>
      <c r="J204" s="19">
        <f>IF(AND(D204/Summary!$C$4&gt;= 5, D204/Summary!$C$4&lt;10),E204,0) * D204</f>
        <v>0</v>
      </c>
      <c r="K204" s="19">
        <f>IF(AND(D204/Summary!$C$4&gt;=10, D204/Summary!$C$4&lt;25),E204,0)*D204</f>
        <v>0</v>
      </c>
      <c r="L204" s="19">
        <f>IF(D204/Summary!$C$4&gt;=25,E204,0)*D204</f>
        <v>6200</v>
      </c>
      <c r="M204" s="27">
        <f>IF(AND(D204/Summary!$C$4&gt;0, D204/Summary!$C$4&lt;1),E204,0)</f>
        <v>0</v>
      </c>
      <c r="N204" s="27">
        <f t="shared" si="155"/>
        <v>0</v>
      </c>
      <c r="O204" s="27">
        <f>IF(D204/Summary!$C$4=1,1,0)*E204</f>
        <v>0</v>
      </c>
      <c r="P204" s="27">
        <f t="shared" si="156"/>
        <v>0</v>
      </c>
      <c r="Q204" s="27">
        <f>IF(AND(D204/Summary!$C$4&gt;1, D204/Summary!$C$4&lt;=2),1,0)*E204</f>
        <v>0</v>
      </c>
      <c r="R204" s="27">
        <f t="shared" si="157"/>
        <v>0</v>
      </c>
      <c r="S204" s="27">
        <f>IF(AND(D204/Summary!$C$4&gt;2,D204/Summary!$C$4&lt;=5),1,0)*E204</f>
        <v>0</v>
      </c>
      <c r="T204" s="27">
        <f t="shared" si="158"/>
        <v>0</v>
      </c>
      <c r="U204" s="27">
        <f>IF(AND(D204/Summary!$C$4&gt;5, D204/Summary!$C$4&lt;=10),1,0)*E204</f>
        <v>0</v>
      </c>
      <c r="V204" s="27">
        <f t="shared" si="159"/>
        <v>0</v>
      </c>
      <c r="W204" s="27">
        <f>IF(AND(D204/Summary!$C$4&gt;10, D204/Summary!$C$4&lt;=20),1,0)*E204</f>
        <v>0</v>
      </c>
      <c r="X204" s="27">
        <f t="shared" si="160"/>
        <v>0</v>
      </c>
      <c r="Y204" s="27">
        <f>IF(AND(D204/Summary!$C$4&gt;20, D204/Summary!$C$4&lt;=30),1,0)*E204</f>
        <v>0</v>
      </c>
      <c r="Z204" s="27">
        <f t="shared" si="161"/>
        <v>0</v>
      </c>
      <c r="AA204" s="27">
        <f>IF(AND(D204/Summary!$C$4&gt;30, D204/Summary!$C$4&lt;=50),1,0)*E204</f>
        <v>200</v>
      </c>
      <c r="AB204" s="27">
        <f t="shared" si="162"/>
        <v>6200</v>
      </c>
      <c r="AC204" s="27">
        <f>IF(AND(D204/Summary!$C$4&gt;50, D204/Summary!$C$4&lt;=100),1,0)*E204</f>
        <v>0</v>
      </c>
      <c r="AD204" s="27">
        <f t="shared" si="163"/>
        <v>0</v>
      </c>
      <c r="AE204" s="27">
        <f>IF(D204/Summary!$C$4&gt;100,1,0)*E204</f>
        <v>0</v>
      </c>
      <c r="AF204" s="27">
        <f t="shared" si="164"/>
        <v>0</v>
      </c>
      <c r="AG204" s="19">
        <f t="shared" si="165"/>
        <v>0</v>
      </c>
      <c r="AH204" s="19">
        <f t="shared" si="166"/>
        <v>200</v>
      </c>
      <c r="AI204" s="19">
        <f t="shared" si="167"/>
        <v>0</v>
      </c>
      <c r="AJ204" s="27">
        <f t="shared" si="168"/>
        <v>1</v>
      </c>
      <c r="AK204" s="27">
        <f t="shared" si="169"/>
        <v>200</v>
      </c>
      <c r="AL204" s="27">
        <f t="shared" si="170"/>
        <v>6200</v>
      </c>
      <c r="AM204">
        <f t="shared" si="171"/>
        <v>0</v>
      </c>
      <c r="AN204">
        <f t="shared" si="172"/>
        <v>0</v>
      </c>
      <c r="AO204">
        <f t="shared" si="173"/>
        <v>0</v>
      </c>
      <c r="AP204">
        <f t="shared" si="174"/>
        <v>0</v>
      </c>
      <c r="AQ204">
        <f t="shared" si="175"/>
        <v>0</v>
      </c>
      <c r="AR204">
        <f t="shared" si="176"/>
        <v>0</v>
      </c>
      <c r="AS204">
        <f t="shared" si="177"/>
        <v>0</v>
      </c>
      <c r="AT204">
        <f t="shared" si="178"/>
        <v>0</v>
      </c>
      <c r="AU204">
        <f t="shared" si="179"/>
        <v>0</v>
      </c>
      <c r="AV204">
        <f t="shared" si="180"/>
        <v>0</v>
      </c>
      <c r="AW204">
        <f t="shared" si="181"/>
        <v>0</v>
      </c>
      <c r="AX204">
        <f t="shared" si="182"/>
        <v>0</v>
      </c>
      <c r="AY204">
        <f t="shared" si="183"/>
        <v>0</v>
      </c>
      <c r="AZ204">
        <f t="shared" si="184"/>
        <v>0</v>
      </c>
      <c r="BA204">
        <f t="shared" si="185"/>
        <v>0</v>
      </c>
      <c r="BB204">
        <f t="shared" si="186"/>
        <v>0</v>
      </c>
      <c r="BC204">
        <f t="shared" si="187"/>
        <v>0</v>
      </c>
      <c r="BD204">
        <f t="shared" si="188"/>
        <v>200</v>
      </c>
      <c r="BE204">
        <f t="shared" si="189"/>
        <v>6200</v>
      </c>
      <c r="BF204">
        <f t="shared" si="190"/>
        <v>0</v>
      </c>
      <c r="BG204">
        <f t="shared" si="191"/>
        <v>0</v>
      </c>
      <c r="BH204">
        <f t="shared" si="192"/>
        <v>0</v>
      </c>
      <c r="BI204">
        <f t="shared" si="193"/>
        <v>0</v>
      </c>
      <c r="BJ204">
        <f t="shared" si="194"/>
        <v>0</v>
      </c>
      <c r="BK204">
        <f t="shared" si="195"/>
        <v>0</v>
      </c>
      <c r="BL204">
        <v>0</v>
      </c>
      <c r="BM204" t="str">
        <f t="shared" si="200"/>
        <v>Big Win</v>
      </c>
      <c r="BN204" s="32" t="str">
        <f t="shared" si="201"/>
        <v>Bonus Game A</v>
      </c>
      <c r="BO204">
        <f>(D204/Summary!$C$4-Summary!$C$8)^2*E204</f>
        <v>182045.78000000003</v>
      </c>
      <c r="BP204">
        <f t="shared" si="196"/>
        <v>0</v>
      </c>
      <c r="BQ204">
        <f t="shared" si="197"/>
        <v>0</v>
      </c>
      <c r="BR204">
        <f t="shared" si="198"/>
        <v>0</v>
      </c>
      <c r="BS204">
        <f t="shared" si="199"/>
        <v>0</v>
      </c>
    </row>
    <row r="205" spans="2:71">
      <c r="B205" s="16">
        <f>Tiers!B206</f>
        <v>203</v>
      </c>
      <c r="C205" s="17" t="str">
        <f>Tiers!Y206</f>
        <v>main-1|main-1|bonusA-0||||||| x 20</v>
      </c>
      <c r="D205" s="18">
        <f>Tiers!C206</f>
        <v>18</v>
      </c>
      <c r="E205" s="19">
        <f>Frequency!E207</f>
        <v>1200</v>
      </c>
      <c r="F205" s="19">
        <f t="shared" si="153"/>
        <v>21600</v>
      </c>
      <c r="G205" s="19">
        <f>IF(Tiers!D206&gt;1,'Data Analysis'!E205,0)</f>
        <v>1200</v>
      </c>
      <c r="H205" s="19">
        <f t="shared" si="154"/>
        <v>21600</v>
      </c>
      <c r="I205" s="19">
        <f>IF(AND(D205/Summary!$C$4&gt;0, D205/Summary!$C$4&lt;5),E205,0) * D205</f>
        <v>0</v>
      </c>
      <c r="J205" s="19">
        <f>IF(AND(D205/Summary!$C$4&gt;= 5, D205/Summary!$C$4&lt;10),E205,0) * D205</f>
        <v>0</v>
      </c>
      <c r="K205" s="19">
        <f>IF(AND(D205/Summary!$C$4&gt;=10, D205/Summary!$C$4&lt;25),E205,0)*D205</f>
        <v>21600</v>
      </c>
      <c r="L205" s="19">
        <f>IF(D205/Summary!$C$4&gt;=25,E205,0)*D205</f>
        <v>0</v>
      </c>
      <c r="M205" s="27">
        <f>IF(AND(D205/Summary!$C$4&gt;0, D205/Summary!$C$4&lt;1),E205,0)</f>
        <v>0</v>
      </c>
      <c r="N205" s="27">
        <f t="shared" si="155"/>
        <v>0</v>
      </c>
      <c r="O205" s="27">
        <f>IF(D205/Summary!$C$4=1,1,0)*E205</f>
        <v>0</v>
      </c>
      <c r="P205" s="27">
        <f t="shared" si="156"/>
        <v>0</v>
      </c>
      <c r="Q205" s="27">
        <f>IF(AND(D205/Summary!$C$4&gt;1, D205/Summary!$C$4&lt;=2),1,0)*E205</f>
        <v>0</v>
      </c>
      <c r="R205" s="27">
        <f t="shared" si="157"/>
        <v>0</v>
      </c>
      <c r="S205" s="27">
        <f>IF(AND(D205/Summary!$C$4&gt;2,D205/Summary!$C$4&lt;=5),1,0)*E205</f>
        <v>0</v>
      </c>
      <c r="T205" s="27">
        <f t="shared" si="158"/>
        <v>0</v>
      </c>
      <c r="U205" s="27">
        <f>IF(AND(D205/Summary!$C$4&gt;5, D205/Summary!$C$4&lt;=10),1,0)*E205</f>
        <v>0</v>
      </c>
      <c r="V205" s="27">
        <f t="shared" si="159"/>
        <v>0</v>
      </c>
      <c r="W205" s="27">
        <f>IF(AND(D205/Summary!$C$4&gt;10, D205/Summary!$C$4&lt;=20),1,0)*E205</f>
        <v>1200</v>
      </c>
      <c r="X205" s="27">
        <f t="shared" si="160"/>
        <v>21600</v>
      </c>
      <c r="Y205" s="27">
        <f>IF(AND(D205/Summary!$C$4&gt;20, D205/Summary!$C$4&lt;=30),1,0)*E205</f>
        <v>0</v>
      </c>
      <c r="Z205" s="27">
        <f t="shared" si="161"/>
        <v>0</v>
      </c>
      <c r="AA205" s="27">
        <f>IF(AND(D205/Summary!$C$4&gt;30, D205/Summary!$C$4&lt;=50),1,0)*E205</f>
        <v>0</v>
      </c>
      <c r="AB205" s="27">
        <f t="shared" si="162"/>
        <v>0</v>
      </c>
      <c r="AC205" s="27">
        <f>IF(AND(D205/Summary!$C$4&gt;50, D205/Summary!$C$4&lt;=100),1,0)*E205</f>
        <v>0</v>
      </c>
      <c r="AD205" s="27">
        <f t="shared" si="163"/>
        <v>0</v>
      </c>
      <c r="AE205" s="27">
        <f>IF(D205/Summary!$C$4&gt;100,1,0)*E205</f>
        <v>0</v>
      </c>
      <c r="AF205" s="27">
        <f t="shared" si="164"/>
        <v>0</v>
      </c>
      <c r="AG205" s="19">
        <f t="shared" si="165"/>
        <v>0</v>
      </c>
      <c r="AH205" s="19">
        <f t="shared" si="166"/>
        <v>1200</v>
      </c>
      <c r="AI205" s="19">
        <f t="shared" si="167"/>
        <v>0</v>
      </c>
      <c r="AJ205" s="27">
        <f t="shared" si="168"/>
        <v>1</v>
      </c>
      <c r="AK205" s="27">
        <f t="shared" si="169"/>
        <v>1200</v>
      </c>
      <c r="AL205" s="27">
        <f t="shared" si="170"/>
        <v>21600</v>
      </c>
      <c r="AM205">
        <f t="shared" si="171"/>
        <v>0</v>
      </c>
      <c r="AN205">
        <f t="shared" si="172"/>
        <v>0</v>
      </c>
      <c r="AO205">
        <f t="shared" si="173"/>
        <v>0</v>
      </c>
      <c r="AP205">
        <f t="shared" si="174"/>
        <v>0</v>
      </c>
      <c r="AQ205">
        <f t="shared" si="175"/>
        <v>0</v>
      </c>
      <c r="AR205">
        <f t="shared" si="176"/>
        <v>0</v>
      </c>
      <c r="AS205">
        <f t="shared" si="177"/>
        <v>0</v>
      </c>
      <c r="AT205">
        <f t="shared" si="178"/>
        <v>0</v>
      </c>
      <c r="AU205">
        <f t="shared" si="179"/>
        <v>0</v>
      </c>
      <c r="AV205">
        <f t="shared" si="180"/>
        <v>0</v>
      </c>
      <c r="AW205">
        <f t="shared" si="181"/>
        <v>0</v>
      </c>
      <c r="AX205">
        <f t="shared" si="182"/>
        <v>0</v>
      </c>
      <c r="AY205">
        <f t="shared" si="183"/>
        <v>0</v>
      </c>
      <c r="AZ205">
        <f t="shared" si="184"/>
        <v>0</v>
      </c>
      <c r="BA205">
        <f t="shared" si="185"/>
        <v>0</v>
      </c>
      <c r="BB205">
        <f t="shared" si="186"/>
        <v>0</v>
      </c>
      <c r="BC205">
        <f t="shared" si="187"/>
        <v>0</v>
      </c>
      <c r="BD205">
        <f t="shared" si="188"/>
        <v>1200</v>
      </c>
      <c r="BE205">
        <f t="shared" si="189"/>
        <v>21600</v>
      </c>
      <c r="BF205">
        <f t="shared" si="190"/>
        <v>0</v>
      </c>
      <c r="BG205">
        <f t="shared" si="191"/>
        <v>0</v>
      </c>
      <c r="BH205">
        <f t="shared" si="192"/>
        <v>0</v>
      </c>
      <c r="BI205">
        <f t="shared" si="193"/>
        <v>0</v>
      </c>
      <c r="BJ205">
        <f t="shared" si="194"/>
        <v>0</v>
      </c>
      <c r="BK205">
        <f t="shared" si="195"/>
        <v>0</v>
      </c>
      <c r="BL205">
        <v>0</v>
      </c>
      <c r="BM205" t="str">
        <f t="shared" si="200"/>
        <v>Big Win</v>
      </c>
      <c r="BN205" s="32" t="str">
        <f t="shared" si="201"/>
        <v>Bonus Game A</v>
      </c>
      <c r="BO205">
        <f>(D205/Summary!$C$4-Summary!$C$8)^2*E205</f>
        <v>353770.68000000005</v>
      </c>
      <c r="BP205">
        <f t="shared" si="196"/>
        <v>0</v>
      </c>
      <c r="BQ205">
        <f t="shared" si="197"/>
        <v>0</v>
      </c>
      <c r="BR205">
        <f t="shared" si="198"/>
        <v>0</v>
      </c>
      <c r="BS205">
        <f t="shared" si="199"/>
        <v>0</v>
      </c>
    </row>
    <row r="206" spans="2:71">
      <c r="B206" s="16">
        <f>Tiers!B207</f>
        <v>204</v>
      </c>
      <c r="C206" s="17" t="str">
        <f>Tiers!Y207</f>
        <v>main-0|main-2|bonusA-4||||||| x 20</v>
      </c>
      <c r="D206" s="18">
        <f>Tiers!C207</f>
        <v>42</v>
      </c>
      <c r="E206" s="19">
        <f>Frequency!E208</f>
        <v>100</v>
      </c>
      <c r="F206" s="19">
        <f t="shared" si="153"/>
        <v>4200</v>
      </c>
      <c r="G206" s="19">
        <f>IF(Tiers!D207&gt;1,'Data Analysis'!E206,0)</f>
        <v>100</v>
      </c>
      <c r="H206" s="19">
        <f t="shared" si="154"/>
        <v>4200</v>
      </c>
      <c r="I206" s="19">
        <f>IF(AND(D206/Summary!$C$4&gt;0, D206/Summary!$C$4&lt;5),E206,0) * D206</f>
        <v>0</v>
      </c>
      <c r="J206" s="19">
        <f>IF(AND(D206/Summary!$C$4&gt;= 5, D206/Summary!$C$4&lt;10),E206,0) * D206</f>
        <v>0</v>
      </c>
      <c r="K206" s="19">
        <f>IF(AND(D206/Summary!$C$4&gt;=10, D206/Summary!$C$4&lt;25),E206,0)*D206</f>
        <v>0</v>
      </c>
      <c r="L206" s="19">
        <f>IF(D206/Summary!$C$4&gt;=25,E206,0)*D206</f>
        <v>4200</v>
      </c>
      <c r="M206" s="27">
        <f>IF(AND(D206/Summary!$C$4&gt;0, D206/Summary!$C$4&lt;1),E206,0)</f>
        <v>0</v>
      </c>
      <c r="N206" s="27">
        <f t="shared" si="155"/>
        <v>0</v>
      </c>
      <c r="O206" s="27">
        <f>IF(D206/Summary!$C$4=1,1,0)*E206</f>
        <v>0</v>
      </c>
      <c r="P206" s="27">
        <f t="shared" si="156"/>
        <v>0</v>
      </c>
      <c r="Q206" s="27">
        <f>IF(AND(D206/Summary!$C$4&gt;1, D206/Summary!$C$4&lt;=2),1,0)*E206</f>
        <v>0</v>
      </c>
      <c r="R206" s="27">
        <f t="shared" si="157"/>
        <v>0</v>
      </c>
      <c r="S206" s="27">
        <f>IF(AND(D206/Summary!$C$4&gt;2,D206/Summary!$C$4&lt;=5),1,0)*E206</f>
        <v>0</v>
      </c>
      <c r="T206" s="27">
        <f t="shared" si="158"/>
        <v>0</v>
      </c>
      <c r="U206" s="27">
        <f>IF(AND(D206/Summary!$C$4&gt;5, D206/Summary!$C$4&lt;=10),1,0)*E206</f>
        <v>0</v>
      </c>
      <c r="V206" s="27">
        <f t="shared" si="159"/>
        <v>0</v>
      </c>
      <c r="W206" s="27">
        <f>IF(AND(D206/Summary!$C$4&gt;10, D206/Summary!$C$4&lt;=20),1,0)*E206</f>
        <v>0</v>
      </c>
      <c r="X206" s="27">
        <f t="shared" si="160"/>
        <v>0</v>
      </c>
      <c r="Y206" s="27">
        <f>IF(AND(D206/Summary!$C$4&gt;20, D206/Summary!$C$4&lt;=30),1,0)*E206</f>
        <v>0</v>
      </c>
      <c r="Z206" s="27">
        <f t="shared" si="161"/>
        <v>0</v>
      </c>
      <c r="AA206" s="27">
        <f>IF(AND(D206/Summary!$C$4&gt;30, D206/Summary!$C$4&lt;=50),1,0)*E206</f>
        <v>100</v>
      </c>
      <c r="AB206" s="27">
        <f t="shared" si="162"/>
        <v>4200</v>
      </c>
      <c r="AC206" s="27">
        <f>IF(AND(D206/Summary!$C$4&gt;50, D206/Summary!$C$4&lt;=100),1,0)*E206</f>
        <v>0</v>
      </c>
      <c r="AD206" s="27">
        <f t="shared" si="163"/>
        <v>0</v>
      </c>
      <c r="AE206" s="27">
        <f>IF(D206/Summary!$C$4&gt;100,1,0)*E206</f>
        <v>0</v>
      </c>
      <c r="AF206" s="27">
        <f t="shared" si="164"/>
        <v>0</v>
      </c>
      <c r="AG206" s="19">
        <f t="shared" si="165"/>
        <v>0</v>
      </c>
      <c r="AH206" s="19">
        <f t="shared" si="166"/>
        <v>100</v>
      </c>
      <c r="AI206" s="19">
        <f t="shared" si="167"/>
        <v>0</v>
      </c>
      <c r="AJ206" s="27">
        <f t="shared" si="168"/>
        <v>1</v>
      </c>
      <c r="AK206" s="27">
        <f t="shared" si="169"/>
        <v>100</v>
      </c>
      <c r="AL206" s="27">
        <f t="shared" si="170"/>
        <v>4200</v>
      </c>
      <c r="AM206">
        <f t="shared" si="171"/>
        <v>0</v>
      </c>
      <c r="AN206">
        <f t="shared" si="172"/>
        <v>0</v>
      </c>
      <c r="AO206">
        <f t="shared" si="173"/>
        <v>0</v>
      </c>
      <c r="AP206">
        <f t="shared" si="174"/>
        <v>0</v>
      </c>
      <c r="AQ206">
        <f t="shared" si="175"/>
        <v>0</v>
      </c>
      <c r="AR206">
        <f t="shared" si="176"/>
        <v>0</v>
      </c>
      <c r="AS206">
        <f t="shared" si="177"/>
        <v>0</v>
      </c>
      <c r="AT206">
        <f t="shared" si="178"/>
        <v>0</v>
      </c>
      <c r="AU206">
        <f t="shared" si="179"/>
        <v>0</v>
      </c>
      <c r="AV206">
        <f t="shared" si="180"/>
        <v>0</v>
      </c>
      <c r="AW206">
        <f t="shared" si="181"/>
        <v>0</v>
      </c>
      <c r="AX206">
        <f t="shared" si="182"/>
        <v>0</v>
      </c>
      <c r="AY206">
        <f t="shared" si="183"/>
        <v>0</v>
      </c>
      <c r="AZ206">
        <f t="shared" si="184"/>
        <v>0</v>
      </c>
      <c r="BA206">
        <f t="shared" si="185"/>
        <v>0</v>
      </c>
      <c r="BB206">
        <f t="shared" si="186"/>
        <v>0</v>
      </c>
      <c r="BC206">
        <f t="shared" si="187"/>
        <v>0</v>
      </c>
      <c r="BD206">
        <f t="shared" si="188"/>
        <v>100</v>
      </c>
      <c r="BE206">
        <f t="shared" si="189"/>
        <v>4200</v>
      </c>
      <c r="BF206">
        <f t="shared" si="190"/>
        <v>0</v>
      </c>
      <c r="BG206">
        <f t="shared" si="191"/>
        <v>0</v>
      </c>
      <c r="BH206">
        <f t="shared" si="192"/>
        <v>0</v>
      </c>
      <c r="BI206">
        <f t="shared" si="193"/>
        <v>0</v>
      </c>
      <c r="BJ206">
        <f t="shared" si="194"/>
        <v>0</v>
      </c>
      <c r="BK206">
        <f t="shared" si="195"/>
        <v>0</v>
      </c>
      <c r="BL206">
        <v>0</v>
      </c>
      <c r="BM206" t="str">
        <f t="shared" si="200"/>
        <v>Big Win</v>
      </c>
      <c r="BN206" s="32" t="str">
        <f t="shared" si="201"/>
        <v>Bonus Game A</v>
      </c>
      <c r="BO206">
        <f>(D206/Summary!$C$4-Summary!$C$8)^2*E206</f>
        <v>169496.89</v>
      </c>
      <c r="BP206">
        <f t="shared" si="196"/>
        <v>0</v>
      </c>
      <c r="BQ206">
        <f t="shared" si="197"/>
        <v>0</v>
      </c>
      <c r="BR206">
        <f t="shared" si="198"/>
        <v>0</v>
      </c>
      <c r="BS206">
        <f t="shared" si="199"/>
        <v>0</v>
      </c>
    </row>
    <row r="207" spans="2:71">
      <c r="B207" s="16">
        <f>Tiers!B208</f>
        <v>205</v>
      </c>
      <c r="C207" s="17" t="str">
        <f>Tiers!Y208</f>
        <v>main-0|main-3|bonusA-1||||||| x 20</v>
      </c>
      <c r="D207" s="18">
        <f>Tiers!C208</f>
        <v>37</v>
      </c>
      <c r="E207" s="19">
        <f>Frequency!E209</f>
        <v>400</v>
      </c>
      <c r="F207" s="19">
        <f t="shared" si="153"/>
        <v>14800</v>
      </c>
      <c r="G207" s="19">
        <f>IF(Tiers!D208&gt;1,'Data Analysis'!E207,0)</f>
        <v>400</v>
      </c>
      <c r="H207" s="19">
        <f t="shared" si="154"/>
        <v>14800</v>
      </c>
      <c r="I207" s="19">
        <f>IF(AND(D207/Summary!$C$4&gt;0, D207/Summary!$C$4&lt;5),E207,0) * D207</f>
        <v>0</v>
      </c>
      <c r="J207" s="19">
        <f>IF(AND(D207/Summary!$C$4&gt;= 5, D207/Summary!$C$4&lt;10),E207,0) * D207</f>
        <v>0</v>
      </c>
      <c r="K207" s="19">
        <f>IF(AND(D207/Summary!$C$4&gt;=10, D207/Summary!$C$4&lt;25),E207,0)*D207</f>
        <v>0</v>
      </c>
      <c r="L207" s="19">
        <f>IF(D207/Summary!$C$4&gt;=25,E207,0)*D207</f>
        <v>14800</v>
      </c>
      <c r="M207" s="27">
        <f>IF(AND(D207/Summary!$C$4&gt;0, D207/Summary!$C$4&lt;1),E207,0)</f>
        <v>0</v>
      </c>
      <c r="N207" s="27">
        <f t="shared" si="155"/>
        <v>0</v>
      </c>
      <c r="O207" s="27">
        <f>IF(D207/Summary!$C$4=1,1,0)*E207</f>
        <v>0</v>
      </c>
      <c r="P207" s="27">
        <f t="shared" si="156"/>
        <v>0</v>
      </c>
      <c r="Q207" s="27">
        <f>IF(AND(D207/Summary!$C$4&gt;1, D207/Summary!$C$4&lt;=2),1,0)*E207</f>
        <v>0</v>
      </c>
      <c r="R207" s="27">
        <f t="shared" si="157"/>
        <v>0</v>
      </c>
      <c r="S207" s="27">
        <f>IF(AND(D207/Summary!$C$4&gt;2,D207/Summary!$C$4&lt;=5),1,0)*E207</f>
        <v>0</v>
      </c>
      <c r="T207" s="27">
        <f t="shared" si="158"/>
        <v>0</v>
      </c>
      <c r="U207" s="27">
        <f>IF(AND(D207/Summary!$C$4&gt;5, D207/Summary!$C$4&lt;=10),1,0)*E207</f>
        <v>0</v>
      </c>
      <c r="V207" s="27">
        <f t="shared" si="159"/>
        <v>0</v>
      </c>
      <c r="W207" s="27">
        <f>IF(AND(D207/Summary!$C$4&gt;10, D207/Summary!$C$4&lt;=20),1,0)*E207</f>
        <v>0</v>
      </c>
      <c r="X207" s="27">
        <f t="shared" si="160"/>
        <v>0</v>
      </c>
      <c r="Y207" s="27">
        <f>IF(AND(D207/Summary!$C$4&gt;20, D207/Summary!$C$4&lt;=30),1,0)*E207</f>
        <v>0</v>
      </c>
      <c r="Z207" s="27">
        <f t="shared" si="161"/>
        <v>0</v>
      </c>
      <c r="AA207" s="27">
        <f>IF(AND(D207/Summary!$C$4&gt;30, D207/Summary!$C$4&lt;=50),1,0)*E207</f>
        <v>400</v>
      </c>
      <c r="AB207" s="27">
        <f t="shared" si="162"/>
        <v>14800</v>
      </c>
      <c r="AC207" s="27">
        <f>IF(AND(D207/Summary!$C$4&gt;50, D207/Summary!$C$4&lt;=100),1,0)*E207</f>
        <v>0</v>
      </c>
      <c r="AD207" s="27">
        <f t="shared" si="163"/>
        <v>0</v>
      </c>
      <c r="AE207" s="27">
        <f>IF(D207/Summary!$C$4&gt;100,1,0)*E207</f>
        <v>0</v>
      </c>
      <c r="AF207" s="27">
        <f t="shared" si="164"/>
        <v>0</v>
      </c>
      <c r="AG207" s="19">
        <f t="shared" si="165"/>
        <v>0</v>
      </c>
      <c r="AH207" s="19">
        <f t="shared" si="166"/>
        <v>400</v>
      </c>
      <c r="AI207" s="19">
        <f t="shared" si="167"/>
        <v>0</v>
      </c>
      <c r="AJ207" s="27">
        <f t="shared" si="168"/>
        <v>1</v>
      </c>
      <c r="AK207" s="27">
        <f t="shared" si="169"/>
        <v>400</v>
      </c>
      <c r="AL207" s="27">
        <f t="shared" si="170"/>
        <v>14800</v>
      </c>
      <c r="AM207">
        <f t="shared" si="171"/>
        <v>0</v>
      </c>
      <c r="AN207">
        <f t="shared" si="172"/>
        <v>0</v>
      </c>
      <c r="AO207">
        <f t="shared" si="173"/>
        <v>0</v>
      </c>
      <c r="AP207">
        <f t="shared" si="174"/>
        <v>0</v>
      </c>
      <c r="AQ207">
        <f t="shared" si="175"/>
        <v>0</v>
      </c>
      <c r="AR207">
        <f t="shared" si="176"/>
        <v>0</v>
      </c>
      <c r="AS207">
        <f t="shared" si="177"/>
        <v>0</v>
      </c>
      <c r="AT207">
        <f t="shared" si="178"/>
        <v>0</v>
      </c>
      <c r="AU207">
        <f t="shared" si="179"/>
        <v>0</v>
      </c>
      <c r="AV207">
        <f t="shared" si="180"/>
        <v>0</v>
      </c>
      <c r="AW207">
        <f t="shared" si="181"/>
        <v>0</v>
      </c>
      <c r="AX207">
        <f t="shared" si="182"/>
        <v>0</v>
      </c>
      <c r="AY207">
        <f t="shared" si="183"/>
        <v>0</v>
      </c>
      <c r="AZ207">
        <f t="shared" si="184"/>
        <v>0</v>
      </c>
      <c r="BA207">
        <f t="shared" si="185"/>
        <v>0</v>
      </c>
      <c r="BB207">
        <f t="shared" si="186"/>
        <v>0</v>
      </c>
      <c r="BC207">
        <f t="shared" si="187"/>
        <v>0</v>
      </c>
      <c r="BD207">
        <f t="shared" si="188"/>
        <v>400</v>
      </c>
      <c r="BE207">
        <f t="shared" si="189"/>
        <v>14800</v>
      </c>
      <c r="BF207">
        <f t="shared" si="190"/>
        <v>0</v>
      </c>
      <c r="BG207">
        <f t="shared" si="191"/>
        <v>0</v>
      </c>
      <c r="BH207">
        <f t="shared" si="192"/>
        <v>0</v>
      </c>
      <c r="BI207">
        <f t="shared" si="193"/>
        <v>0</v>
      </c>
      <c r="BJ207">
        <f t="shared" si="194"/>
        <v>0</v>
      </c>
      <c r="BK207">
        <f t="shared" si="195"/>
        <v>0</v>
      </c>
      <c r="BL207">
        <v>0</v>
      </c>
      <c r="BM207" t="str">
        <f t="shared" si="200"/>
        <v>Big Win</v>
      </c>
      <c r="BN207" s="32" t="str">
        <f t="shared" si="201"/>
        <v>Bonus Game A</v>
      </c>
      <c r="BO207">
        <f>(D207/Summary!$C$4-Summary!$C$8)^2*E207</f>
        <v>523307.56</v>
      </c>
      <c r="BP207">
        <f t="shared" si="196"/>
        <v>0</v>
      </c>
      <c r="BQ207">
        <f t="shared" si="197"/>
        <v>0</v>
      </c>
      <c r="BR207">
        <f t="shared" si="198"/>
        <v>0</v>
      </c>
      <c r="BS207">
        <f t="shared" si="199"/>
        <v>0</v>
      </c>
    </row>
    <row r="208" spans="2:71">
      <c r="B208" s="16">
        <f>Tiers!B209</f>
        <v>206</v>
      </c>
      <c r="C208" s="17" t="str">
        <f>Tiers!Y209</f>
        <v>main-0|main-4|bonusA-3||||||| x 20</v>
      </c>
      <c r="D208" s="18">
        <f>Tiers!C209</f>
        <v>57</v>
      </c>
      <c r="E208" s="19">
        <f>Frequency!E210</f>
        <v>100</v>
      </c>
      <c r="F208" s="19">
        <f t="shared" si="153"/>
        <v>5700</v>
      </c>
      <c r="G208" s="19">
        <f>IF(Tiers!D209&gt;1,'Data Analysis'!E208,0)</f>
        <v>100</v>
      </c>
      <c r="H208" s="19">
        <f t="shared" si="154"/>
        <v>5700</v>
      </c>
      <c r="I208" s="19">
        <f>IF(AND(D208/Summary!$C$4&gt;0, D208/Summary!$C$4&lt;5),E208,0) * D208</f>
        <v>0</v>
      </c>
      <c r="J208" s="19">
        <f>IF(AND(D208/Summary!$C$4&gt;= 5, D208/Summary!$C$4&lt;10),E208,0) * D208</f>
        <v>0</v>
      </c>
      <c r="K208" s="19">
        <f>IF(AND(D208/Summary!$C$4&gt;=10, D208/Summary!$C$4&lt;25),E208,0)*D208</f>
        <v>0</v>
      </c>
      <c r="L208" s="19">
        <f>IF(D208/Summary!$C$4&gt;=25,E208,0)*D208</f>
        <v>5700</v>
      </c>
      <c r="M208" s="27">
        <f>IF(AND(D208/Summary!$C$4&gt;0, D208/Summary!$C$4&lt;1),E208,0)</f>
        <v>0</v>
      </c>
      <c r="N208" s="27">
        <f t="shared" si="155"/>
        <v>0</v>
      </c>
      <c r="O208" s="27">
        <f>IF(D208/Summary!$C$4=1,1,0)*E208</f>
        <v>0</v>
      </c>
      <c r="P208" s="27">
        <f t="shared" si="156"/>
        <v>0</v>
      </c>
      <c r="Q208" s="27">
        <f>IF(AND(D208/Summary!$C$4&gt;1, D208/Summary!$C$4&lt;=2),1,0)*E208</f>
        <v>0</v>
      </c>
      <c r="R208" s="27">
        <f t="shared" si="157"/>
        <v>0</v>
      </c>
      <c r="S208" s="27">
        <f>IF(AND(D208/Summary!$C$4&gt;2,D208/Summary!$C$4&lt;=5),1,0)*E208</f>
        <v>0</v>
      </c>
      <c r="T208" s="27">
        <f t="shared" si="158"/>
        <v>0</v>
      </c>
      <c r="U208" s="27">
        <f>IF(AND(D208/Summary!$C$4&gt;5, D208/Summary!$C$4&lt;=10),1,0)*E208</f>
        <v>0</v>
      </c>
      <c r="V208" s="27">
        <f t="shared" si="159"/>
        <v>0</v>
      </c>
      <c r="W208" s="27">
        <f>IF(AND(D208/Summary!$C$4&gt;10, D208/Summary!$C$4&lt;=20),1,0)*E208</f>
        <v>0</v>
      </c>
      <c r="X208" s="27">
        <f t="shared" si="160"/>
        <v>0</v>
      </c>
      <c r="Y208" s="27">
        <f>IF(AND(D208/Summary!$C$4&gt;20, D208/Summary!$C$4&lt;=30),1,0)*E208</f>
        <v>0</v>
      </c>
      <c r="Z208" s="27">
        <f t="shared" si="161"/>
        <v>0</v>
      </c>
      <c r="AA208" s="27">
        <f>IF(AND(D208/Summary!$C$4&gt;30, D208/Summary!$C$4&lt;=50),1,0)*E208</f>
        <v>0</v>
      </c>
      <c r="AB208" s="27">
        <f t="shared" si="162"/>
        <v>0</v>
      </c>
      <c r="AC208" s="27">
        <f>IF(AND(D208/Summary!$C$4&gt;50, D208/Summary!$C$4&lt;=100),1,0)*E208</f>
        <v>100</v>
      </c>
      <c r="AD208" s="27">
        <f t="shared" si="163"/>
        <v>5700</v>
      </c>
      <c r="AE208" s="27">
        <f>IF(D208/Summary!$C$4&gt;100,1,0)*E208</f>
        <v>0</v>
      </c>
      <c r="AF208" s="27">
        <f t="shared" si="164"/>
        <v>0</v>
      </c>
      <c r="AG208" s="19">
        <f t="shared" si="165"/>
        <v>0</v>
      </c>
      <c r="AH208" s="19">
        <f t="shared" si="166"/>
        <v>100</v>
      </c>
      <c r="AI208" s="19">
        <f t="shared" si="167"/>
        <v>0</v>
      </c>
      <c r="AJ208" s="27">
        <f t="shared" si="168"/>
        <v>1</v>
      </c>
      <c r="AK208" s="27">
        <f t="shared" si="169"/>
        <v>100</v>
      </c>
      <c r="AL208" s="27">
        <f t="shared" si="170"/>
        <v>5700</v>
      </c>
      <c r="AM208">
        <f t="shared" si="171"/>
        <v>0</v>
      </c>
      <c r="AN208">
        <f t="shared" si="172"/>
        <v>0</v>
      </c>
      <c r="AO208">
        <f t="shared" si="173"/>
        <v>0</v>
      </c>
      <c r="AP208">
        <f t="shared" si="174"/>
        <v>0</v>
      </c>
      <c r="AQ208">
        <f t="shared" si="175"/>
        <v>0</v>
      </c>
      <c r="AR208">
        <f t="shared" si="176"/>
        <v>0</v>
      </c>
      <c r="AS208">
        <f t="shared" si="177"/>
        <v>0</v>
      </c>
      <c r="AT208">
        <f t="shared" si="178"/>
        <v>0</v>
      </c>
      <c r="AU208">
        <f t="shared" si="179"/>
        <v>0</v>
      </c>
      <c r="AV208">
        <f t="shared" si="180"/>
        <v>0</v>
      </c>
      <c r="AW208">
        <f t="shared" si="181"/>
        <v>0</v>
      </c>
      <c r="AX208">
        <f t="shared" si="182"/>
        <v>0</v>
      </c>
      <c r="AY208">
        <f t="shared" si="183"/>
        <v>0</v>
      </c>
      <c r="AZ208">
        <f t="shared" si="184"/>
        <v>0</v>
      </c>
      <c r="BA208">
        <f t="shared" si="185"/>
        <v>0</v>
      </c>
      <c r="BB208">
        <f t="shared" si="186"/>
        <v>0</v>
      </c>
      <c r="BC208">
        <f t="shared" si="187"/>
        <v>0</v>
      </c>
      <c r="BD208">
        <f t="shared" si="188"/>
        <v>100</v>
      </c>
      <c r="BE208">
        <f t="shared" si="189"/>
        <v>5700</v>
      </c>
      <c r="BF208">
        <f t="shared" si="190"/>
        <v>0</v>
      </c>
      <c r="BG208">
        <f t="shared" si="191"/>
        <v>0</v>
      </c>
      <c r="BH208">
        <f t="shared" si="192"/>
        <v>0</v>
      </c>
      <c r="BI208">
        <f t="shared" si="193"/>
        <v>0</v>
      </c>
      <c r="BJ208">
        <f t="shared" si="194"/>
        <v>0</v>
      </c>
      <c r="BK208">
        <f t="shared" si="195"/>
        <v>0</v>
      </c>
      <c r="BL208">
        <v>0</v>
      </c>
      <c r="BM208" t="str">
        <f t="shared" si="200"/>
        <v>Huge Win</v>
      </c>
      <c r="BN208" s="32" t="str">
        <f t="shared" si="201"/>
        <v>Bonus Game A</v>
      </c>
      <c r="BO208">
        <f>(D208/Summary!$C$4-Summary!$C$8)^2*E208</f>
        <v>315506.89</v>
      </c>
      <c r="BP208">
        <f t="shared" si="196"/>
        <v>0</v>
      </c>
      <c r="BQ208">
        <f t="shared" si="197"/>
        <v>0</v>
      </c>
      <c r="BR208">
        <f t="shared" si="198"/>
        <v>0</v>
      </c>
      <c r="BS208">
        <f t="shared" si="199"/>
        <v>0</v>
      </c>
    </row>
    <row r="209" spans="2:71">
      <c r="B209" s="16">
        <f>Tiers!B210</f>
        <v>207</v>
      </c>
      <c r="C209" s="17" t="str">
        <f>Tiers!Y210</f>
        <v>main-2|main-20|bonusA-0||||||| x 20</v>
      </c>
      <c r="D209" s="18">
        <f>Tiers!C210</f>
        <v>50</v>
      </c>
      <c r="E209" s="19">
        <f>Frequency!E211</f>
        <v>100</v>
      </c>
      <c r="F209" s="19">
        <f t="shared" si="153"/>
        <v>5000</v>
      </c>
      <c r="G209" s="19">
        <f>IF(Tiers!D210&gt;1,'Data Analysis'!E209,0)</f>
        <v>100</v>
      </c>
      <c r="H209" s="19">
        <f t="shared" si="154"/>
        <v>5000</v>
      </c>
      <c r="I209" s="19">
        <f>IF(AND(D209/Summary!$C$4&gt;0, D209/Summary!$C$4&lt;5),E209,0) * D209</f>
        <v>0</v>
      </c>
      <c r="J209" s="19">
        <f>IF(AND(D209/Summary!$C$4&gt;= 5, D209/Summary!$C$4&lt;10),E209,0) * D209</f>
        <v>0</v>
      </c>
      <c r="K209" s="19">
        <f>IF(AND(D209/Summary!$C$4&gt;=10, D209/Summary!$C$4&lt;25),E209,0)*D209</f>
        <v>0</v>
      </c>
      <c r="L209" s="19">
        <f>IF(D209/Summary!$C$4&gt;=25,E209,0)*D209</f>
        <v>5000</v>
      </c>
      <c r="M209" s="27">
        <f>IF(AND(D209/Summary!$C$4&gt;0, D209/Summary!$C$4&lt;1),E209,0)</f>
        <v>0</v>
      </c>
      <c r="N209" s="27">
        <f t="shared" si="155"/>
        <v>0</v>
      </c>
      <c r="O209" s="27">
        <f>IF(D209/Summary!$C$4=1,1,0)*E209</f>
        <v>0</v>
      </c>
      <c r="P209" s="27">
        <f t="shared" si="156"/>
        <v>0</v>
      </c>
      <c r="Q209" s="27">
        <f>IF(AND(D209/Summary!$C$4&gt;1, D209/Summary!$C$4&lt;=2),1,0)*E209</f>
        <v>0</v>
      </c>
      <c r="R209" s="27">
        <f t="shared" si="157"/>
        <v>0</v>
      </c>
      <c r="S209" s="27">
        <f>IF(AND(D209/Summary!$C$4&gt;2,D209/Summary!$C$4&lt;=5),1,0)*E209</f>
        <v>0</v>
      </c>
      <c r="T209" s="27">
        <f t="shared" si="158"/>
        <v>0</v>
      </c>
      <c r="U209" s="27">
        <f>IF(AND(D209/Summary!$C$4&gt;5, D209/Summary!$C$4&lt;=10),1,0)*E209</f>
        <v>0</v>
      </c>
      <c r="V209" s="27">
        <f t="shared" si="159"/>
        <v>0</v>
      </c>
      <c r="W209" s="27">
        <f>IF(AND(D209/Summary!$C$4&gt;10, D209/Summary!$C$4&lt;=20),1,0)*E209</f>
        <v>0</v>
      </c>
      <c r="X209" s="27">
        <f t="shared" si="160"/>
        <v>0</v>
      </c>
      <c r="Y209" s="27">
        <f>IF(AND(D209/Summary!$C$4&gt;20, D209/Summary!$C$4&lt;=30),1,0)*E209</f>
        <v>0</v>
      </c>
      <c r="Z209" s="27">
        <f t="shared" si="161"/>
        <v>0</v>
      </c>
      <c r="AA209" s="27">
        <f>IF(AND(D209/Summary!$C$4&gt;30, D209/Summary!$C$4&lt;=50),1,0)*E209</f>
        <v>100</v>
      </c>
      <c r="AB209" s="27">
        <f t="shared" si="162"/>
        <v>5000</v>
      </c>
      <c r="AC209" s="27">
        <f>IF(AND(D209/Summary!$C$4&gt;50, D209/Summary!$C$4&lt;=100),1,0)*E209</f>
        <v>0</v>
      </c>
      <c r="AD209" s="27">
        <f t="shared" si="163"/>
        <v>0</v>
      </c>
      <c r="AE209" s="27">
        <f>IF(D209/Summary!$C$4&gt;100,1,0)*E209</f>
        <v>0</v>
      </c>
      <c r="AF209" s="27">
        <f t="shared" si="164"/>
        <v>0</v>
      </c>
      <c r="AG209" s="19">
        <f t="shared" si="165"/>
        <v>0</v>
      </c>
      <c r="AH209" s="19">
        <f t="shared" si="166"/>
        <v>100</v>
      </c>
      <c r="AI209" s="19">
        <f t="shared" si="167"/>
        <v>0</v>
      </c>
      <c r="AJ209" s="27">
        <f t="shared" si="168"/>
        <v>1</v>
      </c>
      <c r="AK209" s="27">
        <f t="shared" si="169"/>
        <v>100</v>
      </c>
      <c r="AL209" s="27">
        <f t="shared" si="170"/>
        <v>5000</v>
      </c>
      <c r="AM209">
        <f t="shared" si="171"/>
        <v>0</v>
      </c>
      <c r="AN209">
        <f t="shared" si="172"/>
        <v>0</v>
      </c>
      <c r="AO209">
        <f t="shared" si="173"/>
        <v>0</v>
      </c>
      <c r="AP209">
        <f t="shared" si="174"/>
        <v>0</v>
      </c>
      <c r="AQ209">
        <f t="shared" si="175"/>
        <v>0</v>
      </c>
      <c r="AR209">
        <f t="shared" si="176"/>
        <v>0</v>
      </c>
      <c r="AS209">
        <f t="shared" si="177"/>
        <v>0</v>
      </c>
      <c r="AT209">
        <f t="shared" si="178"/>
        <v>0</v>
      </c>
      <c r="AU209">
        <f t="shared" si="179"/>
        <v>0</v>
      </c>
      <c r="AV209">
        <f t="shared" si="180"/>
        <v>0</v>
      </c>
      <c r="AW209">
        <f t="shared" si="181"/>
        <v>0</v>
      </c>
      <c r="AX209">
        <f t="shared" si="182"/>
        <v>0</v>
      </c>
      <c r="AY209">
        <f t="shared" si="183"/>
        <v>0</v>
      </c>
      <c r="AZ209">
        <f t="shared" si="184"/>
        <v>0</v>
      </c>
      <c r="BA209">
        <f t="shared" si="185"/>
        <v>0</v>
      </c>
      <c r="BB209">
        <f t="shared" si="186"/>
        <v>0</v>
      </c>
      <c r="BC209">
        <f t="shared" si="187"/>
        <v>0</v>
      </c>
      <c r="BD209">
        <f t="shared" si="188"/>
        <v>100</v>
      </c>
      <c r="BE209">
        <f t="shared" si="189"/>
        <v>5000</v>
      </c>
      <c r="BF209">
        <f t="shared" si="190"/>
        <v>0</v>
      </c>
      <c r="BG209">
        <f t="shared" si="191"/>
        <v>0</v>
      </c>
      <c r="BH209">
        <f t="shared" si="192"/>
        <v>0</v>
      </c>
      <c r="BI209">
        <f t="shared" si="193"/>
        <v>0</v>
      </c>
      <c r="BJ209">
        <f t="shared" si="194"/>
        <v>0</v>
      </c>
      <c r="BK209">
        <f t="shared" si="195"/>
        <v>0</v>
      </c>
      <c r="BL209">
        <v>0</v>
      </c>
      <c r="BM209" t="str">
        <f t="shared" si="200"/>
        <v>Huge Win</v>
      </c>
      <c r="BN209" s="32" t="str">
        <f t="shared" si="201"/>
        <v>Bonus Game A</v>
      </c>
      <c r="BO209">
        <f>(D209/Summary!$C$4-Summary!$C$8)^2*E209</f>
        <v>241768.89</v>
      </c>
      <c r="BP209">
        <f t="shared" si="196"/>
        <v>0</v>
      </c>
      <c r="BQ209">
        <f t="shared" si="197"/>
        <v>0</v>
      </c>
      <c r="BR209">
        <f t="shared" si="198"/>
        <v>0</v>
      </c>
      <c r="BS209">
        <f t="shared" si="199"/>
        <v>0</v>
      </c>
    </row>
    <row r="210" spans="2:71">
      <c r="B210" s="16">
        <f>Tiers!B211</f>
        <v>208</v>
      </c>
      <c r="C210" s="17" t="str">
        <f>Tiers!Y211</f>
        <v>main-4|main-4|bonusA-4||||||| x 20</v>
      </c>
      <c r="D210" s="18">
        <f>Tiers!C211</f>
        <v>90</v>
      </c>
      <c r="E210" s="19">
        <f>Frequency!E212</f>
        <v>2</v>
      </c>
      <c r="F210" s="19">
        <f t="shared" si="153"/>
        <v>180</v>
      </c>
      <c r="G210" s="19">
        <f>IF(Tiers!D211&gt;1,'Data Analysis'!E210,0)</f>
        <v>2</v>
      </c>
      <c r="H210" s="19">
        <f t="shared" si="154"/>
        <v>180</v>
      </c>
      <c r="I210" s="19">
        <f>IF(AND(D210/Summary!$C$4&gt;0, D210/Summary!$C$4&lt;5),E210,0) * D210</f>
        <v>0</v>
      </c>
      <c r="J210" s="19">
        <f>IF(AND(D210/Summary!$C$4&gt;= 5, D210/Summary!$C$4&lt;10),E210,0) * D210</f>
        <v>0</v>
      </c>
      <c r="K210" s="19">
        <f>IF(AND(D210/Summary!$C$4&gt;=10, D210/Summary!$C$4&lt;25),E210,0)*D210</f>
        <v>0</v>
      </c>
      <c r="L210" s="19">
        <f>IF(D210/Summary!$C$4&gt;=25,E210,0)*D210</f>
        <v>180</v>
      </c>
      <c r="M210" s="27">
        <f>IF(AND(D210/Summary!$C$4&gt;0, D210/Summary!$C$4&lt;1),E210,0)</f>
        <v>0</v>
      </c>
      <c r="N210" s="27">
        <f t="shared" si="155"/>
        <v>0</v>
      </c>
      <c r="O210" s="27">
        <f>IF(D210/Summary!$C$4=1,1,0)*E210</f>
        <v>0</v>
      </c>
      <c r="P210" s="27">
        <f t="shared" si="156"/>
        <v>0</v>
      </c>
      <c r="Q210" s="27">
        <f>IF(AND(D210/Summary!$C$4&gt;1, D210/Summary!$C$4&lt;=2),1,0)*E210</f>
        <v>0</v>
      </c>
      <c r="R210" s="27">
        <f t="shared" si="157"/>
        <v>0</v>
      </c>
      <c r="S210" s="27">
        <f>IF(AND(D210/Summary!$C$4&gt;2,D210/Summary!$C$4&lt;=5),1,0)*E210</f>
        <v>0</v>
      </c>
      <c r="T210" s="27">
        <f t="shared" si="158"/>
        <v>0</v>
      </c>
      <c r="U210" s="27">
        <f>IF(AND(D210/Summary!$C$4&gt;5, D210/Summary!$C$4&lt;=10),1,0)*E210</f>
        <v>0</v>
      </c>
      <c r="V210" s="27">
        <f t="shared" si="159"/>
        <v>0</v>
      </c>
      <c r="W210" s="27">
        <f>IF(AND(D210/Summary!$C$4&gt;10, D210/Summary!$C$4&lt;=20),1,0)*E210</f>
        <v>0</v>
      </c>
      <c r="X210" s="27">
        <f t="shared" si="160"/>
        <v>0</v>
      </c>
      <c r="Y210" s="27">
        <f>IF(AND(D210/Summary!$C$4&gt;20, D210/Summary!$C$4&lt;=30),1,0)*E210</f>
        <v>0</v>
      </c>
      <c r="Z210" s="27">
        <f t="shared" si="161"/>
        <v>0</v>
      </c>
      <c r="AA210" s="27">
        <f>IF(AND(D210/Summary!$C$4&gt;30, D210/Summary!$C$4&lt;=50),1,0)*E210</f>
        <v>0</v>
      </c>
      <c r="AB210" s="27">
        <f t="shared" si="162"/>
        <v>0</v>
      </c>
      <c r="AC210" s="27">
        <f>IF(AND(D210/Summary!$C$4&gt;50, D210/Summary!$C$4&lt;=100),1,0)*E210</f>
        <v>2</v>
      </c>
      <c r="AD210" s="27">
        <f t="shared" si="163"/>
        <v>180</v>
      </c>
      <c r="AE210" s="27">
        <f>IF(D210/Summary!$C$4&gt;100,1,0)*E210</f>
        <v>0</v>
      </c>
      <c r="AF210" s="27">
        <f t="shared" si="164"/>
        <v>0</v>
      </c>
      <c r="AG210" s="19">
        <f t="shared" si="165"/>
        <v>0</v>
      </c>
      <c r="AH210" s="19">
        <f t="shared" si="166"/>
        <v>2</v>
      </c>
      <c r="AI210" s="19">
        <f t="shared" si="167"/>
        <v>0</v>
      </c>
      <c r="AJ210" s="27">
        <f t="shared" si="168"/>
        <v>1</v>
      </c>
      <c r="AK210" s="27">
        <f t="shared" si="169"/>
        <v>2</v>
      </c>
      <c r="AL210" s="27">
        <f t="shared" si="170"/>
        <v>180</v>
      </c>
      <c r="AM210">
        <f t="shared" si="171"/>
        <v>0</v>
      </c>
      <c r="AN210">
        <f t="shared" si="172"/>
        <v>0</v>
      </c>
      <c r="AO210">
        <f t="shared" si="173"/>
        <v>0</v>
      </c>
      <c r="AP210">
        <f t="shared" si="174"/>
        <v>0</v>
      </c>
      <c r="AQ210">
        <f t="shared" si="175"/>
        <v>0</v>
      </c>
      <c r="AR210">
        <f t="shared" si="176"/>
        <v>0</v>
      </c>
      <c r="AS210">
        <f t="shared" si="177"/>
        <v>0</v>
      </c>
      <c r="AT210">
        <f t="shared" si="178"/>
        <v>0</v>
      </c>
      <c r="AU210">
        <f t="shared" si="179"/>
        <v>0</v>
      </c>
      <c r="AV210">
        <f t="shared" si="180"/>
        <v>0</v>
      </c>
      <c r="AW210">
        <f t="shared" si="181"/>
        <v>0</v>
      </c>
      <c r="AX210">
        <f t="shared" si="182"/>
        <v>0</v>
      </c>
      <c r="AY210">
        <f t="shared" si="183"/>
        <v>0</v>
      </c>
      <c r="AZ210">
        <f t="shared" si="184"/>
        <v>0</v>
      </c>
      <c r="BA210">
        <f t="shared" si="185"/>
        <v>0</v>
      </c>
      <c r="BB210">
        <f t="shared" si="186"/>
        <v>0</v>
      </c>
      <c r="BC210">
        <f t="shared" si="187"/>
        <v>0</v>
      </c>
      <c r="BD210">
        <f t="shared" si="188"/>
        <v>2</v>
      </c>
      <c r="BE210">
        <f t="shared" si="189"/>
        <v>180</v>
      </c>
      <c r="BF210">
        <f t="shared" si="190"/>
        <v>0</v>
      </c>
      <c r="BG210">
        <f t="shared" si="191"/>
        <v>0</v>
      </c>
      <c r="BH210">
        <f t="shared" si="192"/>
        <v>0</v>
      </c>
      <c r="BI210">
        <f t="shared" si="193"/>
        <v>0</v>
      </c>
      <c r="BJ210">
        <f t="shared" si="194"/>
        <v>0</v>
      </c>
      <c r="BK210">
        <f t="shared" si="195"/>
        <v>0</v>
      </c>
      <c r="BL210">
        <v>0</v>
      </c>
      <c r="BM210" t="str">
        <f t="shared" si="200"/>
        <v>Huge Win</v>
      </c>
      <c r="BN210" s="32" t="str">
        <f t="shared" si="201"/>
        <v>Bonus Game A</v>
      </c>
      <c r="BO210">
        <f>(D210/Summary!$C$4-Summary!$C$8)^2*E210</f>
        <v>15902.577800000001</v>
      </c>
      <c r="BP210">
        <f t="shared" si="196"/>
        <v>0</v>
      </c>
      <c r="BQ210">
        <f t="shared" si="197"/>
        <v>0</v>
      </c>
      <c r="BR210">
        <f t="shared" si="198"/>
        <v>0</v>
      </c>
      <c r="BS210">
        <f t="shared" si="199"/>
        <v>0</v>
      </c>
    </row>
    <row r="211" spans="2:71">
      <c r="B211" s="16">
        <f>Tiers!B212</f>
        <v>209</v>
      </c>
      <c r="C211" s="17" t="str">
        <f>Tiers!Y212</f>
        <v>main-4|main-11|bonusA-2||||||| x 20</v>
      </c>
      <c r="D211" s="18">
        <f>Tiers!C212</f>
        <v>80</v>
      </c>
      <c r="E211" s="19">
        <f>Frequency!E213</f>
        <v>3</v>
      </c>
      <c r="F211" s="19">
        <f t="shared" si="153"/>
        <v>240</v>
      </c>
      <c r="G211" s="19">
        <f>IF(Tiers!D212&gt;1,'Data Analysis'!E211,0)</f>
        <v>3</v>
      </c>
      <c r="H211" s="19">
        <f t="shared" si="154"/>
        <v>240</v>
      </c>
      <c r="I211" s="19">
        <f>IF(AND(D211/Summary!$C$4&gt;0, D211/Summary!$C$4&lt;5),E211,0) * D211</f>
        <v>0</v>
      </c>
      <c r="J211" s="19">
        <f>IF(AND(D211/Summary!$C$4&gt;= 5, D211/Summary!$C$4&lt;10),E211,0) * D211</f>
        <v>0</v>
      </c>
      <c r="K211" s="19">
        <f>IF(AND(D211/Summary!$C$4&gt;=10, D211/Summary!$C$4&lt;25),E211,0)*D211</f>
        <v>0</v>
      </c>
      <c r="L211" s="19">
        <f>IF(D211/Summary!$C$4&gt;=25,E211,0)*D211</f>
        <v>240</v>
      </c>
      <c r="M211" s="27">
        <f>IF(AND(D211/Summary!$C$4&gt;0, D211/Summary!$C$4&lt;1),E211,0)</f>
        <v>0</v>
      </c>
      <c r="N211" s="27">
        <f t="shared" si="155"/>
        <v>0</v>
      </c>
      <c r="O211" s="27">
        <f>IF(D211/Summary!$C$4=1,1,0)*E211</f>
        <v>0</v>
      </c>
      <c r="P211" s="27">
        <f t="shared" si="156"/>
        <v>0</v>
      </c>
      <c r="Q211" s="27">
        <f>IF(AND(D211/Summary!$C$4&gt;1, D211/Summary!$C$4&lt;=2),1,0)*E211</f>
        <v>0</v>
      </c>
      <c r="R211" s="27">
        <f t="shared" si="157"/>
        <v>0</v>
      </c>
      <c r="S211" s="27">
        <f>IF(AND(D211/Summary!$C$4&gt;2,D211/Summary!$C$4&lt;=5),1,0)*E211</f>
        <v>0</v>
      </c>
      <c r="T211" s="27">
        <f t="shared" si="158"/>
        <v>0</v>
      </c>
      <c r="U211" s="27">
        <f>IF(AND(D211/Summary!$C$4&gt;5, D211/Summary!$C$4&lt;=10),1,0)*E211</f>
        <v>0</v>
      </c>
      <c r="V211" s="27">
        <f t="shared" si="159"/>
        <v>0</v>
      </c>
      <c r="W211" s="27">
        <f>IF(AND(D211/Summary!$C$4&gt;10, D211/Summary!$C$4&lt;=20),1,0)*E211</f>
        <v>0</v>
      </c>
      <c r="X211" s="27">
        <f t="shared" si="160"/>
        <v>0</v>
      </c>
      <c r="Y211" s="27">
        <f>IF(AND(D211/Summary!$C$4&gt;20, D211/Summary!$C$4&lt;=30),1,0)*E211</f>
        <v>0</v>
      </c>
      <c r="Z211" s="27">
        <f t="shared" si="161"/>
        <v>0</v>
      </c>
      <c r="AA211" s="27">
        <f>IF(AND(D211/Summary!$C$4&gt;30, D211/Summary!$C$4&lt;=50),1,0)*E211</f>
        <v>0</v>
      </c>
      <c r="AB211" s="27">
        <f t="shared" si="162"/>
        <v>0</v>
      </c>
      <c r="AC211" s="27">
        <f>IF(AND(D211/Summary!$C$4&gt;50, D211/Summary!$C$4&lt;=100),1,0)*E211</f>
        <v>3</v>
      </c>
      <c r="AD211" s="27">
        <f t="shared" si="163"/>
        <v>240</v>
      </c>
      <c r="AE211" s="27">
        <f>IF(D211/Summary!$C$4&gt;100,1,0)*E211</f>
        <v>0</v>
      </c>
      <c r="AF211" s="27">
        <f t="shared" si="164"/>
        <v>0</v>
      </c>
      <c r="AG211" s="19">
        <f t="shared" si="165"/>
        <v>0</v>
      </c>
      <c r="AH211" s="19">
        <f t="shared" si="166"/>
        <v>3</v>
      </c>
      <c r="AI211" s="19">
        <f t="shared" si="167"/>
        <v>0</v>
      </c>
      <c r="AJ211" s="27">
        <f t="shared" si="168"/>
        <v>1</v>
      </c>
      <c r="AK211" s="27">
        <f t="shared" si="169"/>
        <v>3</v>
      </c>
      <c r="AL211" s="27">
        <f t="shared" si="170"/>
        <v>240</v>
      </c>
      <c r="AM211">
        <f t="shared" si="171"/>
        <v>0</v>
      </c>
      <c r="AN211">
        <f t="shared" si="172"/>
        <v>0</v>
      </c>
      <c r="AO211">
        <f t="shared" si="173"/>
        <v>0</v>
      </c>
      <c r="AP211">
        <f t="shared" si="174"/>
        <v>0</v>
      </c>
      <c r="AQ211">
        <f t="shared" si="175"/>
        <v>0</v>
      </c>
      <c r="AR211">
        <f t="shared" si="176"/>
        <v>0</v>
      </c>
      <c r="AS211">
        <f t="shared" si="177"/>
        <v>0</v>
      </c>
      <c r="AT211">
        <f t="shared" si="178"/>
        <v>0</v>
      </c>
      <c r="AU211">
        <f t="shared" si="179"/>
        <v>0</v>
      </c>
      <c r="AV211">
        <f t="shared" si="180"/>
        <v>0</v>
      </c>
      <c r="AW211">
        <f t="shared" si="181"/>
        <v>0</v>
      </c>
      <c r="AX211">
        <f t="shared" si="182"/>
        <v>0</v>
      </c>
      <c r="AY211">
        <f t="shared" si="183"/>
        <v>0</v>
      </c>
      <c r="AZ211">
        <f t="shared" si="184"/>
        <v>0</v>
      </c>
      <c r="BA211">
        <f t="shared" si="185"/>
        <v>0</v>
      </c>
      <c r="BB211">
        <f t="shared" si="186"/>
        <v>0</v>
      </c>
      <c r="BC211">
        <f t="shared" si="187"/>
        <v>0</v>
      </c>
      <c r="BD211">
        <f t="shared" si="188"/>
        <v>3</v>
      </c>
      <c r="BE211">
        <f t="shared" si="189"/>
        <v>240</v>
      </c>
      <c r="BF211">
        <f t="shared" si="190"/>
        <v>0</v>
      </c>
      <c r="BG211">
        <f t="shared" si="191"/>
        <v>0</v>
      </c>
      <c r="BH211">
        <f t="shared" si="192"/>
        <v>0</v>
      </c>
      <c r="BI211">
        <f t="shared" si="193"/>
        <v>0</v>
      </c>
      <c r="BJ211">
        <f t="shared" si="194"/>
        <v>0</v>
      </c>
      <c r="BK211">
        <f t="shared" si="195"/>
        <v>0</v>
      </c>
      <c r="BL211">
        <v>0</v>
      </c>
      <c r="BM211" t="str">
        <f t="shared" si="200"/>
        <v>Huge Win</v>
      </c>
      <c r="BN211" s="32" t="str">
        <f t="shared" si="201"/>
        <v>Bonus Game A</v>
      </c>
      <c r="BO211">
        <f>(D211/Summary!$C$4-Summary!$C$8)^2*E211</f>
        <v>18803.666700000002</v>
      </c>
      <c r="BP211">
        <f t="shared" si="196"/>
        <v>0</v>
      </c>
      <c r="BQ211">
        <f t="shared" si="197"/>
        <v>0</v>
      </c>
      <c r="BR211">
        <f t="shared" si="198"/>
        <v>0</v>
      </c>
      <c r="BS211">
        <f t="shared" si="199"/>
        <v>0</v>
      </c>
    </row>
    <row r="212" spans="2:71">
      <c r="B212" s="16">
        <f>Tiers!B213</f>
        <v>210</v>
      </c>
      <c r="C212" s="17" t="str">
        <f>Tiers!Y213</f>
        <v>main-10|main-30|bonusA-3||||||| x 20</v>
      </c>
      <c r="D212" s="18">
        <f>Tiers!C213</f>
        <v>85</v>
      </c>
      <c r="E212" s="19">
        <f>Frequency!E214</f>
        <v>2</v>
      </c>
      <c r="F212" s="19">
        <f t="shared" si="153"/>
        <v>170</v>
      </c>
      <c r="G212" s="19">
        <f>IF(Tiers!D213&gt;1,'Data Analysis'!E212,0)</f>
        <v>2</v>
      </c>
      <c r="H212" s="19">
        <f t="shared" si="154"/>
        <v>170</v>
      </c>
      <c r="I212" s="19">
        <f>IF(AND(D212/Summary!$C$4&gt;0, D212/Summary!$C$4&lt;5),E212,0) * D212</f>
        <v>0</v>
      </c>
      <c r="J212" s="19">
        <f>IF(AND(D212/Summary!$C$4&gt;= 5, D212/Summary!$C$4&lt;10),E212,0) * D212</f>
        <v>0</v>
      </c>
      <c r="K212" s="19">
        <f>IF(AND(D212/Summary!$C$4&gt;=10, D212/Summary!$C$4&lt;25),E212,0)*D212</f>
        <v>0</v>
      </c>
      <c r="L212" s="19">
        <f>IF(D212/Summary!$C$4&gt;=25,E212,0)*D212</f>
        <v>170</v>
      </c>
      <c r="M212" s="27">
        <f>IF(AND(D212/Summary!$C$4&gt;0, D212/Summary!$C$4&lt;1),E212,0)</f>
        <v>0</v>
      </c>
      <c r="N212" s="27">
        <f t="shared" si="155"/>
        <v>0</v>
      </c>
      <c r="O212" s="27">
        <f>IF(D212/Summary!$C$4=1,1,0)*E212</f>
        <v>0</v>
      </c>
      <c r="P212" s="27">
        <f t="shared" si="156"/>
        <v>0</v>
      </c>
      <c r="Q212" s="27">
        <f>IF(AND(D212/Summary!$C$4&gt;1, D212/Summary!$C$4&lt;=2),1,0)*E212</f>
        <v>0</v>
      </c>
      <c r="R212" s="27">
        <f t="shared" si="157"/>
        <v>0</v>
      </c>
      <c r="S212" s="27">
        <f>IF(AND(D212/Summary!$C$4&gt;2,D212/Summary!$C$4&lt;=5),1,0)*E212</f>
        <v>0</v>
      </c>
      <c r="T212" s="27">
        <f t="shared" si="158"/>
        <v>0</v>
      </c>
      <c r="U212" s="27">
        <f>IF(AND(D212/Summary!$C$4&gt;5, D212/Summary!$C$4&lt;=10),1,0)*E212</f>
        <v>0</v>
      </c>
      <c r="V212" s="27">
        <f t="shared" si="159"/>
        <v>0</v>
      </c>
      <c r="W212" s="27">
        <f>IF(AND(D212/Summary!$C$4&gt;10, D212/Summary!$C$4&lt;=20),1,0)*E212</f>
        <v>0</v>
      </c>
      <c r="X212" s="27">
        <f t="shared" si="160"/>
        <v>0</v>
      </c>
      <c r="Y212" s="27">
        <f>IF(AND(D212/Summary!$C$4&gt;20, D212/Summary!$C$4&lt;=30),1,0)*E212</f>
        <v>0</v>
      </c>
      <c r="Z212" s="27">
        <f t="shared" si="161"/>
        <v>0</v>
      </c>
      <c r="AA212" s="27">
        <f>IF(AND(D212/Summary!$C$4&gt;30, D212/Summary!$C$4&lt;=50),1,0)*E212</f>
        <v>0</v>
      </c>
      <c r="AB212" s="27">
        <f t="shared" si="162"/>
        <v>0</v>
      </c>
      <c r="AC212" s="27">
        <f>IF(AND(D212/Summary!$C$4&gt;50, D212/Summary!$C$4&lt;=100),1,0)*E212</f>
        <v>2</v>
      </c>
      <c r="AD212" s="27">
        <f t="shared" si="163"/>
        <v>170</v>
      </c>
      <c r="AE212" s="27">
        <f>IF(D212/Summary!$C$4&gt;100,1,0)*E212</f>
        <v>0</v>
      </c>
      <c r="AF212" s="27">
        <f t="shared" si="164"/>
        <v>0</v>
      </c>
      <c r="AG212" s="19">
        <f t="shared" si="165"/>
        <v>0</v>
      </c>
      <c r="AH212" s="19">
        <f t="shared" si="166"/>
        <v>2</v>
      </c>
      <c r="AI212" s="19">
        <f t="shared" si="167"/>
        <v>0</v>
      </c>
      <c r="AJ212" s="27">
        <f t="shared" si="168"/>
        <v>1</v>
      </c>
      <c r="AK212" s="27">
        <f t="shared" si="169"/>
        <v>2</v>
      </c>
      <c r="AL212" s="27">
        <f t="shared" si="170"/>
        <v>170</v>
      </c>
      <c r="AM212">
        <f t="shared" si="171"/>
        <v>0</v>
      </c>
      <c r="AN212">
        <f t="shared" si="172"/>
        <v>0</v>
      </c>
      <c r="AO212">
        <f t="shared" si="173"/>
        <v>0</v>
      </c>
      <c r="AP212">
        <f t="shared" si="174"/>
        <v>0</v>
      </c>
      <c r="AQ212">
        <f t="shared" si="175"/>
        <v>0</v>
      </c>
      <c r="AR212">
        <f t="shared" si="176"/>
        <v>0</v>
      </c>
      <c r="AS212">
        <f t="shared" si="177"/>
        <v>0</v>
      </c>
      <c r="AT212">
        <f t="shared" si="178"/>
        <v>0</v>
      </c>
      <c r="AU212">
        <f t="shared" si="179"/>
        <v>0</v>
      </c>
      <c r="AV212">
        <f t="shared" si="180"/>
        <v>0</v>
      </c>
      <c r="AW212">
        <f t="shared" si="181"/>
        <v>0</v>
      </c>
      <c r="AX212">
        <f t="shared" si="182"/>
        <v>0</v>
      </c>
      <c r="AY212">
        <f t="shared" si="183"/>
        <v>0</v>
      </c>
      <c r="AZ212">
        <f t="shared" si="184"/>
        <v>0</v>
      </c>
      <c r="BA212">
        <f t="shared" si="185"/>
        <v>0</v>
      </c>
      <c r="BB212">
        <f t="shared" si="186"/>
        <v>0</v>
      </c>
      <c r="BC212">
        <f t="shared" si="187"/>
        <v>0</v>
      </c>
      <c r="BD212">
        <f t="shared" si="188"/>
        <v>2</v>
      </c>
      <c r="BE212">
        <f t="shared" si="189"/>
        <v>170</v>
      </c>
      <c r="BF212">
        <f t="shared" si="190"/>
        <v>0</v>
      </c>
      <c r="BG212">
        <f t="shared" si="191"/>
        <v>0</v>
      </c>
      <c r="BH212">
        <f t="shared" si="192"/>
        <v>0</v>
      </c>
      <c r="BI212">
        <f t="shared" si="193"/>
        <v>0</v>
      </c>
      <c r="BJ212">
        <f t="shared" si="194"/>
        <v>0</v>
      </c>
      <c r="BK212">
        <f t="shared" si="195"/>
        <v>0</v>
      </c>
      <c r="BL212">
        <v>0</v>
      </c>
      <c r="BM212" t="str">
        <f t="shared" si="200"/>
        <v>Huge Win</v>
      </c>
      <c r="BN212" s="32" t="str">
        <f t="shared" si="201"/>
        <v>Bonus Game A</v>
      </c>
      <c r="BO212">
        <f>(D212/Summary!$C$4-Summary!$C$8)^2*E212</f>
        <v>14169.177800000001</v>
      </c>
      <c r="BP212">
        <f t="shared" si="196"/>
        <v>0</v>
      </c>
      <c r="BQ212">
        <f t="shared" si="197"/>
        <v>0</v>
      </c>
      <c r="BR212">
        <f t="shared" si="198"/>
        <v>0</v>
      </c>
      <c r="BS212">
        <f t="shared" si="199"/>
        <v>0</v>
      </c>
    </row>
    <row r="213" spans="2:71">
      <c r="B213" s="16">
        <f>Tiers!B214</f>
        <v>211</v>
      </c>
      <c r="C213" s="17" t="str">
        <f>Tiers!Y214</f>
        <v>main-0|main-0|main-2|bonusA-3|||||| x 20</v>
      </c>
      <c r="D213" s="18">
        <f>Tiers!C214</f>
        <v>39</v>
      </c>
      <c r="E213" s="19">
        <f>Frequency!E215</f>
        <v>100</v>
      </c>
      <c r="F213" s="19">
        <f t="shared" si="153"/>
        <v>3900</v>
      </c>
      <c r="G213" s="19">
        <f>IF(Tiers!D214&gt;1,'Data Analysis'!E213,0)</f>
        <v>100</v>
      </c>
      <c r="H213" s="19">
        <f t="shared" si="154"/>
        <v>3900</v>
      </c>
      <c r="I213" s="19">
        <f>IF(AND(D213/Summary!$C$4&gt;0, D213/Summary!$C$4&lt;5),E213,0) * D213</f>
        <v>0</v>
      </c>
      <c r="J213" s="19">
        <f>IF(AND(D213/Summary!$C$4&gt;= 5, D213/Summary!$C$4&lt;10),E213,0) * D213</f>
        <v>0</v>
      </c>
      <c r="K213" s="19">
        <f>IF(AND(D213/Summary!$C$4&gt;=10, D213/Summary!$C$4&lt;25),E213,0)*D213</f>
        <v>0</v>
      </c>
      <c r="L213" s="19">
        <f>IF(D213/Summary!$C$4&gt;=25,E213,0)*D213</f>
        <v>3900</v>
      </c>
      <c r="M213" s="27">
        <f>IF(AND(D213/Summary!$C$4&gt;0, D213/Summary!$C$4&lt;1),E213,0)</f>
        <v>0</v>
      </c>
      <c r="N213" s="27">
        <f t="shared" si="155"/>
        <v>0</v>
      </c>
      <c r="O213" s="27">
        <f>IF(D213/Summary!$C$4=1,1,0)*E213</f>
        <v>0</v>
      </c>
      <c r="P213" s="27">
        <f t="shared" si="156"/>
        <v>0</v>
      </c>
      <c r="Q213" s="27">
        <f>IF(AND(D213/Summary!$C$4&gt;1, D213/Summary!$C$4&lt;=2),1,0)*E213</f>
        <v>0</v>
      </c>
      <c r="R213" s="27">
        <f t="shared" si="157"/>
        <v>0</v>
      </c>
      <c r="S213" s="27">
        <f>IF(AND(D213/Summary!$C$4&gt;2,D213/Summary!$C$4&lt;=5),1,0)*E213</f>
        <v>0</v>
      </c>
      <c r="T213" s="27">
        <f t="shared" si="158"/>
        <v>0</v>
      </c>
      <c r="U213" s="27">
        <f>IF(AND(D213/Summary!$C$4&gt;5, D213/Summary!$C$4&lt;=10),1,0)*E213</f>
        <v>0</v>
      </c>
      <c r="V213" s="27">
        <f t="shared" si="159"/>
        <v>0</v>
      </c>
      <c r="W213" s="27">
        <f>IF(AND(D213/Summary!$C$4&gt;10, D213/Summary!$C$4&lt;=20),1,0)*E213</f>
        <v>0</v>
      </c>
      <c r="X213" s="27">
        <f t="shared" si="160"/>
        <v>0</v>
      </c>
      <c r="Y213" s="27">
        <f>IF(AND(D213/Summary!$C$4&gt;20, D213/Summary!$C$4&lt;=30),1,0)*E213</f>
        <v>0</v>
      </c>
      <c r="Z213" s="27">
        <f t="shared" si="161"/>
        <v>0</v>
      </c>
      <c r="AA213" s="27">
        <f>IF(AND(D213/Summary!$C$4&gt;30, D213/Summary!$C$4&lt;=50),1,0)*E213</f>
        <v>100</v>
      </c>
      <c r="AB213" s="27">
        <f t="shared" si="162"/>
        <v>3900</v>
      </c>
      <c r="AC213" s="27">
        <f>IF(AND(D213/Summary!$C$4&gt;50, D213/Summary!$C$4&lt;=100),1,0)*E213</f>
        <v>0</v>
      </c>
      <c r="AD213" s="27">
        <f t="shared" si="163"/>
        <v>0</v>
      </c>
      <c r="AE213" s="27">
        <f>IF(D213/Summary!$C$4&gt;100,1,0)*E213</f>
        <v>0</v>
      </c>
      <c r="AF213" s="27">
        <f t="shared" si="164"/>
        <v>0</v>
      </c>
      <c r="AG213" s="19">
        <f t="shared" si="165"/>
        <v>0</v>
      </c>
      <c r="AH213" s="19">
        <f t="shared" si="166"/>
        <v>100</v>
      </c>
      <c r="AI213" s="19">
        <f t="shared" si="167"/>
        <v>0</v>
      </c>
      <c r="AJ213" s="27">
        <f t="shared" si="168"/>
        <v>1</v>
      </c>
      <c r="AK213" s="27">
        <f t="shared" si="169"/>
        <v>100</v>
      </c>
      <c r="AL213" s="27">
        <f t="shared" si="170"/>
        <v>3900</v>
      </c>
      <c r="AM213">
        <f t="shared" si="171"/>
        <v>0</v>
      </c>
      <c r="AN213">
        <f t="shared" si="172"/>
        <v>0</v>
      </c>
      <c r="AO213">
        <f t="shared" si="173"/>
        <v>0</v>
      </c>
      <c r="AP213">
        <f t="shared" si="174"/>
        <v>0</v>
      </c>
      <c r="AQ213">
        <f t="shared" si="175"/>
        <v>0</v>
      </c>
      <c r="AR213">
        <f t="shared" si="176"/>
        <v>0</v>
      </c>
      <c r="AS213">
        <f t="shared" si="177"/>
        <v>0</v>
      </c>
      <c r="AT213">
        <f t="shared" si="178"/>
        <v>0</v>
      </c>
      <c r="AU213">
        <f t="shared" si="179"/>
        <v>0</v>
      </c>
      <c r="AV213">
        <f t="shared" si="180"/>
        <v>0</v>
      </c>
      <c r="AW213">
        <f t="shared" si="181"/>
        <v>0</v>
      </c>
      <c r="AX213">
        <f t="shared" si="182"/>
        <v>0</v>
      </c>
      <c r="AY213">
        <f t="shared" si="183"/>
        <v>0</v>
      </c>
      <c r="AZ213">
        <f t="shared" si="184"/>
        <v>0</v>
      </c>
      <c r="BA213">
        <f t="shared" si="185"/>
        <v>0</v>
      </c>
      <c r="BB213">
        <f t="shared" si="186"/>
        <v>0</v>
      </c>
      <c r="BC213">
        <f t="shared" si="187"/>
        <v>0</v>
      </c>
      <c r="BD213">
        <f t="shared" si="188"/>
        <v>100</v>
      </c>
      <c r="BE213">
        <f t="shared" si="189"/>
        <v>3900</v>
      </c>
      <c r="BF213">
        <f t="shared" si="190"/>
        <v>0</v>
      </c>
      <c r="BG213">
        <f t="shared" si="191"/>
        <v>0</v>
      </c>
      <c r="BH213">
        <f t="shared" si="192"/>
        <v>0</v>
      </c>
      <c r="BI213">
        <f t="shared" si="193"/>
        <v>0</v>
      </c>
      <c r="BJ213">
        <f t="shared" si="194"/>
        <v>0</v>
      </c>
      <c r="BK213">
        <f t="shared" si="195"/>
        <v>0</v>
      </c>
      <c r="BL213">
        <v>0</v>
      </c>
      <c r="BM213" t="str">
        <f t="shared" si="200"/>
        <v>Big Win</v>
      </c>
      <c r="BN213" s="32" t="str">
        <f t="shared" si="201"/>
        <v>Bonus Game A</v>
      </c>
      <c r="BO213">
        <f>(D213/Summary!$C$4-Summary!$C$8)^2*E213</f>
        <v>145694.89000000001</v>
      </c>
      <c r="BP213">
        <f t="shared" si="196"/>
        <v>0</v>
      </c>
      <c r="BQ213">
        <f t="shared" si="197"/>
        <v>0</v>
      </c>
      <c r="BR213">
        <f t="shared" si="198"/>
        <v>0</v>
      </c>
      <c r="BS213">
        <f t="shared" si="199"/>
        <v>0</v>
      </c>
    </row>
    <row r="214" spans="2:71">
      <c r="B214" s="16">
        <f>Tiers!B215</f>
        <v>212</v>
      </c>
      <c r="C214" s="17" t="str">
        <f>Tiers!Y215</f>
        <v>main-1|main-1|main-2|bonusA-0|||||| x 20</v>
      </c>
      <c r="D214" s="18">
        <f>Tiers!C215</f>
        <v>28</v>
      </c>
      <c r="E214" s="19">
        <f>Frequency!E216</f>
        <v>100</v>
      </c>
      <c r="F214" s="19">
        <f t="shared" si="153"/>
        <v>2800</v>
      </c>
      <c r="G214" s="19">
        <f>IF(Tiers!D215&gt;1,'Data Analysis'!E214,0)</f>
        <v>100</v>
      </c>
      <c r="H214" s="19">
        <f t="shared" si="154"/>
        <v>2800</v>
      </c>
      <c r="I214" s="19">
        <f>IF(AND(D214/Summary!$C$4&gt;0, D214/Summary!$C$4&lt;5),E214,0) * D214</f>
        <v>0</v>
      </c>
      <c r="J214" s="19">
        <f>IF(AND(D214/Summary!$C$4&gt;= 5, D214/Summary!$C$4&lt;10),E214,0) * D214</f>
        <v>0</v>
      </c>
      <c r="K214" s="19">
        <f>IF(AND(D214/Summary!$C$4&gt;=10, D214/Summary!$C$4&lt;25),E214,0)*D214</f>
        <v>0</v>
      </c>
      <c r="L214" s="19">
        <f>IF(D214/Summary!$C$4&gt;=25,E214,0)*D214</f>
        <v>2800</v>
      </c>
      <c r="M214" s="27">
        <f>IF(AND(D214/Summary!$C$4&gt;0, D214/Summary!$C$4&lt;1),E214,0)</f>
        <v>0</v>
      </c>
      <c r="N214" s="27">
        <f t="shared" si="155"/>
        <v>0</v>
      </c>
      <c r="O214" s="27">
        <f>IF(D214/Summary!$C$4=1,1,0)*E214</f>
        <v>0</v>
      </c>
      <c r="P214" s="27">
        <f t="shared" si="156"/>
        <v>0</v>
      </c>
      <c r="Q214" s="27">
        <f>IF(AND(D214/Summary!$C$4&gt;1, D214/Summary!$C$4&lt;=2),1,0)*E214</f>
        <v>0</v>
      </c>
      <c r="R214" s="27">
        <f t="shared" si="157"/>
        <v>0</v>
      </c>
      <c r="S214" s="27">
        <f>IF(AND(D214/Summary!$C$4&gt;2,D214/Summary!$C$4&lt;=5),1,0)*E214</f>
        <v>0</v>
      </c>
      <c r="T214" s="27">
        <f t="shared" si="158"/>
        <v>0</v>
      </c>
      <c r="U214" s="27">
        <f>IF(AND(D214/Summary!$C$4&gt;5, D214/Summary!$C$4&lt;=10),1,0)*E214</f>
        <v>0</v>
      </c>
      <c r="V214" s="27">
        <f t="shared" si="159"/>
        <v>0</v>
      </c>
      <c r="W214" s="27">
        <f>IF(AND(D214/Summary!$C$4&gt;10, D214/Summary!$C$4&lt;=20),1,0)*E214</f>
        <v>0</v>
      </c>
      <c r="X214" s="27">
        <f t="shared" si="160"/>
        <v>0</v>
      </c>
      <c r="Y214" s="27">
        <f>IF(AND(D214/Summary!$C$4&gt;20, D214/Summary!$C$4&lt;=30),1,0)*E214</f>
        <v>100</v>
      </c>
      <c r="Z214" s="27">
        <f t="shared" si="161"/>
        <v>2800</v>
      </c>
      <c r="AA214" s="27">
        <f>IF(AND(D214/Summary!$C$4&gt;30, D214/Summary!$C$4&lt;=50),1,0)*E214</f>
        <v>0</v>
      </c>
      <c r="AB214" s="27">
        <f t="shared" si="162"/>
        <v>0</v>
      </c>
      <c r="AC214" s="27">
        <f>IF(AND(D214/Summary!$C$4&gt;50, D214/Summary!$C$4&lt;=100),1,0)*E214</f>
        <v>0</v>
      </c>
      <c r="AD214" s="27">
        <f t="shared" si="163"/>
        <v>0</v>
      </c>
      <c r="AE214" s="27">
        <f>IF(D214/Summary!$C$4&gt;100,1,0)*E214</f>
        <v>0</v>
      </c>
      <c r="AF214" s="27">
        <f t="shared" si="164"/>
        <v>0</v>
      </c>
      <c r="AG214" s="19">
        <f t="shared" si="165"/>
        <v>0</v>
      </c>
      <c r="AH214" s="19">
        <f t="shared" si="166"/>
        <v>100</v>
      </c>
      <c r="AI214" s="19">
        <f t="shared" si="167"/>
        <v>0</v>
      </c>
      <c r="AJ214" s="27">
        <f t="shared" si="168"/>
        <v>1</v>
      </c>
      <c r="AK214" s="27">
        <f t="shared" si="169"/>
        <v>100</v>
      </c>
      <c r="AL214" s="27">
        <f t="shared" si="170"/>
        <v>2800</v>
      </c>
      <c r="AM214">
        <f t="shared" si="171"/>
        <v>0</v>
      </c>
      <c r="AN214">
        <f t="shared" si="172"/>
        <v>0</v>
      </c>
      <c r="AO214">
        <f t="shared" si="173"/>
        <v>0</v>
      </c>
      <c r="AP214">
        <f t="shared" si="174"/>
        <v>0</v>
      </c>
      <c r="AQ214">
        <f t="shared" si="175"/>
        <v>0</v>
      </c>
      <c r="AR214">
        <f t="shared" si="176"/>
        <v>0</v>
      </c>
      <c r="AS214">
        <f t="shared" si="177"/>
        <v>0</v>
      </c>
      <c r="AT214">
        <f t="shared" si="178"/>
        <v>0</v>
      </c>
      <c r="AU214">
        <f t="shared" si="179"/>
        <v>0</v>
      </c>
      <c r="AV214">
        <f t="shared" si="180"/>
        <v>0</v>
      </c>
      <c r="AW214">
        <f t="shared" si="181"/>
        <v>0</v>
      </c>
      <c r="AX214">
        <f t="shared" si="182"/>
        <v>0</v>
      </c>
      <c r="AY214">
        <f t="shared" si="183"/>
        <v>0</v>
      </c>
      <c r="AZ214">
        <f t="shared" si="184"/>
        <v>0</v>
      </c>
      <c r="BA214">
        <f t="shared" si="185"/>
        <v>0</v>
      </c>
      <c r="BB214">
        <f t="shared" si="186"/>
        <v>0</v>
      </c>
      <c r="BC214">
        <f t="shared" si="187"/>
        <v>0</v>
      </c>
      <c r="BD214">
        <f t="shared" si="188"/>
        <v>100</v>
      </c>
      <c r="BE214">
        <f t="shared" si="189"/>
        <v>2800</v>
      </c>
      <c r="BF214">
        <f t="shared" si="190"/>
        <v>0</v>
      </c>
      <c r="BG214">
        <f t="shared" si="191"/>
        <v>0</v>
      </c>
      <c r="BH214">
        <f t="shared" si="192"/>
        <v>0</v>
      </c>
      <c r="BI214">
        <f t="shared" si="193"/>
        <v>0</v>
      </c>
      <c r="BJ214">
        <f t="shared" si="194"/>
        <v>0</v>
      </c>
      <c r="BK214">
        <f t="shared" si="195"/>
        <v>0</v>
      </c>
      <c r="BL214">
        <v>0</v>
      </c>
      <c r="BM214" t="str">
        <f t="shared" si="200"/>
        <v>Big Win</v>
      </c>
      <c r="BN214" s="32" t="str">
        <f t="shared" si="201"/>
        <v>Bonus Game A</v>
      </c>
      <c r="BO214">
        <f>(D214/Summary!$C$4-Summary!$C$8)^2*E214</f>
        <v>73820.890000000014</v>
      </c>
      <c r="BP214">
        <f t="shared" si="196"/>
        <v>0</v>
      </c>
      <c r="BQ214">
        <f t="shared" si="197"/>
        <v>0</v>
      </c>
      <c r="BR214">
        <f t="shared" si="198"/>
        <v>0</v>
      </c>
      <c r="BS214">
        <f t="shared" si="199"/>
        <v>0</v>
      </c>
    </row>
    <row r="215" spans="2:71">
      <c r="B215" s="16">
        <f>Tiers!B216</f>
        <v>213</v>
      </c>
      <c r="C215" s="17" t="str">
        <f>Tiers!Y216</f>
        <v>main-2|main-3|main-10|bonusA-4|||||| x 20</v>
      </c>
      <c r="D215" s="18">
        <f>Tiers!C216</f>
        <v>80</v>
      </c>
      <c r="E215" s="19">
        <f>Frequency!E217</f>
        <v>3</v>
      </c>
      <c r="F215" s="19">
        <f t="shared" si="153"/>
        <v>240</v>
      </c>
      <c r="G215" s="19">
        <f>IF(Tiers!D216&gt;1,'Data Analysis'!E215,0)</f>
        <v>3</v>
      </c>
      <c r="H215" s="19">
        <f t="shared" si="154"/>
        <v>240</v>
      </c>
      <c r="I215" s="19">
        <f>IF(AND(D215/Summary!$C$4&gt;0, D215/Summary!$C$4&lt;5),E215,0) * D215</f>
        <v>0</v>
      </c>
      <c r="J215" s="19">
        <f>IF(AND(D215/Summary!$C$4&gt;= 5, D215/Summary!$C$4&lt;10),E215,0) * D215</f>
        <v>0</v>
      </c>
      <c r="K215" s="19">
        <f>IF(AND(D215/Summary!$C$4&gt;=10, D215/Summary!$C$4&lt;25),E215,0)*D215</f>
        <v>0</v>
      </c>
      <c r="L215" s="19">
        <f>IF(D215/Summary!$C$4&gt;=25,E215,0)*D215</f>
        <v>240</v>
      </c>
      <c r="M215" s="27">
        <f>IF(AND(D215/Summary!$C$4&gt;0, D215/Summary!$C$4&lt;1),E215,0)</f>
        <v>0</v>
      </c>
      <c r="N215" s="27">
        <f t="shared" si="155"/>
        <v>0</v>
      </c>
      <c r="O215" s="27">
        <f>IF(D215/Summary!$C$4=1,1,0)*E215</f>
        <v>0</v>
      </c>
      <c r="P215" s="27">
        <f t="shared" si="156"/>
        <v>0</v>
      </c>
      <c r="Q215" s="27">
        <f>IF(AND(D215/Summary!$C$4&gt;1, D215/Summary!$C$4&lt;=2),1,0)*E215</f>
        <v>0</v>
      </c>
      <c r="R215" s="27">
        <f t="shared" si="157"/>
        <v>0</v>
      </c>
      <c r="S215" s="27">
        <f>IF(AND(D215/Summary!$C$4&gt;2,D215/Summary!$C$4&lt;=5),1,0)*E215</f>
        <v>0</v>
      </c>
      <c r="T215" s="27">
        <f t="shared" si="158"/>
        <v>0</v>
      </c>
      <c r="U215" s="27">
        <f>IF(AND(D215/Summary!$C$4&gt;5, D215/Summary!$C$4&lt;=10),1,0)*E215</f>
        <v>0</v>
      </c>
      <c r="V215" s="27">
        <f t="shared" si="159"/>
        <v>0</v>
      </c>
      <c r="W215" s="27">
        <f>IF(AND(D215/Summary!$C$4&gt;10, D215/Summary!$C$4&lt;=20),1,0)*E215</f>
        <v>0</v>
      </c>
      <c r="X215" s="27">
        <f t="shared" si="160"/>
        <v>0</v>
      </c>
      <c r="Y215" s="27">
        <f>IF(AND(D215/Summary!$C$4&gt;20, D215/Summary!$C$4&lt;=30),1,0)*E215</f>
        <v>0</v>
      </c>
      <c r="Z215" s="27">
        <f t="shared" si="161"/>
        <v>0</v>
      </c>
      <c r="AA215" s="27">
        <f>IF(AND(D215/Summary!$C$4&gt;30, D215/Summary!$C$4&lt;=50),1,0)*E215</f>
        <v>0</v>
      </c>
      <c r="AB215" s="27">
        <f t="shared" si="162"/>
        <v>0</v>
      </c>
      <c r="AC215" s="27">
        <f>IF(AND(D215/Summary!$C$4&gt;50, D215/Summary!$C$4&lt;=100),1,0)*E215</f>
        <v>3</v>
      </c>
      <c r="AD215" s="27">
        <f t="shared" si="163"/>
        <v>240</v>
      </c>
      <c r="AE215" s="27">
        <f>IF(D215/Summary!$C$4&gt;100,1,0)*E215</f>
        <v>0</v>
      </c>
      <c r="AF215" s="27">
        <f t="shared" si="164"/>
        <v>0</v>
      </c>
      <c r="AG215" s="19">
        <f t="shared" si="165"/>
        <v>0</v>
      </c>
      <c r="AH215" s="19">
        <f t="shared" si="166"/>
        <v>3</v>
      </c>
      <c r="AI215" s="19">
        <f t="shared" si="167"/>
        <v>0</v>
      </c>
      <c r="AJ215" s="27">
        <f t="shared" si="168"/>
        <v>1</v>
      </c>
      <c r="AK215" s="27">
        <f t="shared" si="169"/>
        <v>3</v>
      </c>
      <c r="AL215" s="27">
        <f t="shared" si="170"/>
        <v>240</v>
      </c>
      <c r="AM215">
        <f t="shared" si="171"/>
        <v>0</v>
      </c>
      <c r="AN215">
        <f t="shared" si="172"/>
        <v>0</v>
      </c>
      <c r="AO215">
        <f t="shared" si="173"/>
        <v>0</v>
      </c>
      <c r="AP215">
        <f t="shared" si="174"/>
        <v>0</v>
      </c>
      <c r="AQ215">
        <f t="shared" si="175"/>
        <v>0</v>
      </c>
      <c r="AR215">
        <f t="shared" si="176"/>
        <v>0</v>
      </c>
      <c r="AS215">
        <f t="shared" si="177"/>
        <v>0</v>
      </c>
      <c r="AT215">
        <f t="shared" si="178"/>
        <v>0</v>
      </c>
      <c r="AU215">
        <f t="shared" si="179"/>
        <v>0</v>
      </c>
      <c r="AV215">
        <f t="shared" si="180"/>
        <v>0</v>
      </c>
      <c r="AW215">
        <f t="shared" si="181"/>
        <v>0</v>
      </c>
      <c r="AX215">
        <f t="shared" si="182"/>
        <v>0</v>
      </c>
      <c r="AY215">
        <f t="shared" si="183"/>
        <v>0</v>
      </c>
      <c r="AZ215">
        <f t="shared" si="184"/>
        <v>0</v>
      </c>
      <c r="BA215">
        <f t="shared" si="185"/>
        <v>0</v>
      </c>
      <c r="BB215">
        <f t="shared" si="186"/>
        <v>0</v>
      </c>
      <c r="BC215">
        <f t="shared" si="187"/>
        <v>0</v>
      </c>
      <c r="BD215">
        <f t="shared" si="188"/>
        <v>3</v>
      </c>
      <c r="BE215">
        <f t="shared" si="189"/>
        <v>240</v>
      </c>
      <c r="BF215">
        <f t="shared" si="190"/>
        <v>0</v>
      </c>
      <c r="BG215">
        <f t="shared" si="191"/>
        <v>0</v>
      </c>
      <c r="BH215">
        <f t="shared" si="192"/>
        <v>0</v>
      </c>
      <c r="BI215">
        <f t="shared" si="193"/>
        <v>0</v>
      </c>
      <c r="BJ215">
        <f t="shared" si="194"/>
        <v>0</v>
      </c>
      <c r="BK215">
        <f t="shared" si="195"/>
        <v>0</v>
      </c>
      <c r="BL215">
        <v>0</v>
      </c>
      <c r="BM215" t="str">
        <f t="shared" si="200"/>
        <v>Huge Win</v>
      </c>
      <c r="BN215" s="32" t="str">
        <f t="shared" si="201"/>
        <v>Bonus Game A</v>
      </c>
      <c r="BO215">
        <f>(D215/Summary!$C$4-Summary!$C$8)^2*E215</f>
        <v>18803.666700000002</v>
      </c>
      <c r="BP215">
        <f t="shared" si="196"/>
        <v>0</v>
      </c>
      <c r="BQ215">
        <f t="shared" si="197"/>
        <v>0</v>
      </c>
      <c r="BR215">
        <f t="shared" si="198"/>
        <v>0</v>
      </c>
      <c r="BS215">
        <f t="shared" si="199"/>
        <v>0</v>
      </c>
    </row>
    <row r="216" spans="2:71">
      <c r="B216" s="16">
        <f>Tiers!B217</f>
        <v>214</v>
      </c>
      <c r="C216" s="17" t="str">
        <f>Tiers!Y217</f>
        <v>main-0|main-0|main-12|bonusA-2|||||| x 20</v>
      </c>
      <c r="D216" s="18">
        <f>Tiers!C217</f>
        <v>64</v>
      </c>
      <c r="E216" s="19">
        <f>Frequency!E218</f>
        <v>2</v>
      </c>
      <c r="F216" s="19">
        <f t="shared" si="153"/>
        <v>128</v>
      </c>
      <c r="G216" s="19">
        <f>IF(Tiers!D217&gt;1,'Data Analysis'!E216,0)</f>
        <v>2</v>
      </c>
      <c r="H216" s="19">
        <f t="shared" si="154"/>
        <v>128</v>
      </c>
      <c r="I216" s="19">
        <f>IF(AND(D216/Summary!$C$4&gt;0, D216/Summary!$C$4&lt;5),E216,0) * D216</f>
        <v>0</v>
      </c>
      <c r="J216" s="19">
        <f>IF(AND(D216/Summary!$C$4&gt;= 5, D216/Summary!$C$4&lt;10),E216,0) * D216</f>
        <v>0</v>
      </c>
      <c r="K216" s="19">
        <f>IF(AND(D216/Summary!$C$4&gt;=10, D216/Summary!$C$4&lt;25),E216,0)*D216</f>
        <v>0</v>
      </c>
      <c r="L216" s="19">
        <f>IF(D216/Summary!$C$4&gt;=25,E216,0)*D216</f>
        <v>128</v>
      </c>
      <c r="M216" s="27">
        <f>IF(AND(D216/Summary!$C$4&gt;0, D216/Summary!$C$4&lt;1),E216,0)</f>
        <v>0</v>
      </c>
      <c r="N216" s="27">
        <f t="shared" si="155"/>
        <v>0</v>
      </c>
      <c r="O216" s="27">
        <f>IF(D216/Summary!$C$4=1,1,0)*E216</f>
        <v>0</v>
      </c>
      <c r="P216" s="27">
        <f t="shared" si="156"/>
        <v>0</v>
      </c>
      <c r="Q216" s="27">
        <f>IF(AND(D216/Summary!$C$4&gt;1, D216/Summary!$C$4&lt;=2),1,0)*E216</f>
        <v>0</v>
      </c>
      <c r="R216" s="27">
        <f t="shared" si="157"/>
        <v>0</v>
      </c>
      <c r="S216" s="27">
        <f>IF(AND(D216/Summary!$C$4&gt;2,D216/Summary!$C$4&lt;=5),1,0)*E216</f>
        <v>0</v>
      </c>
      <c r="T216" s="27">
        <f t="shared" si="158"/>
        <v>0</v>
      </c>
      <c r="U216" s="27">
        <f>IF(AND(D216/Summary!$C$4&gt;5, D216/Summary!$C$4&lt;=10),1,0)*E216</f>
        <v>0</v>
      </c>
      <c r="V216" s="27">
        <f t="shared" si="159"/>
        <v>0</v>
      </c>
      <c r="W216" s="27">
        <f>IF(AND(D216/Summary!$C$4&gt;10, D216/Summary!$C$4&lt;=20),1,0)*E216</f>
        <v>0</v>
      </c>
      <c r="X216" s="27">
        <f t="shared" si="160"/>
        <v>0</v>
      </c>
      <c r="Y216" s="27">
        <f>IF(AND(D216/Summary!$C$4&gt;20, D216/Summary!$C$4&lt;=30),1,0)*E216</f>
        <v>0</v>
      </c>
      <c r="Z216" s="27">
        <f t="shared" si="161"/>
        <v>0</v>
      </c>
      <c r="AA216" s="27">
        <f>IF(AND(D216/Summary!$C$4&gt;30, D216/Summary!$C$4&lt;=50),1,0)*E216</f>
        <v>0</v>
      </c>
      <c r="AB216" s="27">
        <f t="shared" si="162"/>
        <v>0</v>
      </c>
      <c r="AC216" s="27">
        <f>IF(AND(D216/Summary!$C$4&gt;50, D216/Summary!$C$4&lt;=100),1,0)*E216</f>
        <v>2</v>
      </c>
      <c r="AD216" s="27">
        <f t="shared" si="163"/>
        <v>128</v>
      </c>
      <c r="AE216" s="27">
        <f>IF(D216/Summary!$C$4&gt;100,1,0)*E216</f>
        <v>0</v>
      </c>
      <c r="AF216" s="27">
        <f t="shared" si="164"/>
        <v>0</v>
      </c>
      <c r="AG216" s="19">
        <f t="shared" si="165"/>
        <v>0</v>
      </c>
      <c r="AH216" s="19">
        <f t="shared" si="166"/>
        <v>2</v>
      </c>
      <c r="AI216" s="19">
        <f t="shared" si="167"/>
        <v>0</v>
      </c>
      <c r="AJ216" s="27">
        <f t="shared" si="168"/>
        <v>1</v>
      </c>
      <c r="AK216" s="27">
        <f t="shared" si="169"/>
        <v>2</v>
      </c>
      <c r="AL216" s="27">
        <f t="shared" si="170"/>
        <v>128</v>
      </c>
      <c r="AM216">
        <f t="shared" si="171"/>
        <v>0</v>
      </c>
      <c r="AN216">
        <f t="shared" si="172"/>
        <v>0</v>
      </c>
      <c r="AO216">
        <f t="shared" si="173"/>
        <v>0</v>
      </c>
      <c r="AP216">
        <f t="shared" si="174"/>
        <v>0</v>
      </c>
      <c r="AQ216">
        <f t="shared" si="175"/>
        <v>0</v>
      </c>
      <c r="AR216">
        <f t="shared" si="176"/>
        <v>0</v>
      </c>
      <c r="AS216">
        <f t="shared" si="177"/>
        <v>0</v>
      </c>
      <c r="AT216">
        <f t="shared" si="178"/>
        <v>0</v>
      </c>
      <c r="AU216">
        <f t="shared" si="179"/>
        <v>0</v>
      </c>
      <c r="AV216">
        <f t="shared" si="180"/>
        <v>0</v>
      </c>
      <c r="AW216">
        <f t="shared" si="181"/>
        <v>0</v>
      </c>
      <c r="AX216">
        <f t="shared" si="182"/>
        <v>0</v>
      </c>
      <c r="AY216">
        <f t="shared" si="183"/>
        <v>0</v>
      </c>
      <c r="AZ216">
        <f t="shared" si="184"/>
        <v>0</v>
      </c>
      <c r="BA216">
        <f t="shared" si="185"/>
        <v>0</v>
      </c>
      <c r="BB216">
        <f t="shared" si="186"/>
        <v>0</v>
      </c>
      <c r="BC216">
        <f t="shared" si="187"/>
        <v>0</v>
      </c>
      <c r="BD216">
        <f t="shared" si="188"/>
        <v>2</v>
      </c>
      <c r="BE216">
        <f t="shared" si="189"/>
        <v>128</v>
      </c>
      <c r="BF216">
        <f t="shared" si="190"/>
        <v>0</v>
      </c>
      <c r="BG216">
        <f t="shared" si="191"/>
        <v>0</v>
      </c>
      <c r="BH216">
        <f t="shared" si="192"/>
        <v>0</v>
      </c>
      <c r="BI216">
        <f t="shared" si="193"/>
        <v>0</v>
      </c>
      <c r="BJ216">
        <f t="shared" si="194"/>
        <v>0</v>
      </c>
      <c r="BK216">
        <f t="shared" si="195"/>
        <v>0</v>
      </c>
      <c r="BL216">
        <v>0</v>
      </c>
      <c r="BM216" t="str">
        <f t="shared" si="200"/>
        <v>Huge Win</v>
      </c>
      <c r="BN216" s="32" t="str">
        <f t="shared" si="201"/>
        <v>Bonus Game A</v>
      </c>
      <c r="BO216">
        <f>(D216/Summary!$C$4-Summary!$C$8)^2*E216</f>
        <v>7980.8978000000006</v>
      </c>
      <c r="BP216">
        <f t="shared" si="196"/>
        <v>0</v>
      </c>
      <c r="BQ216">
        <f t="shared" si="197"/>
        <v>0</v>
      </c>
      <c r="BR216">
        <f t="shared" si="198"/>
        <v>0</v>
      </c>
      <c r="BS216">
        <f t="shared" si="199"/>
        <v>0</v>
      </c>
    </row>
    <row r="217" spans="2:71">
      <c r="B217" s="16">
        <f>Tiers!B218</f>
        <v>215</v>
      </c>
      <c r="C217" s="17" t="str">
        <f>Tiers!Y218</f>
        <v>main-0|main-0|main-1|bonusA-5|||||| x 20</v>
      </c>
      <c r="D217" s="18">
        <f>Tiers!C218</f>
        <v>58</v>
      </c>
      <c r="E217" s="19">
        <f>Frequency!E219</f>
        <v>100</v>
      </c>
      <c r="F217" s="19">
        <f t="shared" si="153"/>
        <v>5800</v>
      </c>
      <c r="G217" s="19">
        <f>IF(Tiers!D218&gt;1,'Data Analysis'!E217,0)</f>
        <v>100</v>
      </c>
      <c r="H217" s="19">
        <f t="shared" si="154"/>
        <v>5800</v>
      </c>
      <c r="I217" s="19">
        <f>IF(AND(D217/Summary!$C$4&gt;0, D217/Summary!$C$4&lt;5),E217,0) * D217</f>
        <v>0</v>
      </c>
      <c r="J217" s="19">
        <f>IF(AND(D217/Summary!$C$4&gt;= 5, D217/Summary!$C$4&lt;10),E217,0) * D217</f>
        <v>0</v>
      </c>
      <c r="K217" s="19">
        <f>IF(AND(D217/Summary!$C$4&gt;=10, D217/Summary!$C$4&lt;25),E217,0)*D217</f>
        <v>0</v>
      </c>
      <c r="L217" s="19">
        <f>IF(D217/Summary!$C$4&gt;=25,E217,0)*D217</f>
        <v>5800</v>
      </c>
      <c r="M217" s="27">
        <f>IF(AND(D217/Summary!$C$4&gt;0, D217/Summary!$C$4&lt;1),E217,0)</f>
        <v>0</v>
      </c>
      <c r="N217" s="27">
        <f t="shared" si="155"/>
        <v>0</v>
      </c>
      <c r="O217" s="27">
        <f>IF(D217/Summary!$C$4=1,1,0)*E217</f>
        <v>0</v>
      </c>
      <c r="P217" s="27">
        <f t="shared" si="156"/>
        <v>0</v>
      </c>
      <c r="Q217" s="27">
        <f>IF(AND(D217/Summary!$C$4&gt;1, D217/Summary!$C$4&lt;=2),1,0)*E217</f>
        <v>0</v>
      </c>
      <c r="R217" s="27">
        <f t="shared" si="157"/>
        <v>0</v>
      </c>
      <c r="S217" s="27">
        <f>IF(AND(D217/Summary!$C$4&gt;2,D217/Summary!$C$4&lt;=5),1,0)*E217</f>
        <v>0</v>
      </c>
      <c r="T217" s="27">
        <f t="shared" si="158"/>
        <v>0</v>
      </c>
      <c r="U217" s="27">
        <f>IF(AND(D217/Summary!$C$4&gt;5, D217/Summary!$C$4&lt;=10),1,0)*E217</f>
        <v>0</v>
      </c>
      <c r="V217" s="27">
        <f t="shared" si="159"/>
        <v>0</v>
      </c>
      <c r="W217" s="27">
        <f>IF(AND(D217/Summary!$C$4&gt;10, D217/Summary!$C$4&lt;=20),1,0)*E217</f>
        <v>0</v>
      </c>
      <c r="X217" s="27">
        <f t="shared" si="160"/>
        <v>0</v>
      </c>
      <c r="Y217" s="27">
        <f>IF(AND(D217/Summary!$C$4&gt;20, D217/Summary!$C$4&lt;=30),1,0)*E217</f>
        <v>0</v>
      </c>
      <c r="Z217" s="27">
        <f t="shared" si="161"/>
        <v>0</v>
      </c>
      <c r="AA217" s="27">
        <f>IF(AND(D217/Summary!$C$4&gt;30, D217/Summary!$C$4&lt;=50),1,0)*E217</f>
        <v>0</v>
      </c>
      <c r="AB217" s="27">
        <f t="shared" si="162"/>
        <v>0</v>
      </c>
      <c r="AC217" s="27">
        <f>IF(AND(D217/Summary!$C$4&gt;50, D217/Summary!$C$4&lt;=100),1,0)*E217</f>
        <v>100</v>
      </c>
      <c r="AD217" s="27">
        <f t="shared" si="163"/>
        <v>5800</v>
      </c>
      <c r="AE217" s="27">
        <f>IF(D217/Summary!$C$4&gt;100,1,0)*E217</f>
        <v>0</v>
      </c>
      <c r="AF217" s="27">
        <f t="shared" si="164"/>
        <v>0</v>
      </c>
      <c r="AG217" s="19">
        <f t="shared" si="165"/>
        <v>0</v>
      </c>
      <c r="AH217" s="19">
        <f t="shared" si="166"/>
        <v>100</v>
      </c>
      <c r="AI217" s="19">
        <f t="shared" si="167"/>
        <v>0</v>
      </c>
      <c r="AJ217" s="27">
        <f t="shared" si="168"/>
        <v>1</v>
      </c>
      <c r="AK217" s="27">
        <f t="shared" si="169"/>
        <v>100</v>
      </c>
      <c r="AL217" s="27">
        <f t="shared" si="170"/>
        <v>5800</v>
      </c>
      <c r="AM217">
        <f t="shared" si="171"/>
        <v>0</v>
      </c>
      <c r="AN217">
        <f t="shared" si="172"/>
        <v>0</v>
      </c>
      <c r="AO217">
        <f t="shared" si="173"/>
        <v>0</v>
      </c>
      <c r="AP217">
        <f t="shared" si="174"/>
        <v>0</v>
      </c>
      <c r="AQ217">
        <f t="shared" si="175"/>
        <v>0</v>
      </c>
      <c r="AR217">
        <f t="shared" si="176"/>
        <v>0</v>
      </c>
      <c r="AS217">
        <f t="shared" si="177"/>
        <v>0</v>
      </c>
      <c r="AT217">
        <f t="shared" si="178"/>
        <v>0</v>
      </c>
      <c r="AU217">
        <f t="shared" si="179"/>
        <v>0</v>
      </c>
      <c r="AV217">
        <f t="shared" si="180"/>
        <v>0</v>
      </c>
      <c r="AW217">
        <f t="shared" si="181"/>
        <v>0</v>
      </c>
      <c r="AX217">
        <f t="shared" si="182"/>
        <v>0</v>
      </c>
      <c r="AY217">
        <f t="shared" si="183"/>
        <v>0</v>
      </c>
      <c r="AZ217">
        <f t="shared" si="184"/>
        <v>0</v>
      </c>
      <c r="BA217">
        <f t="shared" si="185"/>
        <v>0</v>
      </c>
      <c r="BB217">
        <f t="shared" si="186"/>
        <v>0</v>
      </c>
      <c r="BC217">
        <f t="shared" si="187"/>
        <v>0</v>
      </c>
      <c r="BD217">
        <f t="shared" si="188"/>
        <v>100</v>
      </c>
      <c r="BE217">
        <f t="shared" si="189"/>
        <v>5800</v>
      </c>
      <c r="BF217">
        <f t="shared" si="190"/>
        <v>0</v>
      </c>
      <c r="BG217">
        <f t="shared" si="191"/>
        <v>0</v>
      </c>
      <c r="BH217">
        <f t="shared" si="192"/>
        <v>0</v>
      </c>
      <c r="BI217">
        <f t="shared" si="193"/>
        <v>0</v>
      </c>
      <c r="BJ217">
        <f t="shared" si="194"/>
        <v>0</v>
      </c>
      <c r="BK217">
        <f t="shared" si="195"/>
        <v>0</v>
      </c>
      <c r="BL217">
        <v>0</v>
      </c>
      <c r="BM217" t="str">
        <f t="shared" si="200"/>
        <v>Huge Win</v>
      </c>
      <c r="BN217" s="32" t="str">
        <f t="shared" si="201"/>
        <v>Bonus Game A</v>
      </c>
      <c r="BO217">
        <f>(D217/Summary!$C$4-Summary!$C$8)^2*E217</f>
        <v>326840.89</v>
      </c>
      <c r="BP217">
        <f t="shared" si="196"/>
        <v>0</v>
      </c>
      <c r="BQ217">
        <f t="shared" si="197"/>
        <v>0</v>
      </c>
      <c r="BR217">
        <f t="shared" si="198"/>
        <v>0</v>
      </c>
      <c r="BS217">
        <f t="shared" si="199"/>
        <v>0</v>
      </c>
    </row>
    <row r="218" spans="2:71">
      <c r="B218" s="16">
        <f>Tiers!B219</f>
        <v>216</v>
      </c>
      <c r="C218" s="17" t="str">
        <f>Tiers!Y219</f>
        <v>main-0|main-1|main-2|main-2|bonusA-4||||| x 20</v>
      </c>
      <c r="D218" s="18">
        <f>Tiers!C219</f>
        <v>56</v>
      </c>
      <c r="E218" s="19">
        <f>Frequency!E220</f>
        <v>106</v>
      </c>
      <c r="F218" s="19">
        <f t="shared" si="153"/>
        <v>5936</v>
      </c>
      <c r="G218" s="19">
        <f>IF(Tiers!D219&gt;1,'Data Analysis'!E218,0)</f>
        <v>106</v>
      </c>
      <c r="H218" s="19">
        <f t="shared" si="154"/>
        <v>5936</v>
      </c>
      <c r="I218" s="19">
        <f>IF(AND(D218/Summary!$C$4&gt;0, D218/Summary!$C$4&lt;5),E218,0) * D218</f>
        <v>0</v>
      </c>
      <c r="J218" s="19">
        <f>IF(AND(D218/Summary!$C$4&gt;= 5, D218/Summary!$C$4&lt;10),E218,0) * D218</f>
        <v>0</v>
      </c>
      <c r="K218" s="19">
        <f>IF(AND(D218/Summary!$C$4&gt;=10, D218/Summary!$C$4&lt;25),E218,0)*D218</f>
        <v>0</v>
      </c>
      <c r="L218" s="19">
        <f>IF(D218/Summary!$C$4&gt;=25,E218,0)*D218</f>
        <v>5936</v>
      </c>
      <c r="M218" s="27">
        <f>IF(AND(D218/Summary!$C$4&gt;0, D218/Summary!$C$4&lt;1),E218,0)</f>
        <v>0</v>
      </c>
      <c r="N218" s="27">
        <f t="shared" si="155"/>
        <v>0</v>
      </c>
      <c r="O218" s="27">
        <f>IF(D218/Summary!$C$4=1,1,0)*E218</f>
        <v>0</v>
      </c>
      <c r="P218" s="27">
        <f t="shared" si="156"/>
        <v>0</v>
      </c>
      <c r="Q218" s="27">
        <f>IF(AND(D218/Summary!$C$4&gt;1, D218/Summary!$C$4&lt;=2),1,0)*E218</f>
        <v>0</v>
      </c>
      <c r="R218" s="27">
        <f t="shared" si="157"/>
        <v>0</v>
      </c>
      <c r="S218" s="27">
        <f>IF(AND(D218/Summary!$C$4&gt;2,D218/Summary!$C$4&lt;=5),1,0)*E218</f>
        <v>0</v>
      </c>
      <c r="T218" s="27">
        <f t="shared" si="158"/>
        <v>0</v>
      </c>
      <c r="U218" s="27">
        <f>IF(AND(D218/Summary!$C$4&gt;5, D218/Summary!$C$4&lt;=10),1,0)*E218</f>
        <v>0</v>
      </c>
      <c r="V218" s="27">
        <f t="shared" si="159"/>
        <v>0</v>
      </c>
      <c r="W218" s="27">
        <f>IF(AND(D218/Summary!$C$4&gt;10, D218/Summary!$C$4&lt;=20),1,0)*E218</f>
        <v>0</v>
      </c>
      <c r="X218" s="27">
        <f t="shared" si="160"/>
        <v>0</v>
      </c>
      <c r="Y218" s="27">
        <f>IF(AND(D218/Summary!$C$4&gt;20, D218/Summary!$C$4&lt;=30),1,0)*E218</f>
        <v>0</v>
      </c>
      <c r="Z218" s="27">
        <f t="shared" si="161"/>
        <v>0</v>
      </c>
      <c r="AA218" s="27">
        <f>IF(AND(D218/Summary!$C$4&gt;30, D218/Summary!$C$4&lt;=50),1,0)*E218</f>
        <v>0</v>
      </c>
      <c r="AB218" s="27">
        <f t="shared" si="162"/>
        <v>0</v>
      </c>
      <c r="AC218" s="27">
        <f>IF(AND(D218/Summary!$C$4&gt;50, D218/Summary!$C$4&lt;=100),1,0)*E218</f>
        <v>106</v>
      </c>
      <c r="AD218" s="27">
        <f t="shared" si="163"/>
        <v>5936</v>
      </c>
      <c r="AE218" s="27">
        <f>IF(D218/Summary!$C$4&gt;100,1,0)*E218</f>
        <v>0</v>
      </c>
      <c r="AF218" s="27">
        <f t="shared" si="164"/>
        <v>0</v>
      </c>
      <c r="AG218" s="19">
        <f t="shared" si="165"/>
        <v>0</v>
      </c>
      <c r="AH218" s="19">
        <f t="shared" si="166"/>
        <v>106</v>
      </c>
      <c r="AI218" s="19">
        <f t="shared" si="167"/>
        <v>0</v>
      </c>
      <c r="AJ218" s="27">
        <f t="shared" si="168"/>
        <v>1</v>
      </c>
      <c r="AK218" s="27">
        <f t="shared" si="169"/>
        <v>106</v>
      </c>
      <c r="AL218" s="27">
        <f t="shared" si="170"/>
        <v>5936</v>
      </c>
      <c r="AM218">
        <f t="shared" si="171"/>
        <v>0</v>
      </c>
      <c r="AN218">
        <f t="shared" si="172"/>
        <v>0</v>
      </c>
      <c r="AO218">
        <f t="shared" si="173"/>
        <v>0</v>
      </c>
      <c r="AP218">
        <f t="shared" si="174"/>
        <v>0</v>
      </c>
      <c r="AQ218">
        <f t="shared" si="175"/>
        <v>0</v>
      </c>
      <c r="AR218">
        <f t="shared" si="176"/>
        <v>0</v>
      </c>
      <c r="AS218">
        <f t="shared" si="177"/>
        <v>0</v>
      </c>
      <c r="AT218">
        <f t="shared" si="178"/>
        <v>0</v>
      </c>
      <c r="AU218">
        <f t="shared" si="179"/>
        <v>0</v>
      </c>
      <c r="AV218">
        <f t="shared" si="180"/>
        <v>0</v>
      </c>
      <c r="AW218">
        <f t="shared" si="181"/>
        <v>0</v>
      </c>
      <c r="AX218">
        <f t="shared" si="182"/>
        <v>0</v>
      </c>
      <c r="AY218">
        <f t="shared" si="183"/>
        <v>0</v>
      </c>
      <c r="AZ218">
        <f t="shared" si="184"/>
        <v>0</v>
      </c>
      <c r="BA218">
        <f t="shared" si="185"/>
        <v>0</v>
      </c>
      <c r="BB218">
        <f t="shared" si="186"/>
        <v>0</v>
      </c>
      <c r="BC218">
        <f t="shared" si="187"/>
        <v>0</v>
      </c>
      <c r="BD218">
        <f t="shared" si="188"/>
        <v>106</v>
      </c>
      <c r="BE218">
        <f t="shared" si="189"/>
        <v>5936</v>
      </c>
      <c r="BF218">
        <f t="shared" si="190"/>
        <v>0</v>
      </c>
      <c r="BG218">
        <f t="shared" si="191"/>
        <v>0</v>
      </c>
      <c r="BH218">
        <f t="shared" si="192"/>
        <v>0</v>
      </c>
      <c r="BI218">
        <f t="shared" si="193"/>
        <v>0</v>
      </c>
      <c r="BJ218">
        <f t="shared" si="194"/>
        <v>0</v>
      </c>
      <c r="BK218">
        <f t="shared" si="195"/>
        <v>0</v>
      </c>
      <c r="BL218">
        <v>0</v>
      </c>
      <c r="BM218" t="str">
        <f t="shared" si="200"/>
        <v>Huge Win</v>
      </c>
      <c r="BN218" s="32" t="str">
        <f t="shared" si="201"/>
        <v>Bonus Game A</v>
      </c>
      <c r="BO218">
        <f>(D218/Summary!$C$4-Summary!$C$8)^2*E218</f>
        <v>322635.2634</v>
      </c>
      <c r="BP218">
        <f t="shared" si="196"/>
        <v>0</v>
      </c>
      <c r="BQ218">
        <f t="shared" si="197"/>
        <v>0</v>
      </c>
      <c r="BR218">
        <f t="shared" si="198"/>
        <v>0</v>
      </c>
      <c r="BS218">
        <f t="shared" si="199"/>
        <v>0</v>
      </c>
    </row>
    <row r="219" spans="2:71">
      <c r="B219" s="16">
        <f>Tiers!B220</f>
        <v>217</v>
      </c>
      <c r="C219" s="17" t="str">
        <f>Tiers!Y220</f>
        <v>main-0|main-1|main-1|main-4|bonusA-1||||| x 20</v>
      </c>
      <c r="D219" s="18">
        <f>Tiers!C220</f>
        <v>55</v>
      </c>
      <c r="E219" s="19">
        <f>Frequency!E221</f>
        <v>101</v>
      </c>
      <c r="F219" s="19">
        <f t="shared" si="153"/>
        <v>5555</v>
      </c>
      <c r="G219" s="19">
        <f>IF(Tiers!D220&gt;1,'Data Analysis'!E219,0)</f>
        <v>101</v>
      </c>
      <c r="H219" s="19">
        <f t="shared" si="154"/>
        <v>5555</v>
      </c>
      <c r="I219" s="19">
        <f>IF(AND(D219/Summary!$C$4&gt;0, D219/Summary!$C$4&lt;5),E219,0) * D219</f>
        <v>0</v>
      </c>
      <c r="J219" s="19">
        <f>IF(AND(D219/Summary!$C$4&gt;= 5, D219/Summary!$C$4&lt;10),E219,0) * D219</f>
        <v>0</v>
      </c>
      <c r="K219" s="19">
        <f>IF(AND(D219/Summary!$C$4&gt;=10, D219/Summary!$C$4&lt;25),E219,0)*D219</f>
        <v>0</v>
      </c>
      <c r="L219" s="19">
        <f>IF(D219/Summary!$C$4&gt;=25,E219,0)*D219</f>
        <v>5555</v>
      </c>
      <c r="M219" s="27">
        <f>IF(AND(D219/Summary!$C$4&gt;0, D219/Summary!$C$4&lt;1),E219,0)</f>
        <v>0</v>
      </c>
      <c r="N219" s="27">
        <f t="shared" si="155"/>
        <v>0</v>
      </c>
      <c r="O219" s="27">
        <f>IF(D219/Summary!$C$4=1,1,0)*E219</f>
        <v>0</v>
      </c>
      <c r="P219" s="27">
        <f t="shared" si="156"/>
        <v>0</v>
      </c>
      <c r="Q219" s="27">
        <f>IF(AND(D219/Summary!$C$4&gt;1, D219/Summary!$C$4&lt;=2),1,0)*E219</f>
        <v>0</v>
      </c>
      <c r="R219" s="27">
        <f t="shared" si="157"/>
        <v>0</v>
      </c>
      <c r="S219" s="27">
        <f>IF(AND(D219/Summary!$C$4&gt;2,D219/Summary!$C$4&lt;=5),1,0)*E219</f>
        <v>0</v>
      </c>
      <c r="T219" s="27">
        <f t="shared" si="158"/>
        <v>0</v>
      </c>
      <c r="U219" s="27">
        <f>IF(AND(D219/Summary!$C$4&gt;5, D219/Summary!$C$4&lt;=10),1,0)*E219</f>
        <v>0</v>
      </c>
      <c r="V219" s="27">
        <f t="shared" si="159"/>
        <v>0</v>
      </c>
      <c r="W219" s="27">
        <f>IF(AND(D219/Summary!$C$4&gt;10, D219/Summary!$C$4&lt;=20),1,0)*E219</f>
        <v>0</v>
      </c>
      <c r="X219" s="27">
        <f t="shared" si="160"/>
        <v>0</v>
      </c>
      <c r="Y219" s="27">
        <f>IF(AND(D219/Summary!$C$4&gt;20, D219/Summary!$C$4&lt;=30),1,0)*E219</f>
        <v>0</v>
      </c>
      <c r="Z219" s="27">
        <f t="shared" si="161"/>
        <v>0</v>
      </c>
      <c r="AA219" s="27">
        <f>IF(AND(D219/Summary!$C$4&gt;30, D219/Summary!$C$4&lt;=50),1,0)*E219</f>
        <v>0</v>
      </c>
      <c r="AB219" s="27">
        <f t="shared" si="162"/>
        <v>0</v>
      </c>
      <c r="AC219" s="27">
        <f>IF(AND(D219/Summary!$C$4&gt;50, D219/Summary!$C$4&lt;=100),1,0)*E219</f>
        <v>101</v>
      </c>
      <c r="AD219" s="27">
        <f t="shared" si="163"/>
        <v>5555</v>
      </c>
      <c r="AE219" s="27">
        <f>IF(D219/Summary!$C$4&gt;100,1,0)*E219</f>
        <v>0</v>
      </c>
      <c r="AF219" s="27">
        <f t="shared" si="164"/>
        <v>0</v>
      </c>
      <c r="AG219" s="19">
        <f t="shared" si="165"/>
        <v>0</v>
      </c>
      <c r="AH219" s="19">
        <f t="shared" si="166"/>
        <v>101</v>
      </c>
      <c r="AI219" s="19">
        <f t="shared" si="167"/>
        <v>0</v>
      </c>
      <c r="AJ219" s="27">
        <f t="shared" si="168"/>
        <v>1</v>
      </c>
      <c r="AK219" s="27">
        <f t="shared" si="169"/>
        <v>101</v>
      </c>
      <c r="AL219" s="27">
        <f t="shared" si="170"/>
        <v>5555</v>
      </c>
      <c r="AM219">
        <f t="shared" si="171"/>
        <v>0</v>
      </c>
      <c r="AN219">
        <f t="shared" si="172"/>
        <v>0</v>
      </c>
      <c r="AO219">
        <f t="shared" si="173"/>
        <v>0</v>
      </c>
      <c r="AP219">
        <f t="shared" si="174"/>
        <v>0</v>
      </c>
      <c r="AQ219">
        <f t="shared" si="175"/>
        <v>0</v>
      </c>
      <c r="AR219">
        <f t="shared" si="176"/>
        <v>0</v>
      </c>
      <c r="AS219">
        <f t="shared" si="177"/>
        <v>0</v>
      </c>
      <c r="AT219">
        <f t="shared" si="178"/>
        <v>0</v>
      </c>
      <c r="AU219">
        <f t="shared" si="179"/>
        <v>0</v>
      </c>
      <c r="AV219">
        <f t="shared" si="180"/>
        <v>0</v>
      </c>
      <c r="AW219">
        <f t="shared" si="181"/>
        <v>0</v>
      </c>
      <c r="AX219">
        <f t="shared" si="182"/>
        <v>0</v>
      </c>
      <c r="AY219">
        <f t="shared" si="183"/>
        <v>0</v>
      </c>
      <c r="AZ219">
        <f t="shared" si="184"/>
        <v>0</v>
      </c>
      <c r="BA219">
        <f t="shared" si="185"/>
        <v>0</v>
      </c>
      <c r="BB219">
        <f t="shared" si="186"/>
        <v>0</v>
      </c>
      <c r="BC219">
        <f t="shared" si="187"/>
        <v>0</v>
      </c>
      <c r="BD219">
        <f t="shared" si="188"/>
        <v>101</v>
      </c>
      <c r="BE219">
        <f t="shared" si="189"/>
        <v>5555</v>
      </c>
      <c r="BF219">
        <f t="shared" si="190"/>
        <v>0</v>
      </c>
      <c r="BG219">
        <f t="shared" si="191"/>
        <v>0</v>
      </c>
      <c r="BH219">
        <f t="shared" si="192"/>
        <v>0</v>
      </c>
      <c r="BI219">
        <f t="shared" si="193"/>
        <v>0</v>
      </c>
      <c r="BJ219">
        <f t="shared" si="194"/>
        <v>0</v>
      </c>
      <c r="BK219">
        <f t="shared" si="195"/>
        <v>0</v>
      </c>
      <c r="BL219">
        <v>0</v>
      </c>
      <c r="BM219" t="str">
        <f t="shared" si="200"/>
        <v>Huge Win</v>
      </c>
      <c r="BN219" s="32" t="str">
        <f t="shared" si="201"/>
        <v>Bonus Game A</v>
      </c>
      <c r="BO219">
        <f>(D219/Summary!$C$4-Summary!$C$8)^2*E219</f>
        <v>296373.27890000003</v>
      </c>
      <c r="BP219">
        <f t="shared" si="196"/>
        <v>0</v>
      </c>
      <c r="BQ219">
        <f t="shared" si="197"/>
        <v>0</v>
      </c>
      <c r="BR219">
        <f t="shared" si="198"/>
        <v>0</v>
      </c>
      <c r="BS219">
        <f t="shared" si="199"/>
        <v>0</v>
      </c>
    </row>
    <row r="220" spans="2:71">
      <c r="B220" s="16">
        <f>Tiers!B221</f>
        <v>218</v>
      </c>
      <c r="C220" s="17" t="str">
        <f>Tiers!Y221</f>
        <v>main-0|main-0|main-1|main-10|bonusA-3||||| x 20</v>
      </c>
      <c r="D220" s="18">
        <f>Tiers!C221</f>
        <v>53</v>
      </c>
      <c r="E220" s="19">
        <f>Frequency!E222</f>
        <v>113</v>
      </c>
      <c r="F220" s="19">
        <f t="shared" si="153"/>
        <v>5989</v>
      </c>
      <c r="G220" s="19">
        <f>IF(Tiers!D221&gt;1,'Data Analysis'!E220,0)</f>
        <v>113</v>
      </c>
      <c r="H220" s="19">
        <f t="shared" si="154"/>
        <v>5989</v>
      </c>
      <c r="I220" s="19">
        <f>IF(AND(D220/Summary!$C$4&gt;0, D220/Summary!$C$4&lt;5),E220,0) * D220</f>
        <v>0</v>
      </c>
      <c r="J220" s="19">
        <f>IF(AND(D220/Summary!$C$4&gt;= 5, D220/Summary!$C$4&lt;10),E220,0) * D220</f>
        <v>0</v>
      </c>
      <c r="K220" s="19">
        <f>IF(AND(D220/Summary!$C$4&gt;=10, D220/Summary!$C$4&lt;25),E220,0)*D220</f>
        <v>0</v>
      </c>
      <c r="L220" s="19">
        <f>IF(D220/Summary!$C$4&gt;=25,E220,0)*D220</f>
        <v>5989</v>
      </c>
      <c r="M220" s="27">
        <f>IF(AND(D220/Summary!$C$4&gt;0, D220/Summary!$C$4&lt;1),E220,0)</f>
        <v>0</v>
      </c>
      <c r="N220" s="27">
        <f t="shared" si="155"/>
        <v>0</v>
      </c>
      <c r="O220" s="27">
        <f>IF(D220/Summary!$C$4=1,1,0)*E220</f>
        <v>0</v>
      </c>
      <c r="P220" s="27">
        <f t="shared" si="156"/>
        <v>0</v>
      </c>
      <c r="Q220" s="27">
        <f>IF(AND(D220/Summary!$C$4&gt;1, D220/Summary!$C$4&lt;=2),1,0)*E220</f>
        <v>0</v>
      </c>
      <c r="R220" s="27">
        <f t="shared" si="157"/>
        <v>0</v>
      </c>
      <c r="S220" s="27">
        <f>IF(AND(D220/Summary!$C$4&gt;2,D220/Summary!$C$4&lt;=5),1,0)*E220</f>
        <v>0</v>
      </c>
      <c r="T220" s="27">
        <f t="shared" si="158"/>
        <v>0</v>
      </c>
      <c r="U220" s="27">
        <f>IF(AND(D220/Summary!$C$4&gt;5, D220/Summary!$C$4&lt;=10),1,0)*E220</f>
        <v>0</v>
      </c>
      <c r="V220" s="27">
        <f t="shared" si="159"/>
        <v>0</v>
      </c>
      <c r="W220" s="27">
        <f>IF(AND(D220/Summary!$C$4&gt;10, D220/Summary!$C$4&lt;=20),1,0)*E220</f>
        <v>0</v>
      </c>
      <c r="X220" s="27">
        <f t="shared" si="160"/>
        <v>0</v>
      </c>
      <c r="Y220" s="27">
        <f>IF(AND(D220/Summary!$C$4&gt;20, D220/Summary!$C$4&lt;=30),1,0)*E220</f>
        <v>0</v>
      </c>
      <c r="Z220" s="27">
        <f t="shared" si="161"/>
        <v>0</v>
      </c>
      <c r="AA220" s="27">
        <f>IF(AND(D220/Summary!$C$4&gt;30, D220/Summary!$C$4&lt;=50),1,0)*E220</f>
        <v>0</v>
      </c>
      <c r="AB220" s="27">
        <f t="shared" si="162"/>
        <v>0</v>
      </c>
      <c r="AC220" s="27">
        <f>IF(AND(D220/Summary!$C$4&gt;50, D220/Summary!$C$4&lt;=100),1,0)*E220</f>
        <v>113</v>
      </c>
      <c r="AD220" s="27">
        <f t="shared" si="163"/>
        <v>5989</v>
      </c>
      <c r="AE220" s="27">
        <f>IF(D220/Summary!$C$4&gt;100,1,0)*E220</f>
        <v>0</v>
      </c>
      <c r="AF220" s="27">
        <f t="shared" si="164"/>
        <v>0</v>
      </c>
      <c r="AG220" s="19">
        <f t="shared" si="165"/>
        <v>0</v>
      </c>
      <c r="AH220" s="19">
        <f t="shared" si="166"/>
        <v>113</v>
      </c>
      <c r="AI220" s="19">
        <f t="shared" si="167"/>
        <v>0</v>
      </c>
      <c r="AJ220" s="27">
        <f t="shared" si="168"/>
        <v>1</v>
      </c>
      <c r="AK220" s="27">
        <f t="shared" si="169"/>
        <v>113</v>
      </c>
      <c r="AL220" s="27">
        <f t="shared" si="170"/>
        <v>5989</v>
      </c>
      <c r="AM220">
        <f t="shared" si="171"/>
        <v>0</v>
      </c>
      <c r="AN220">
        <f t="shared" si="172"/>
        <v>0</v>
      </c>
      <c r="AO220">
        <f t="shared" si="173"/>
        <v>0</v>
      </c>
      <c r="AP220">
        <f t="shared" si="174"/>
        <v>0</v>
      </c>
      <c r="AQ220">
        <f t="shared" si="175"/>
        <v>0</v>
      </c>
      <c r="AR220">
        <f t="shared" si="176"/>
        <v>0</v>
      </c>
      <c r="AS220">
        <f t="shared" si="177"/>
        <v>0</v>
      </c>
      <c r="AT220">
        <f t="shared" si="178"/>
        <v>0</v>
      </c>
      <c r="AU220">
        <f t="shared" si="179"/>
        <v>0</v>
      </c>
      <c r="AV220">
        <f t="shared" si="180"/>
        <v>0</v>
      </c>
      <c r="AW220">
        <f t="shared" si="181"/>
        <v>0</v>
      </c>
      <c r="AX220">
        <f t="shared" si="182"/>
        <v>0</v>
      </c>
      <c r="AY220">
        <f t="shared" si="183"/>
        <v>0</v>
      </c>
      <c r="AZ220">
        <f t="shared" si="184"/>
        <v>0</v>
      </c>
      <c r="BA220">
        <f t="shared" si="185"/>
        <v>0</v>
      </c>
      <c r="BB220">
        <f t="shared" si="186"/>
        <v>0</v>
      </c>
      <c r="BC220">
        <f t="shared" si="187"/>
        <v>0</v>
      </c>
      <c r="BD220">
        <f t="shared" si="188"/>
        <v>113</v>
      </c>
      <c r="BE220">
        <f t="shared" si="189"/>
        <v>5989</v>
      </c>
      <c r="BF220">
        <f t="shared" si="190"/>
        <v>0</v>
      </c>
      <c r="BG220">
        <f t="shared" si="191"/>
        <v>0</v>
      </c>
      <c r="BH220">
        <f t="shared" si="192"/>
        <v>0</v>
      </c>
      <c r="BI220">
        <f t="shared" si="193"/>
        <v>0</v>
      </c>
      <c r="BJ220">
        <f t="shared" si="194"/>
        <v>0</v>
      </c>
      <c r="BK220">
        <f t="shared" si="195"/>
        <v>0</v>
      </c>
      <c r="BL220">
        <v>0</v>
      </c>
      <c r="BM220" t="str">
        <f t="shared" si="200"/>
        <v>Huge Win</v>
      </c>
      <c r="BN220" s="32" t="str">
        <f t="shared" si="201"/>
        <v>Bonus Game A</v>
      </c>
      <c r="BO220">
        <f>(D220/Summary!$C$4-Summary!$C$8)^2*E220</f>
        <v>307553.10570000001</v>
      </c>
      <c r="BP220">
        <f t="shared" si="196"/>
        <v>0</v>
      </c>
      <c r="BQ220">
        <f t="shared" si="197"/>
        <v>0</v>
      </c>
      <c r="BR220">
        <f t="shared" si="198"/>
        <v>0</v>
      </c>
      <c r="BS220">
        <f t="shared" si="199"/>
        <v>0</v>
      </c>
    </row>
    <row r="221" spans="2:71">
      <c r="B221" s="16">
        <f>Tiers!B222</f>
        <v>219</v>
      </c>
      <c r="C221" s="17" t="str">
        <f>Tiers!Y222</f>
        <v>main-0|main-0|main-0|main-1|bonusA-0||||| x 20</v>
      </c>
      <c r="D221" s="18">
        <f>Tiers!C222</f>
        <v>20</v>
      </c>
      <c r="E221" s="19">
        <f>Frequency!E223</f>
        <v>900</v>
      </c>
      <c r="F221" s="19">
        <f t="shared" si="153"/>
        <v>18000</v>
      </c>
      <c r="G221" s="19">
        <f>IF(Tiers!D222&gt;1,'Data Analysis'!E221,0)</f>
        <v>900</v>
      </c>
      <c r="H221" s="19">
        <f t="shared" si="154"/>
        <v>18000</v>
      </c>
      <c r="I221" s="19">
        <f>IF(AND(D221/Summary!$C$4&gt;0, D221/Summary!$C$4&lt;5),E221,0) * D221</f>
        <v>0</v>
      </c>
      <c r="J221" s="19">
        <f>IF(AND(D221/Summary!$C$4&gt;= 5, D221/Summary!$C$4&lt;10),E221,0) * D221</f>
        <v>0</v>
      </c>
      <c r="K221" s="19">
        <f>IF(AND(D221/Summary!$C$4&gt;=10, D221/Summary!$C$4&lt;25),E221,0)*D221</f>
        <v>18000</v>
      </c>
      <c r="L221" s="19">
        <f>IF(D221/Summary!$C$4&gt;=25,E221,0)*D221</f>
        <v>0</v>
      </c>
      <c r="M221" s="27">
        <f>IF(AND(D221/Summary!$C$4&gt;0, D221/Summary!$C$4&lt;1),E221,0)</f>
        <v>0</v>
      </c>
      <c r="N221" s="27">
        <f t="shared" si="155"/>
        <v>0</v>
      </c>
      <c r="O221" s="27">
        <f>IF(D221/Summary!$C$4=1,1,0)*E221</f>
        <v>0</v>
      </c>
      <c r="P221" s="27">
        <f t="shared" si="156"/>
        <v>0</v>
      </c>
      <c r="Q221" s="27">
        <f>IF(AND(D221/Summary!$C$4&gt;1, D221/Summary!$C$4&lt;=2),1,0)*E221</f>
        <v>0</v>
      </c>
      <c r="R221" s="27">
        <f t="shared" si="157"/>
        <v>0</v>
      </c>
      <c r="S221" s="27">
        <f>IF(AND(D221/Summary!$C$4&gt;2,D221/Summary!$C$4&lt;=5),1,0)*E221</f>
        <v>0</v>
      </c>
      <c r="T221" s="27">
        <f t="shared" si="158"/>
        <v>0</v>
      </c>
      <c r="U221" s="27">
        <f>IF(AND(D221/Summary!$C$4&gt;5, D221/Summary!$C$4&lt;=10),1,0)*E221</f>
        <v>0</v>
      </c>
      <c r="V221" s="27">
        <f t="shared" si="159"/>
        <v>0</v>
      </c>
      <c r="W221" s="27">
        <f>IF(AND(D221/Summary!$C$4&gt;10, D221/Summary!$C$4&lt;=20),1,0)*E221</f>
        <v>900</v>
      </c>
      <c r="X221" s="27">
        <f t="shared" si="160"/>
        <v>18000</v>
      </c>
      <c r="Y221" s="27">
        <f>IF(AND(D221/Summary!$C$4&gt;20, D221/Summary!$C$4&lt;=30),1,0)*E221</f>
        <v>0</v>
      </c>
      <c r="Z221" s="27">
        <f t="shared" si="161"/>
        <v>0</v>
      </c>
      <c r="AA221" s="27">
        <f>IF(AND(D221/Summary!$C$4&gt;30, D221/Summary!$C$4&lt;=50),1,0)*E221</f>
        <v>0</v>
      </c>
      <c r="AB221" s="27">
        <f t="shared" si="162"/>
        <v>0</v>
      </c>
      <c r="AC221" s="27">
        <f>IF(AND(D221/Summary!$C$4&gt;50, D221/Summary!$C$4&lt;=100),1,0)*E221</f>
        <v>0</v>
      </c>
      <c r="AD221" s="27">
        <f t="shared" si="163"/>
        <v>0</v>
      </c>
      <c r="AE221" s="27">
        <f>IF(D221/Summary!$C$4&gt;100,1,0)*E221</f>
        <v>0</v>
      </c>
      <c r="AF221" s="27">
        <f t="shared" si="164"/>
        <v>0</v>
      </c>
      <c r="AG221" s="19">
        <f t="shared" si="165"/>
        <v>0</v>
      </c>
      <c r="AH221" s="19">
        <f t="shared" si="166"/>
        <v>900</v>
      </c>
      <c r="AI221" s="19">
        <f t="shared" si="167"/>
        <v>0</v>
      </c>
      <c r="AJ221" s="27">
        <f t="shared" si="168"/>
        <v>1</v>
      </c>
      <c r="AK221" s="27">
        <f t="shared" si="169"/>
        <v>900</v>
      </c>
      <c r="AL221" s="27">
        <f t="shared" si="170"/>
        <v>18000</v>
      </c>
      <c r="AM221">
        <f t="shared" si="171"/>
        <v>0</v>
      </c>
      <c r="AN221">
        <f t="shared" si="172"/>
        <v>0</v>
      </c>
      <c r="AO221">
        <f t="shared" si="173"/>
        <v>0</v>
      </c>
      <c r="AP221">
        <f t="shared" si="174"/>
        <v>0</v>
      </c>
      <c r="AQ221">
        <f t="shared" si="175"/>
        <v>0</v>
      </c>
      <c r="AR221">
        <f t="shared" si="176"/>
        <v>0</v>
      </c>
      <c r="AS221">
        <f t="shared" si="177"/>
        <v>0</v>
      </c>
      <c r="AT221">
        <f t="shared" si="178"/>
        <v>0</v>
      </c>
      <c r="AU221">
        <f t="shared" si="179"/>
        <v>0</v>
      </c>
      <c r="AV221">
        <f t="shared" si="180"/>
        <v>0</v>
      </c>
      <c r="AW221">
        <f t="shared" si="181"/>
        <v>0</v>
      </c>
      <c r="AX221">
        <f t="shared" si="182"/>
        <v>0</v>
      </c>
      <c r="AY221">
        <f t="shared" si="183"/>
        <v>0</v>
      </c>
      <c r="AZ221">
        <f t="shared" si="184"/>
        <v>0</v>
      </c>
      <c r="BA221">
        <f t="shared" si="185"/>
        <v>0</v>
      </c>
      <c r="BB221">
        <f t="shared" si="186"/>
        <v>0</v>
      </c>
      <c r="BC221">
        <f t="shared" si="187"/>
        <v>0</v>
      </c>
      <c r="BD221">
        <f t="shared" si="188"/>
        <v>900</v>
      </c>
      <c r="BE221">
        <f t="shared" si="189"/>
        <v>18000</v>
      </c>
      <c r="BF221">
        <f t="shared" si="190"/>
        <v>0</v>
      </c>
      <c r="BG221">
        <f t="shared" si="191"/>
        <v>0</v>
      </c>
      <c r="BH221">
        <f t="shared" si="192"/>
        <v>0</v>
      </c>
      <c r="BI221">
        <f t="shared" si="193"/>
        <v>0</v>
      </c>
      <c r="BJ221">
        <f t="shared" si="194"/>
        <v>0</v>
      </c>
      <c r="BK221">
        <f t="shared" si="195"/>
        <v>0</v>
      </c>
      <c r="BL221">
        <v>0</v>
      </c>
      <c r="BM221" t="str">
        <f t="shared" si="200"/>
        <v>Big Win</v>
      </c>
      <c r="BN221" s="32" t="str">
        <f t="shared" si="201"/>
        <v>Bonus Game A</v>
      </c>
      <c r="BO221">
        <f>(D221/Summary!$C$4-Summary!$C$8)^2*E221</f>
        <v>330740.01000000007</v>
      </c>
      <c r="BP221">
        <f t="shared" si="196"/>
        <v>0</v>
      </c>
      <c r="BQ221">
        <f t="shared" si="197"/>
        <v>0</v>
      </c>
      <c r="BR221">
        <f t="shared" si="198"/>
        <v>0</v>
      </c>
      <c r="BS221">
        <f t="shared" si="199"/>
        <v>0</v>
      </c>
    </row>
    <row r="222" spans="2:71">
      <c r="B222" s="16">
        <f>Tiers!B223</f>
        <v>220</v>
      </c>
      <c r="C222" s="17" t="str">
        <f>Tiers!Y223</f>
        <v>main-0|main-0|main-1|main-1|bonusA-4||||| x 20</v>
      </c>
      <c r="D222" s="18">
        <f>Tiers!C223</f>
        <v>42</v>
      </c>
      <c r="E222" s="19">
        <f>Frequency!E224</f>
        <v>151</v>
      </c>
      <c r="F222" s="19">
        <f t="shared" si="153"/>
        <v>6342</v>
      </c>
      <c r="G222" s="19">
        <f>IF(Tiers!D223&gt;1,'Data Analysis'!E222,0)</f>
        <v>151</v>
      </c>
      <c r="H222" s="19">
        <f t="shared" si="154"/>
        <v>6342</v>
      </c>
      <c r="I222" s="19">
        <f>IF(AND(D222/Summary!$C$4&gt;0, D222/Summary!$C$4&lt;5),E222,0) * D222</f>
        <v>0</v>
      </c>
      <c r="J222" s="19">
        <f>IF(AND(D222/Summary!$C$4&gt;= 5, D222/Summary!$C$4&lt;10),E222,0) * D222</f>
        <v>0</v>
      </c>
      <c r="K222" s="19">
        <f>IF(AND(D222/Summary!$C$4&gt;=10, D222/Summary!$C$4&lt;25),E222,0)*D222</f>
        <v>0</v>
      </c>
      <c r="L222" s="19">
        <f>IF(D222/Summary!$C$4&gt;=25,E222,0)*D222</f>
        <v>6342</v>
      </c>
      <c r="M222" s="27">
        <f>IF(AND(D222/Summary!$C$4&gt;0, D222/Summary!$C$4&lt;1),E222,0)</f>
        <v>0</v>
      </c>
      <c r="N222" s="27">
        <f t="shared" si="155"/>
        <v>0</v>
      </c>
      <c r="O222" s="27">
        <f>IF(D222/Summary!$C$4=1,1,0)*E222</f>
        <v>0</v>
      </c>
      <c r="P222" s="27">
        <f t="shared" si="156"/>
        <v>0</v>
      </c>
      <c r="Q222" s="27">
        <f>IF(AND(D222/Summary!$C$4&gt;1, D222/Summary!$C$4&lt;=2),1,0)*E222</f>
        <v>0</v>
      </c>
      <c r="R222" s="27">
        <f t="shared" si="157"/>
        <v>0</v>
      </c>
      <c r="S222" s="27">
        <f>IF(AND(D222/Summary!$C$4&gt;2,D222/Summary!$C$4&lt;=5),1,0)*E222</f>
        <v>0</v>
      </c>
      <c r="T222" s="27">
        <f t="shared" si="158"/>
        <v>0</v>
      </c>
      <c r="U222" s="27">
        <f>IF(AND(D222/Summary!$C$4&gt;5, D222/Summary!$C$4&lt;=10),1,0)*E222</f>
        <v>0</v>
      </c>
      <c r="V222" s="27">
        <f t="shared" si="159"/>
        <v>0</v>
      </c>
      <c r="W222" s="27">
        <f>IF(AND(D222/Summary!$C$4&gt;10, D222/Summary!$C$4&lt;=20),1,0)*E222</f>
        <v>0</v>
      </c>
      <c r="X222" s="27">
        <f t="shared" si="160"/>
        <v>0</v>
      </c>
      <c r="Y222" s="27">
        <f>IF(AND(D222/Summary!$C$4&gt;20, D222/Summary!$C$4&lt;=30),1,0)*E222</f>
        <v>0</v>
      </c>
      <c r="Z222" s="27">
        <f t="shared" si="161"/>
        <v>0</v>
      </c>
      <c r="AA222" s="27">
        <f>IF(AND(D222/Summary!$C$4&gt;30, D222/Summary!$C$4&lt;=50),1,0)*E222</f>
        <v>151</v>
      </c>
      <c r="AB222" s="27">
        <f t="shared" si="162"/>
        <v>6342</v>
      </c>
      <c r="AC222" s="27">
        <f>IF(AND(D222/Summary!$C$4&gt;50, D222/Summary!$C$4&lt;=100),1,0)*E222</f>
        <v>0</v>
      </c>
      <c r="AD222" s="27">
        <f t="shared" si="163"/>
        <v>0</v>
      </c>
      <c r="AE222" s="27">
        <f>IF(D222/Summary!$C$4&gt;100,1,0)*E222</f>
        <v>0</v>
      </c>
      <c r="AF222" s="27">
        <f t="shared" si="164"/>
        <v>0</v>
      </c>
      <c r="AG222" s="19">
        <f t="shared" si="165"/>
        <v>0</v>
      </c>
      <c r="AH222" s="19">
        <f t="shared" si="166"/>
        <v>151</v>
      </c>
      <c r="AI222" s="19">
        <f t="shared" si="167"/>
        <v>0</v>
      </c>
      <c r="AJ222" s="27">
        <f t="shared" si="168"/>
        <v>1</v>
      </c>
      <c r="AK222" s="27">
        <f t="shared" si="169"/>
        <v>151</v>
      </c>
      <c r="AL222" s="27">
        <f t="shared" si="170"/>
        <v>6342</v>
      </c>
      <c r="AM222">
        <f t="shared" si="171"/>
        <v>0</v>
      </c>
      <c r="AN222">
        <f t="shared" si="172"/>
        <v>0</v>
      </c>
      <c r="AO222">
        <f t="shared" si="173"/>
        <v>0</v>
      </c>
      <c r="AP222">
        <f t="shared" si="174"/>
        <v>0</v>
      </c>
      <c r="AQ222">
        <f t="shared" si="175"/>
        <v>0</v>
      </c>
      <c r="AR222">
        <f t="shared" si="176"/>
        <v>0</v>
      </c>
      <c r="AS222">
        <f t="shared" si="177"/>
        <v>0</v>
      </c>
      <c r="AT222">
        <f t="shared" si="178"/>
        <v>0</v>
      </c>
      <c r="AU222">
        <f t="shared" si="179"/>
        <v>0</v>
      </c>
      <c r="AV222">
        <f t="shared" si="180"/>
        <v>0</v>
      </c>
      <c r="AW222">
        <f t="shared" si="181"/>
        <v>0</v>
      </c>
      <c r="AX222">
        <f t="shared" si="182"/>
        <v>0</v>
      </c>
      <c r="AY222">
        <f t="shared" si="183"/>
        <v>0</v>
      </c>
      <c r="AZ222">
        <f t="shared" si="184"/>
        <v>0</v>
      </c>
      <c r="BA222">
        <f t="shared" si="185"/>
        <v>0</v>
      </c>
      <c r="BB222">
        <f t="shared" si="186"/>
        <v>0</v>
      </c>
      <c r="BC222">
        <f t="shared" si="187"/>
        <v>0</v>
      </c>
      <c r="BD222">
        <f t="shared" si="188"/>
        <v>151</v>
      </c>
      <c r="BE222">
        <f t="shared" si="189"/>
        <v>6342</v>
      </c>
      <c r="BF222">
        <f t="shared" si="190"/>
        <v>0</v>
      </c>
      <c r="BG222">
        <f t="shared" si="191"/>
        <v>0</v>
      </c>
      <c r="BH222">
        <f t="shared" si="192"/>
        <v>0</v>
      </c>
      <c r="BI222">
        <f t="shared" si="193"/>
        <v>0</v>
      </c>
      <c r="BJ222">
        <f t="shared" si="194"/>
        <v>0</v>
      </c>
      <c r="BK222">
        <f t="shared" si="195"/>
        <v>0</v>
      </c>
      <c r="BL222">
        <v>0</v>
      </c>
      <c r="BM222" t="str">
        <f t="shared" si="200"/>
        <v>Big Win</v>
      </c>
      <c r="BN222" s="32" t="str">
        <f t="shared" si="201"/>
        <v>Bonus Game A</v>
      </c>
      <c r="BO222">
        <f>(D222/Summary!$C$4-Summary!$C$8)^2*E222</f>
        <v>255940.3039</v>
      </c>
      <c r="BP222">
        <f t="shared" si="196"/>
        <v>0</v>
      </c>
      <c r="BQ222">
        <f t="shared" si="197"/>
        <v>0</v>
      </c>
      <c r="BR222">
        <f t="shared" si="198"/>
        <v>0</v>
      </c>
      <c r="BS222">
        <f t="shared" si="199"/>
        <v>0</v>
      </c>
    </row>
    <row r="223" spans="2:71">
      <c r="B223" s="16">
        <f>Tiers!B224</f>
        <v>221</v>
      </c>
      <c r="C223" s="17" t="str">
        <f>Tiers!Y224</f>
        <v>main-0|main-0|main-1|main-30|bonusA-2||||| x 20</v>
      </c>
      <c r="D223" s="18">
        <f>Tiers!C224</f>
        <v>68</v>
      </c>
      <c r="E223" s="19">
        <f>Frequency!E225</f>
        <v>84</v>
      </c>
      <c r="F223" s="19">
        <f t="shared" si="153"/>
        <v>5712</v>
      </c>
      <c r="G223" s="19">
        <f>IF(Tiers!D224&gt;1,'Data Analysis'!E223,0)</f>
        <v>84</v>
      </c>
      <c r="H223" s="19">
        <f t="shared" si="154"/>
        <v>5712</v>
      </c>
      <c r="I223" s="19">
        <f>IF(AND(D223/Summary!$C$4&gt;0, D223/Summary!$C$4&lt;5),E223,0) * D223</f>
        <v>0</v>
      </c>
      <c r="J223" s="19">
        <f>IF(AND(D223/Summary!$C$4&gt;= 5, D223/Summary!$C$4&lt;10),E223,0) * D223</f>
        <v>0</v>
      </c>
      <c r="K223" s="19">
        <f>IF(AND(D223/Summary!$C$4&gt;=10, D223/Summary!$C$4&lt;25),E223,0)*D223</f>
        <v>0</v>
      </c>
      <c r="L223" s="19">
        <f>IF(D223/Summary!$C$4&gt;=25,E223,0)*D223</f>
        <v>5712</v>
      </c>
      <c r="M223" s="27">
        <f>IF(AND(D223/Summary!$C$4&gt;0, D223/Summary!$C$4&lt;1),E223,0)</f>
        <v>0</v>
      </c>
      <c r="N223" s="27">
        <f t="shared" si="155"/>
        <v>0</v>
      </c>
      <c r="O223" s="27">
        <f>IF(D223/Summary!$C$4=1,1,0)*E223</f>
        <v>0</v>
      </c>
      <c r="P223" s="27">
        <f t="shared" si="156"/>
        <v>0</v>
      </c>
      <c r="Q223" s="27">
        <f>IF(AND(D223/Summary!$C$4&gt;1, D223/Summary!$C$4&lt;=2),1,0)*E223</f>
        <v>0</v>
      </c>
      <c r="R223" s="27">
        <f t="shared" si="157"/>
        <v>0</v>
      </c>
      <c r="S223" s="27">
        <f>IF(AND(D223/Summary!$C$4&gt;2,D223/Summary!$C$4&lt;=5),1,0)*E223</f>
        <v>0</v>
      </c>
      <c r="T223" s="27">
        <f t="shared" si="158"/>
        <v>0</v>
      </c>
      <c r="U223" s="27">
        <f>IF(AND(D223/Summary!$C$4&gt;5, D223/Summary!$C$4&lt;=10),1,0)*E223</f>
        <v>0</v>
      </c>
      <c r="V223" s="27">
        <f t="shared" si="159"/>
        <v>0</v>
      </c>
      <c r="W223" s="27">
        <f>IF(AND(D223/Summary!$C$4&gt;10, D223/Summary!$C$4&lt;=20),1,0)*E223</f>
        <v>0</v>
      </c>
      <c r="X223" s="27">
        <f t="shared" si="160"/>
        <v>0</v>
      </c>
      <c r="Y223" s="27">
        <f>IF(AND(D223/Summary!$C$4&gt;20, D223/Summary!$C$4&lt;=30),1,0)*E223</f>
        <v>0</v>
      </c>
      <c r="Z223" s="27">
        <f t="shared" si="161"/>
        <v>0</v>
      </c>
      <c r="AA223" s="27">
        <f>IF(AND(D223/Summary!$C$4&gt;30, D223/Summary!$C$4&lt;=50),1,0)*E223</f>
        <v>0</v>
      </c>
      <c r="AB223" s="27">
        <f t="shared" si="162"/>
        <v>0</v>
      </c>
      <c r="AC223" s="27">
        <f>IF(AND(D223/Summary!$C$4&gt;50, D223/Summary!$C$4&lt;=100),1,0)*E223</f>
        <v>84</v>
      </c>
      <c r="AD223" s="27">
        <f t="shared" si="163"/>
        <v>5712</v>
      </c>
      <c r="AE223" s="27">
        <f>IF(D223/Summary!$C$4&gt;100,1,0)*E223</f>
        <v>0</v>
      </c>
      <c r="AF223" s="27">
        <f t="shared" si="164"/>
        <v>0</v>
      </c>
      <c r="AG223" s="19">
        <f t="shared" si="165"/>
        <v>0</v>
      </c>
      <c r="AH223" s="19">
        <f t="shared" si="166"/>
        <v>84</v>
      </c>
      <c r="AI223" s="19">
        <f t="shared" si="167"/>
        <v>0</v>
      </c>
      <c r="AJ223" s="27">
        <f t="shared" si="168"/>
        <v>1</v>
      </c>
      <c r="AK223" s="27">
        <f t="shared" si="169"/>
        <v>84</v>
      </c>
      <c r="AL223" s="27">
        <f t="shared" si="170"/>
        <v>5712</v>
      </c>
      <c r="AM223">
        <f t="shared" si="171"/>
        <v>0</v>
      </c>
      <c r="AN223">
        <f t="shared" si="172"/>
        <v>0</v>
      </c>
      <c r="AO223">
        <f t="shared" si="173"/>
        <v>0</v>
      </c>
      <c r="AP223">
        <f t="shared" si="174"/>
        <v>0</v>
      </c>
      <c r="AQ223">
        <f t="shared" si="175"/>
        <v>0</v>
      </c>
      <c r="AR223">
        <f t="shared" si="176"/>
        <v>0</v>
      </c>
      <c r="AS223">
        <f t="shared" si="177"/>
        <v>0</v>
      </c>
      <c r="AT223">
        <f t="shared" si="178"/>
        <v>0</v>
      </c>
      <c r="AU223">
        <f t="shared" si="179"/>
        <v>0</v>
      </c>
      <c r="AV223">
        <f t="shared" si="180"/>
        <v>0</v>
      </c>
      <c r="AW223">
        <f t="shared" si="181"/>
        <v>0</v>
      </c>
      <c r="AX223">
        <f t="shared" si="182"/>
        <v>0</v>
      </c>
      <c r="AY223">
        <f t="shared" si="183"/>
        <v>0</v>
      </c>
      <c r="AZ223">
        <f t="shared" si="184"/>
        <v>0</v>
      </c>
      <c r="BA223">
        <f t="shared" si="185"/>
        <v>0</v>
      </c>
      <c r="BB223">
        <f t="shared" si="186"/>
        <v>0</v>
      </c>
      <c r="BC223">
        <f t="shared" si="187"/>
        <v>0</v>
      </c>
      <c r="BD223">
        <f t="shared" si="188"/>
        <v>84</v>
      </c>
      <c r="BE223">
        <f t="shared" si="189"/>
        <v>5712</v>
      </c>
      <c r="BF223">
        <f t="shared" si="190"/>
        <v>0</v>
      </c>
      <c r="BG223">
        <f t="shared" si="191"/>
        <v>0</v>
      </c>
      <c r="BH223">
        <f t="shared" si="192"/>
        <v>0</v>
      </c>
      <c r="BI223">
        <f t="shared" si="193"/>
        <v>0</v>
      </c>
      <c r="BJ223">
        <f t="shared" si="194"/>
        <v>0</v>
      </c>
      <c r="BK223">
        <f t="shared" si="195"/>
        <v>0</v>
      </c>
      <c r="BL223">
        <v>0</v>
      </c>
      <c r="BM223" t="str">
        <f t="shared" si="200"/>
        <v>Huge Win</v>
      </c>
      <c r="BN223" s="32" t="str">
        <f t="shared" si="201"/>
        <v>Bonus Game A</v>
      </c>
      <c r="BO223">
        <f>(D223/Summary!$C$4-Summary!$C$8)^2*E223</f>
        <v>378991.94760000001</v>
      </c>
      <c r="BP223">
        <f t="shared" si="196"/>
        <v>0</v>
      </c>
      <c r="BQ223">
        <f t="shared" si="197"/>
        <v>0</v>
      </c>
      <c r="BR223">
        <f t="shared" si="198"/>
        <v>0</v>
      </c>
      <c r="BS223">
        <f t="shared" si="199"/>
        <v>0</v>
      </c>
    </row>
    <row r="224" spans="2:71">
      <c r="B224" s="16">
        <f>Tiers!B225</f>
        <v>222</v>
      </c>
      <c r="C224" s="17" t="str">
        <f>Tiers!Y225</f>
        <v>main-0|main-0|main-1|main-1|main-2|bonusA-4|||| x 20</v>
      </c>
      <c r="D224" s="18">
        <f>Tiers!C225</f>
        <v>52</v>
      </c>
      <c r="E224" s="19">
        <f>Frequency!E226</f>
        <v>116</v>
      </c>
      <c r="F224" s="19">
        <f t="shared" si="153"/>
        <v>6032</v>
      </c>
      <c r="G224" s="19">
        <f>IF(Tiers!D225&gt;1,'Data Analysis'!E224,0)</f>
        <v>116</v>
      </c>
      <c r="H224" s="19">
        <f t="shared" si="154"/>
        <v>6032</v>
      </c>
      <c r="I224" s="19">
        <f>IF(AND(D224/Summary!$C$4&gt;0, D224/Summary!$C$4&lt;5),E224,0) * D224</f>
        <v>0</v>
      </c>
      <c r="J224" s="19">
        <f>IF(AND(D224/Summary!$C$4&gt;= 5, D224/Summary!$C$4&lt;10),E224,0) * D224</f>
        <v>0</v>
      </c>
      <c r="K224" s="19">
        <f>IF(AND(D224/Summary!$C$4&gt;=10, D224/Summary!$C$4&lt;25),E224,0)*D224</f>
        <v>0</v>
      </c>
      <c r="L224" s="19">
        <f>IF(D224/Summary!$C$4&gt;=25,E224,0)*D224</f>
        <v>6032</v>
      </c>
      <c r="M224" s="27">
        <f>IF(AND(D224/Summary!$C$4&gt;0, D224/Summary!$C$4&lt;1),E224,0)</f>
        <v>0</v>
      </c>
      <c r="N224" s="27">
        <f t="shared" si="155"/>
        <v>0</v>
      </c>
      <c r="O224" s="27">
        <f>IF(D224/Summary!$C$4=1,1,0)*E224</f>
        <v>0</v>
      </c>
      <c r="P224" s="27">
        <f t="shared" si="156"/>
        <v>0</v>
      </c>
      <c r="Q224" s="27">
        <f>IF(AND(D224/Summary!$C$4&gt;1, D224/Summary!$C$4&lt;=2),1,0)*E224</f>
        <v>0</v>
      </c>
      <c r="R224" s="27">
        <f t="shared" si="157"/>
        <v>0</v>
      </c>
      <c r="S224" s="27">
        <f>IF(AND(D224/Summary!$C$4&gt;2,D224/Summary!$C$4&lt;=5),1,0)*E224</f>
        <v>0</v>
      </c>
      <c r="T224" s="27">
        <f t="shared" si="158"/>
        <v>0</v>
      </c>
      <c r="U224" s="27">
        <f>IF(AND(D224/Summary!$C$4&gt;5, D224/Summary!$C$4&lt;=10),1,0)*E224</f>
        <v>0</v>
      </c>
      <c r="V224" s="27">
        <f t="shared" si="159"/>
        <v>0</v>
      </c>
      <c r="W224" s="27">
        <f>IF(AND(D224/Summary!$C$4&gt;10, D224/Summary!$C$4&lt;=20),1,0)*E224</f>
        <v>0</v>
      </c>
      <c r="X224" s="27">
        <f t="shared" si="160"/>
        <v>0</v>
      </c>
      <c r="Y224" s="27">
        <f>IF(AND(D224/Summary!$C$4&gt;20, D224/Summary!$C$4&lt;=30),1,0)*E224</f>
        <v>0</v>
      </c>
      <c r="Z224" s="27">
        <f t="shared" si="161"/>
        <v>0</v>
      </c>
      <c r="AA224" s="27">
        <f>IF(AND(D224/Summary!$C$4&gt;30, D224/Summary!$C$4&lt;=50),1,0)*E224</f>
        <v>0</v>
      </c>
      <c r="AB224" s="27">
        <f t="shared" si="162"/>
        <v>0</v>
      </c>
      <c r="AC224" s="27">
        <f>IF(AND(D224/Summary!$C$4&gt;50, D224/Summary!$C$4&lt;=100),1,0)*E224</f>
        <v>116</v>
      </c>
      <c r="AD224" s="27">
        <f t="shared" si="163"/>
        <v>6032</v>
      </c>
      <c r="AE224" s="27">
        <f>IF(D224/Summary!$C$4&gt;100,1,0)*E224</f>
        <v>0</v>
      </c>
      <c r="AF224" s="27">
        <f t="shared" si="164"/>
        <v>0</v>
      </c>
      <c r="AG224" s="19">
        <f t="shared" si="165"/>
        <v>0</v>
      </c>
      <c r="AH224" s="19">
        <f t="shared" si="166"/>
        <v>116</v>
      </c>
      <c r="AI224" s="19">
        <f t="shared" si="167"/>
        <v>0</v>
      </c>
      <c r="AJ224" s="27">
        <f t="shared" si="168"/>
        <v>1</v>
      </c>
      <c r="AK224" s="27">
        <f t="shared" si="169"/>
        <v>116</v>
      </c>
      <c r="AL224" s="27">
        <f t="shared" si="170"/>
        <v>6032</v>
      </c>
      <c r="AM224">
        <f t="shared" si="171"/>
        <v>0</v>
      </c>
      <c r="AN224">
        <f t="shared" si="172"/>
        <v>0</v>
      </c>
      <c r="AO224">
        <f t="shared" si="173"/>
        <v>0</v>
      </c>
      <c r="AP224">
        <f t="shared" si="174"/>
        <v>0</v>
      </c>
      <c r="AQ224">
        <f t="shared" si="175"/>
        <v>0</v>
      </c>
      <c r="AR224">
        <f t="shared" si="176"/>
        <v>0</v>
      </c>
      <c r="AS224">
        <f t="shared" si="177"/>
        <v>0</v>
      </c>
      <c r="AT224">
        <f t="shared" si="178"/>
        <v>0</v>
      </c>
      <c r="AU224">
        <f t="shared" si="179"/>
        <v>0</v>
      </c>
      <c r="AV224">
        <f t="shared" si="180"/>
        <v>0</v>
      </c>
      <c r="AW224">
        <f t="shared" si="181"/>
        <v>0</v>
      </c>
      <c r="AX224">
        <f t="shared" si="182"/>
        <v>0</v>
      </c>
      <c r="AY224">
        <f t="shared" si="183"/>
        <v>0</v>
      </c>
      <c r="AZ224">
        <f t="shared" si="184"/>
        <v>0</v>
      </c>
      <c r="BA224">
        <f t="shared" si="185"/>
        <v>0</v>
      </c>
      <c r="BB224">
        <f t="shared" si="186"/>
        <v>0</v>
      </c>
      <c r="BC224">
        <f t="shared" si="187"/>
        <v>0</v>
      </c>
      <c r="BD224">
        <f t="shared" si="188"/>
        <v>116</v>
      </c>
      <c r="BE224">
        <f t="shared" si="189"/>
        <v>6032</v>
      </c>
      <c r="BF224">
        <f t="shared" si="190"/>
        <v>0</v>
      </c>
      <c r="BG224">
        <f t="shared" si="191"/>
        <v>0</v>
      </c>
      <c r="BH224">
        <f t="shared" si="192"/>
        <v>0</v>
      </c>
      <c r="BI224">
        <f t="shared" si="193"/>
        <v>0</v>
      </c>
      <c r="BJ224">
        <f t="shared" si="194"/>
        <v>0</v>
      </c>
      <c r="BK224">
        <f t="shared" si="195"/>
        <v>0</v>
      </c>
      <c r="BL224">
        <v>0</v>
      </c>
      <c r="BM224" t="str">
        <f t="shared" si="200"/>
        <v>Huge Win</v>
      </c>
      <c r="BN224" s="32" t="str">
        <f t="shared" si="201"/>
        <v>Bonus Game A</v>
      </c>
      <c r="BO224">
        <f>(D224/Summary!$C$4-Summary!$C$8)^2*E224</f>
        <v>303730.79240000003</v>
      </c>
      <c r="BP224">
        <f t="shared" si="196"/>
        <v>0</v>
      </c>
      <c r="BQ224">
        <f t="shared" si="197"/>
        <v>0</v>
      </c>
      <c r="BR224">
        <f t="shared" si="198"/>
        <v>0</v>
      </c>
      <c r="BS224">
        <f t="shared" si="199"/>
        <v>0</v>
      </c>
    </row>
    <row r="225" spans="2:71">
      <c r="B225" s="16">
        <f>Tiers!B226</f>
        <v>223</v>
      </c>
      <c r="C225" s="17" t="str">
        <f>Tiers!Y226</f>
        <v>main-0|main-0|main-1|main-10|main-20|bonusA-2|||| x 20</v>
      </c>
      <c r="D225" s="18">
        <f>Tiers!C226</f>
        <v>78</v>
      </c>
      <c r="E225" s="19">
        <f>Frequency!E227</f>
        <v>72</v>
      </c>
      <c r="F225" s="19">
        <f t="shared" si="153"/>
        <v>5616</v>
      </c>
      <c r="G225" s="19">
        <f>IF(Tiers!D226&gt;1,'Data Analysis'!E225,0)</f>
        <v>72</v>
      </c>
      <c r="H225" s="19">
        <f t="shared" si="154"/>
        <v>5616</v>
      </c>
      <c r="I225" s="19">
        <f>IF(AND(D225/Summary!$C$4&gt;0, D225/Summary!$C$4&lt;5),E225,0) * D225</f>
        <v>0</v>
      </c>
      <c r="J225" s="19">
        <f>IF(AND(D225/Summary!$C$4&gt;= 5, D225/Summary!$C$4&lt;10),E225,0) * D225</f>
        <v>0</v>
      </c>
      <c r="K225" s="19">
        <f>IF(AND(D225/Summary!$C$4&gt;=10, D225/Summary!$C$4&lt;25),E225,0)*D225</f>
        <v>0</v>
      </c>
      <c r="L225" s="19">
        <f>IF(D225/Summary!$C$4&gt;=25,E225,0)*D225</f>
        <v>5616</v>
      </c>
      <c r="M225" s="27">
        <f>IF(AND(D225/Summary!$C$4&gt;0, D225/Summary!$C$4&lt;1),E225,0)</f>
        <v>0</v>
      </c>
      <c r="N225" s="27">
        <f t="shared" si="155"/>
        <v>0</v>
      </c>
      <c r="O225" s="27">
        <f>IF(D225/Summary!$C$4=1,1,0)*E225</f>
        <v>0</v>
      </c>
      <c r="P225" s="27">
        <f t="shared" si="156"/>
        <v>0</v>
      </c>
      <c r="Q225" s="27">
        <f>IF(AND(D225/Summary!$C$4&gt;1, D225/Summary!$C$4&lt;=2),1,0)*E225</f>
        <v>0</v>
      </c>
      <c r="R225" s="27">
        <f t="shared" si="157"/>
        <v>0</v>
      </c>
      <c r="S225" s="27">
        <f>IF(AND(D225/Summary!$C$4&gt;2,D225/Summary!$C$4&lt;=5),1,0)*E225</f>
        <v>0</v>
      </c>
      <c r="T225" s="27">
        <f t="shared" si="158"/>
        <v>0</v>
      </c>
      <c r="U225" s="27">
        <f>IF(AND(D225/Summary!$C$4&gt;5, D225/Summary!$C$4&lt;=10),1,0)*E225</f>
        <v>0</v>
      </c>
      <c r="V225" s="27">
        <f t="shared" si="159"/>
        <v>0</v>
      </c>
      <c r="W225" s="27">
        <f>IF(AND(D225/Summary!$C$4&gt;10, D225/Summary!$C$4&lt;=20),1,0)*E225</f>
        <v>0</v>
      </c>
      <c r="X225" s="27">
        <f t="shared" si="160"/>
        <v>0</v>
      </c>
      <c r="Y225" s="27">
        <f>IF(AND(D225/Summary!$C$4&gt;20, D225/Summary!$C$4&lt;=30),1,0)*E225</f>
        <v>0</v>
      </c>
      <c r="Z225" s="27">
        <f t="shared" si="161"/>
        <v>0</v>
      </c>
      <c r="AA225" s="27">
        <f>IF(AND(D225/Summary!$C$4&gt;30, D225/Summary!$C$4&lt;=50),1,0)*E225</f>
        <v>0</v>
      </c>
      <c r="AB225" s="27">
        <f t="shared" si="162"/>
        <v>0</v>
      </c>
      <c r="AC225" s="27">
        <f>IF(AND(D225/Summary!$C$4&gt;50, D225/Summary!$C$4&lt;=100),1,0)*E225</f>
        <v>72</v>
      </c>
      <c r="AD225" s="27">
        <f t="shared" si="163"/>
        <v>5616</v>
      </c>
      <c r="AE225" s="27">
        <f>IF(D225/Summary!$C$4&gt;100,1,0)*E225</f>
        <v>0</v>
      </c>
      <c r="AF225" s="27">
        <f t="shared" si="164"/>
        <v>0</v>
      </c>
      <c r="AG225" s="19">
        <f t="shared" si="165"/>
        <v>0</v>
      </c>
      <c r="AH225" s="19">
        <f t="shared" si="166"/>
        <v>72</v>
      </c>
      <c r="AI225" s="19">
        <f t="shared" si="167"/>
        <v>0</v>
      </c>
      <c r="AJ225" s="27">
        <f t="shared" si="168"/>
        <v>1</v>
      </c>
      <c r="AK225" s="27">
        <f t="shared" si="169"/>
        <v>72</v>
      </c>
      <c r="AL225" s="27">
        <f t="shared" si="170"/>
        <v>5616</v>
      </c>
      <c r="AM225">
        <f t="shared" si="171"/>
        <v>0</v>
      </c>
      <c r="AN225">
        <f t="shared" si="172"/>
        <v>0</v>
      </c>
      <c r="AO225">
        <f t="shared" si="173"/>
        <v>0</v>
      </c>
      <c r="AP225">
        <f t="shared" si="174"/>
        <v>0</v>
      </c>
      <c r="AQ225">
        <f t="shared" si="175"/>
        <v>0</v>
      </c>
      <c r="AR225">
        <f t="shared" si="176"/>
        <v>0</v>
      </c>
      <c r="AS225">
        <f t="shared" si="177"/>
        <v>0</v>
      </c>
      <c r="AT225">
        <f t="shared" si="178"/>
        <v>0</v>
      </c>
      <c r="AU225">
        <f t="shared" si="179"/>
        <v>0</v>
      </c>
      <c r="AV225">
        <f t="shared" si="180"/>
        <v>0</v>
      </c>
      <c r="AW225">
        <f t="shared" si="181"/>
        <v>0</v>
      </c>
      <c r="AX225">
        <f t="shared" si="182"/>
        <v>0</v>
      </c>
      <c r="AY225">
        <f t="shared" si="183"/>
        <v>0</v>
      </c>
      <c r="AZ225">
        <f t="shared" si="184"/>
        <v>0</v>
      </c>
      <c r="BA225">
        <f t="shared" si="185"/>
        <v>0</v>
      </c>
      <c r="BB225">
        <f t="shared" si="186"/>
        <v>0</v>
      </c>
      <c r="BC225">
        <f t="shared" si="187"/>
        <v>0</v>
      </c>
      <c r="BD225">
        <f t="shared" si="188"/>
        <v>72</v>
      </c>
      <c r="BE225">
        <f t="shared" si="189"/>
        <v>5616</v>
      </c>
      <c r="BF225">
        <f t="shared" si="190"/>
        <v>0</v>
      </c>
      <c r="BG225">
        <f t="shared" si="191"/>
        <v>0</v>
      </c>
      <c r="BH225">
        <f t="shared" si="192"/>
        <v>0</v>
      </c>
      <c r="BI225">
        <f t="shared" si="193"/>
        <v>0</v>
      </c>
      <c r="BJ225">
        <f t="shared" si="194"/>
        <v>0</v>
      </c>
      <c r="BK225">
        <f t="shared" si="195"/>
        <v>0</v>
      </c>
      <c r="BL225">
        <v>0</v>
      </c>
      <c r="BM225" t="str">
        <f t="shared" si="200"/>
        <v>Huge Win</v>
      </c>
      <c r="BN225" s="32" t="str">
        <f t="shared" si="201"/>
        <v>Bonus Game A</v>
      </c>
      <c r="BO225">
        <f>(D225/Summary!$C$4-Summary!$C$8)^2*E225</f>
        <v>428775.04080000002</v>
      </c>
      <c r="BP225">
        <f t="shared" si="196"/>
        <v>0</v>
      </c>
      <c r="BQ225">
        <f t="shared" si="197"/>
        <v>0</v>
      </c>
      <c r="BR225">
        <f t="shared" si="198"/>
        <v>0</v>
      </c>
      <c r="BS225">
        <f t="shared" si="199"/>
        <v>0</v>
      </c>
    </row>
    <row r="226" spans="2:71">
      <c r="B226" s="16">
        <f>Tiers!B227</f>
        <v>224</v>
      </c>
      <c r="C226" s="17" t="str">
        <f>Tiers!Y227</f>
        <v>freeplayA-0||||||||| x 1</v>
      </c>
      <c r="D226" s="18">
        <f>Tiers!C227</f>
        <v>16.3</v>
      </c>
      <c r="E226" s="19">
        <f>Frequency!E228</f>
        <v>400</v>
      </c>
      <c r="F226" s="19">
        <f t="shared" si="153"/>
        <v>6520</v>
      </c>
      <c r="G226" s="19">
        <f>IF(Tiers!D227&gt;1,'Data Analysis'!E226,0)</f>
        <v>0</v>
      </c>
      <c r="H226" s="19">
        <f t="shared" si="154"/>
        <v>0</v>
      </c>
      <c r="I226" s="19">
        <f>IF(AND(D226/Summary!$C$4&gt;0, D226/Summary!$C$4&lt;5),E226,0) * D226</f>
        <v>0</v>
      </c>
      <c r="J226" s="19">
        <f>IF(AND(D226/Summary!$C$4&gt;= 5, D226/Summary!$C$4&lt;10),E226,0) * D226</f>
        <v>0</v>
      </c>
      <c r="K226" s="19">
        <f>IF(AND(D226/Summary!$C$4&gt;=10, D226/Summary!$C$4&lt;25),E226,0)*D226</f>
        <v>6520</v>
      </c>
      <c r="L226" s="19">
        <f>IF(D226/Summary!$C$4&gt;=25,E226,0)*D226</f>
        <v>0</v>
      </c>
      <c r="M226" s="27">
        <f>IF(AND(D226/Summary!$C$4&gt;0, D226/Summary!$C$4&lt;1),E226,0)</f>
        <v>0</v>
      </c>
      <c r="N226" s="27">
        <f t="shared" si="155"/>
        <v>0</v>
      </c>
      <c r="O226" s="27">
        <f>IF(D226/Summary!$C$4=1,1,0)*E226</f>
        <v>0</v>
      </c>
      <c r="P226" s="27">
        <f t="shared" si="156"/>
        <v>0</v>
      </c>
      <c r="Q226" s="27">
        <f>IF(AND(D226/Summary!$C$4&gt;1, D226/Summary!$C$4&lt;=2),1,0)*E226</f>
        <v>0</v>
      </c>
      <c r="R226" s="27">
        <f t="shared" si="157"/>
        <v>0</v>
      </c>
      <c r="S226" s="27">
        <f>IF(AND(D226/Summary!$C$4&gt;2,D226/Summary!$C$4&lt;=5),1,0)*E226</f>
        <v>0</v>
      </c>
      <c r="T226" s="27">
        <f t="shared" si="158"/>
        <v>0</v>
      </c>
      <c r="U226" s="27">
        <f>IF(AND(D226/Summary!$C$4&gt;5, D226/Summary!$C$4&lt;=10),1,0)*E226</f>
        <v>0</v>
      </c>
      <c r="V226" s="27">
        <f t="shared" si="159"/>
        <v>0</v>
      </c>
      <c r="W226" s="27">
        <f>IF(AND(D226/Summary!$C$4&gt;10, D226/Summary!$C$4&lt;=20),1,0)*E226</f>
        <v>400</v>
      </c>
      <c r="X226" s="27">
        <f t="shared" si="160"/>
        <v>6520</v>
      </c>
      <c r="Y226" s="27">
        <f>IF(AND(D226/Summary!$C$4&gt;20, D226/Summary!$C$4&lt;=30),1,0)*E226</f>
        <v>0</v>
      </c>
      <c r="Z226" s="27">
        <f t="shared" si="161"/>
        <v>0</v>
      </c>
      <c r="AA226" s="27">
        <f>IF(AND(D226/Summary!$C$4&gt;30, D226/Summary!$C$4&lt;=50),1,0)*E226</f>
        <v>0</v>
      </c>
      <c r="AB226" s="27">
        <f t="shared" si="162"/>
        <v>0</v>
      </c>
      <c r="AC226" s="27">
        <f>IF(AND(D226/Summary!$C$4&gt;50, D226/Summary!$C$4&lt;=100),1,0)*E226</f>
        <v>0</v>
      </c>
      <c r="AD226" s="27">
        <f t="shared" si="163"/>
        <v>0</v>
      </c>
      <c r="AE226" s="27">
        <f>IF(D226/Summary!$C$4&gt;100,1,0)*E226</f>
        <v>0</v>
      </c>
      <c r="AF226" s="27">
        <f t="shared" si="164"/>
        <v>0</v>
      </c>
      <c r="AG226" s="19">
        <f t="shared" si="165"/>
        <v>400</v>
      </c>
      <c r="AH226" s="19">
        <f t="shared" si="166"/>
        <v>0</v>
      </c>
      <c r="AI226" s="19">
        <f t="shared" si="167"/>
        <v>0</v>
      </c>
      <c r="AJ226" s="27">
        <f t="shared" si="168"/>
        <v>0</v>
      </c>
      <c r="AK226" s="27">
        <f t="shared" si="169"/>
        <v>0</v>
      </c>
      <c r="AL226" s="27">
        <f t="shared" si="170"/>
        <v>0</v>
      </c>
      <c r="AM226">
        <f t="shared" si="171"/>
        <v>0</v>
      </c>
      <c r="AN226">
        <f t="shared" si="172"/>
        <v>0</v>
      </c>
      <c r="AO226">
        <f t="shared" si="173"/>
        <v>0</v>
      </c>
      <c r="AP226">
        <f t="shared" si="174"/>
        <v>0</v>
      </c>
      <c r="AQ226">
        <f t="shared" si="175"/>
        <v>0</v>
      </c>
      <c r="AR226">
        <f t="shared" si="176"/>
        <v>0</v>
      </c>
      <c r="AS226">
        <f t="shared" si="177"/>
        <v>0</v>
      </c>
      <c r="AT226">
        <f t="shared" si="178"/>
        <v>0</v>
      </c>
      <c r="AU226">
        <f t="shared" si="179"/>
        <v>0</v>
      </c>
      <c r="AV226">
        <f t="shared" si="180"/>
        <v>400</v>
      </c>
      <c r="AW226">
        <f t="shared" si="181"/>
        <v>6520</v>
      </c>
      <c r="AX226">
        <f t="shared" si="182"/>
        <v>0</v>
      </c>
      <c r="AY226">
        <f t="shared" si="183"/>
        <v>0</v>
      </c>
      <c r="AZ226">
        <f t="shared" si="184"/>
        <v>0</v>
      </c>
      <c r="BA226">
        <f t="shared" si="185"/>
        <v>0</v>
      </c>
      <c r="BB226">
        <f t="shared" si="186"/>
        <v>0</v>
      </c>
      <c r="BC226">
        <f t="shared" si="187"/>
        <v>0</v>
      </c>
      <c r="BD226">
        <f t="shared" si="188"/>
        <v>0</v>
      </c>
      <c r="BE226">
        <f t="shared" si="189"/>
        <v>0</v>
      </c>
      <c r="BF226">
        <f t="shared" si="190"/>
        <v>0</v>
      </c>
      <c r="BG226">
        <f t="shared" si="191"/>
        <v>0</v>
      </c>
      <c r="BH226">
        <f t="shared" si="192"/>
        <v>0</v>
      </c>
      <c r="BI226">
        <f t="shared" si="193"/>
        <v>0</v>
      </c>
      <c r="BJ226">
        <f t="shared" si="194"/>
        <v>0</v>
      </c>
      <c r="BK226">
        <f t="shared" si="195"/>
        <v>0</v>
      </c>
      <c r="BL226">
        <v>0</v>
      </c>
      <c r="BM226" t="str">
        <f t="shared" si="200"/>
        <v>Big Win</v>
      </c>
      <c r="BN226" s="32" t="str">
        <f t="shared" si="201"/>
        <v>Free Plays A</v>
      </c>
      <c r="BO226">
        <f>(D226/Summary!$C$4-Summary!$C$8)^2*E226</f>
        <v>95728.360000000015</v>
      </c>
      <c r="BP226">
        <f t="shared" si="196"/>
        <v>0</v>
      </c>
      <c r="BQ226">
        <f t="shared" si="197"/>
        <v>0</v>
      </c>
      <c r="BR226">
        <f t="shared" si="198"/>
        <v>0</v>
      </c>
      <c r="BS226">
        <f t="shared" si="199"/>
        <v>0</v>
      </c>
    </row>
    <row r="227" spans="2:71">
      <c r="B227" s="16">
        <f>Tiers!B228</f>
        <v>225</v>
      </c>
      <c r="C227" s="17" t="str">
        <f>Tiers!Y228</f>
        <v>freeplayA-1||||||||| x 1</v>
      </c>
      <c r="D227" s="18">
        <f>Tiers!C228</f>
        <v>24.7</v>
      </c>
      <c r="E227" s="19">
        <f>Frequency!E229</f>
        <v>400</v>
      </c>
      <c r="F227" s="19">
        <f t="shared" si="153"/>
        <v>9880</v>
      </c>
      <c r="G227" s="19">
        <f>IF(Tiers!D228&gt;1,'Data Analysis'!E227,0)</f>
        <v>0</v>
      </c>
      <c r="H227" s="19">
        <f t="shared" si="154"/>
        <v>0</v>
      </c>
      <c r="I227" s="19">
        <f>IF(AND(D227/Summary!$C$4&gt;0, D227/Summary!$C$4&lt;5),E227,0) * D227</f>
        <v>0</v>
      </c>
      <c r="J227" s="19">
        <f>IF(AND(D227/Summary!$C$4&gt;= 5, D227/Summary!$C$4&lt;10),E227,0) * D227</f>
        <v>0</v>
      </c>
      <c r="K227" s="19">
        <f>IF(AND(D227/Summary!$C$4&gt;=10, D227/Summary!$C$4&lt;25),E227,0)*D227</f>
        <v>9880</v>
      </c>
      <c r="L227" s="19">
        <f>IF(D227/Summary!$C$4&gt;=25,E227,0)*D227</f>
        <v>0</v>
      </c>
      <c r="M227" s="27">
        <f>IF(AND(D227/Summary!$C$4&gt;0, D227/Summary!$C$4&lt;1),E227,0)</f>
        <v>0</v>
      </c>
      <c r="N227" s="27">
        <f t="shared" si="155"/>
        <v>0</v>
      </c>
      <c r="O227" s="27">
        <f>IF(D227/Summary!$C$4=1,1,0)*E227</f>
        <v>0</v>
      </c>
      <c r="P227" s="27">
        <f t="shared" si="156"/>
        <v>0</v>
      </c>
      <c r="Q227" s="27">
        <f>IF(AND(D227/Summary!$C$4&gt;1, D227/Summary!$C$4&lt;=2),1,0)*E227</f>
        <v>0</v>
      </c>
      <c r="R227" s="27">
        <f t="shared" si="157"/>
        <v>0</v>
      </c>
      <c r="S227" s="27">
        <f>IF(AND(D227/Summary!$C$4&gt;2,D227/Summary!$C$4&lt;=5),1,0)*E227</f>
        <v>0</v>
      </c>
      <c r="T227" s="27">
        <f t="shared" si="158"/>
        <v>0</v>
      </c>
      <c r="U227" s="27">
        <f>IF(AND(D227/Summary!$C$4&gt;5, D227/Summary!$C$4&lt;=10),1,0)*E227</f>
        <v>0</v>
      </c>
      <c r="V227" s="27">
        <f t="shared" si="159"/>
        <v>0</v>
      </c>
      <c r="W227" s="27">
        <f>IF(AND(D227/Summary!$C$4&gt;10, D227/Summary!$C$4&lt;=20),1,0)*E227</f>
        <v>0</v>
      </c>
      <c r="X227" s="27">
        <f t="shared" si="160"/>
        <v>0</v>
      </c>
      <c r="Y227" s="27">
        <f>IF(AND(D227/Summary!$C$4&gt;20, D227/Summary!$C$4&lt;=30),1,0)*E227</f>
        <v>400</v>
      </c>
      <c r="Z227" s="27">
        <f t="shared" si="161"/>
        <v>9880</v>
      </c>
      <c r="AA227" s="27">
        <f>IF(AND(D227/Summary!$C$4&gt;30, D227/Summary!$C$4&lt;=50),1,0)*E227</f>
        <v>0</v>
      </c>
      <c r="AB227" s="27">
        <f t="shared" si="162"/>
        <v>0</v>
      </c>
      <c r="AC227" s="27">
        <f>IF(AND(D227/Summary!$C$4&gt;50, D227/Summary!$C$4&lt;=100),1,0)*E227</f>
        <v>0</v>
      </c>
      <c r="AD227" s="27">
        <f t="shared" si="163"/>
        <v>0</v>
      </c>
      <c r="AE227" s="27">
        <f>IF(D227/Summary!$C$4&gt;100,1,0)*E227</f>
        <v>0</v>
      </c>
      <c r="AF227" s="27">
        <f t="shared" si="164"/>
        <v>0</v>
      </c>
      <c r="AG227" s="19">
        <f t="shared" si="165"/>
        <v>400</v>
      </c>
      <c r="AH227" s="19">
        <f t="shared" si="166"/>
        <v>0</v>
      </c>
      <c r="AI227" s="19">
        <f t="shared" si="167"/>
        <v>0</v>
      </c>
      <c r="AJ227" s="27">
        <f t="shared" si="168"/>
        <v>0</v>
      </c>
      <c r="AK227" s="27">
        <f t="shared" si="169"/>
        <v>0</v>
      </c>
      <c r="AL227" s="27">
        <f t="shared" si="170"/>
        <v>0</v>
      </c>
      <c r="AM227">
        <f t="shared" si="171"/>
        <v>0</v>
      </c>
      <c r="AN227">
        <f t="shared" si="172"/>
        <v>0</v>
      </c>
      <c r="AO227">
        <f t="shared" si="173"/>
        <v>0</v>
      </c>
      <c r="AP227">
        <f t="shared" si="174"/>
        <v>0</v>
      </c>
      <c r="AQ227">
        <f t="shared" si="175"/>
        <v>0</v>
      </c>
      <c r="AR227">
        <f t="shared" si="176"/>
        <v>0</v>
      </c>
      <c r="AS227">
        <f t="shared" si="177"/>
        <v>0</v>
      </c>
      <c r="AT227">
        <f t="shared" si="178"/>
        <v>0</v>
      </c>
      <c r="AU227">
        <f t="shared" si="179"/>
        <v>0</v>
      </c>
      <c r="AV227">
        <f t="shared" si="180"/>
        <v>400</v>
      </c>
      <c r="AW227">
        <f t="shared" si="181"/>
        <v>9880</v>
      </c>
      <c r="AX227">
        <f t="shared" si="182"/>
        <v>0</v>
      </c>
      <c r="AY227">
        <f t="shared" si="183"/>
        <v>0</v>
      </c>
      <c r="AZ227">
        <f t="shared" si="184"/>
        <v>0</v>
      </c>
      <c r="BA227">
        <f t="shared" si="185"/>
        <v>0</v>
      </c>
      <c r="BB227">
        <f t="shared" si="186"/>
        <v>0</v>
      </c>
      <c r="BC227">
        <f t="shared" si="187"/>
        <v>0</v>
      </c>
      <c r="BD227">
        <f t="shared" si="188"/>
        <v>0</v>
      </c>
      <c r="BE227">
        <f t="shared" si="189"/>
        <v>0</v>
      </c>
      <c r="BF227">
        <f t="shared" si="190"/>
        <v>0</v>
      </c>
      <c r="BG227">
        <f t="shared" si="191"/>
        <v>0</v>
      </c>
      <c r="BH227">
        <f t="shared" si="192"/>
        <v>0</v>
      </c>
      <c r="BI227">
        <f t="shared" si="193"/>
        <v>0</v>
      </c>
      <c r="BJ227">
        <f t="shared" si="194"/>
        <v>0</v>
      </c>
      <c r="BK227">
        <f t="shared" si="195"/>
        <v>0</v>
      </c>
      <c r="BL227">
        <v>0</v>
      </c>
      <c r="BM227" t="str">
        <f t="shared" ref="BM227:BM257" si="202">IF(D227 &lt; $D$367, $C$367,
IF(D227 = $D$368, $C$368,
IF(D227 &lt; $D$369, $C$369,
IF(D227 &lt; $D$370, $C$370,
IF(D227 &lt; $D$371, $C$371, $C$372)))))</f>
        <v>Big Win</v>
      </c>
      <c r="BN227" s="32" t="str">
        <f t="shared" ref="BN227:BN257" si="203">IF(AV227 &gt; 0,$C$376,
IF(AX227 &gt; 0,$C$377,
IF(AZ227 &gt; 0,$C$378,
IF(BB227 &gt; 0,$C$379,
IF(BD227 &gt; 0,$C$380,
IF(BF227 &gt; 0,$C$381,
IF(BH227 &gt; 0,$C$382,
IF(BJ227 &gt; 0,$C$383,
IF(ISNUMBER(SEARCH("|||||||||",C227)), $C$384,$C$385)))))))))</f>
        <v>Free Plays A</v>
      </c>
      <c r="BO227">
        <f>(D227/Summary!$C$4-Summary!$C$8)^2*E227</f>
        <v>227910.76000000004</v>
      </c>
      <c r="BP227">
        <f t="shared" si="196"/>
        <v>0</v>
      </c>
      <c r="BQ227">
        <f t="shared" si="197"/>
        <v>0</v>
      </c>
      <c r="BR227">
        <f t="shared" si="198"/>
        <v>0</v>
      </c>
      <c r="BS227">
        <f t="shared" si="199"/>
        <v>0</v>
      </c>
    </row>
    <row r="228" spans="2:71">
      <c r="B228" s="16">
        <f>Tiers!B229</f>
        <v>226</v>
      </c>
      <c r="C228" s="17" t="str">
        <f>Tiers!Y229</f>
        <v>freeplayA-2||||||||| x 1</v>
      </c>
      <c r="D228" s="18">
        <f>Tiers!C229</f>
        <v>11.399999999999999</v>
      </c>
      <c r="E228" s="19">
        <f>Frequency!E230</f>
        <v>400</v>
      </c>
      <c r="F228" s="19">
        <f t="shared" si="153"/>
        <v>4559.9999999999991</v>
      </c>
      <c r="G228" s="19">
        <f>IF(Tiers!D229&gt;1,'Data Analysis'!E228,0)</f>
        <v>0</v>
      </c>
      <c r="H228" s="19">
        <f t="shared" si="154"/>
        <v>0</v>
      </c>
      <c r="I228" s="19">
        <f>IF(AND(D228/Summary!$C$4&gt;0, D228/Summary!$C$4&lt;5),E228,0) * D228</f>
        <v>0</v>
      </c>
      <c r="J228" s="19">
        <f>IF(AND(D228/Summary!$C$4&gt;= 5, D228/Summary!$C$4&lt;10),E228,0) * D228</f>
        <v>0</v>
      </c>
      <c r="K228" s="19">
        <f>IF(AND(D228/Summary!$C$4&gt;=10, D228/Summary!$C$4&lt;25),E228,0)*D228</f>
        <v>4559.9999999999991</v>
      </c>
      <c r="L228" s="19">
        <f>IF(D228/Summary!$C$4&gt;=25,E228,0)*D228</f>
        <v>0</v>
      </c>
      <c r="M228" s="27">
        <f>IF(AND(D228/Summary!$C$4&gt;0, D228/Summary!$C$4&lt;1),E228,0)</f>
        <v>0</v>
      </c>
      <c r="N228" s="27">
        <f t="shared" si="155"/>
        <v>0</v>
      </c>
      <c r="O228" s="27">
        <f>IF(D228/Summary!$C$4=1,1,0)*E228</f>
        <v>0</v>
      </c>
      <c r="P228" s="27">
        <f t="shared" si="156"/>
        <v>0</v>
      </c>
      <c r="Q228" s="27">
        <f>IF(AND(D228/Summary!$C$4&gt;1, D228/Summary!$C$4&lt;=2),1,0)*E228</f>
        <v>0</v>
      </c>
      <c r="R228" s="27">
        <f t="shared" si="157"/>
        <v>0</v>
      </c>
      <c r="S228" s="27">
        <f>IF(AND(D228/Summary!$C$4&gt;2,D228/Summary!$C$4&lt;=5),1,0)*E228</f>
        <v>0</v>
      </c>
      <c r="T228" s="27">
        <f t="shared" si="158"/>
        <v>0</v>
      </c>
      <c r="U228" s="27">
        <f>IF(AND(D228/Summary!$C$4&gt;5, D228/Summary!$C$4&lt;=10),1,0)*E228</f>
        <v>0</v>
      </c>
      <c r="V228" s="27">
        <f t="shared" si="159"/>
        <v>0</v>
      </c>
      <c r="W228" s="27">
        <f>IF(AND(D228/Summary!$C$4&gt;10, D228/Summary!$C$4&lt;=20),1,0)*E228</f>
        <v>400</v>
      </c>
      <c r="X228" s="27">
        <f t="shared" si="160"/>
        <v>4559.9999999999991</v>
      </c>
      <c r="Y228" s="27">
        <f>IF(AND(D228/Summary!$C$4&gt;20, D228/Summary!$C$4&lt;=30),1,0)*E228</f>
        <v>0</v>
      </c>
      <c r="Z228" s="27">
        <f t="shared" si="161"/>
        <v>0</v>
      </c>
      <c r="AA228" s="27">
        <f>IF(AND(D228/Summary!$C$4&gt;30, D228/Summary!$C$4&lt;=50),1,0)*E228</f>
        <v>0</v>
      </c>
      <c r="AB228" s="27">
        <f t="shared" si="162"/>
        <v>0</v>
      </c>
      <c r="AC228" s="27">
        <f>IF(AND(D228/Summary!$C$4&gt;50, D228/Summary!$C$4&lt;=100),1,0)*E228</f>
        <v>0</v>
      </c>
      <c r="AD228" s="27">
        <f t="shared" si="163"/>
        <v>0</v>
      </c>
      <c r="AE228" s="27">
        <f>IF(D228/Summary!$C$4&gt;100,1,0)*E228</f>
        <v>0</v>
      </c>
      <c r="AF228" s="27">
        <f t="shared" si="164"/>
        <v>0</v>
      </c>
      <c r="AG228" s="19">
        <f t="shared" si="165"/>
        <v>400</v>
      </c>
      <c r="AH228" s="19">
        <f t="shared" si="166"/>
        <v>0</v>
      </c>
      <c r="AI228" s="19">
        <f t="shared" si="167"/>
        <v>0</v>
      </c>
      <c r="AJ228" s="27">
        <f t="shared" si="168"/>
        <v>0</v>
      </c>
      <c r="AK228" s="27">
        <f t="shared" si="169"/>
        <v>0</v>
      </c>
      <c r="AL228" s="27">
        <f t="shared" si="170"/>
        <v>0</v>
      </c>
      <c r="AM228">
        <f t="shared" si="171"/>
        <v>0</v>
      </c>
      <c r="AN228">
        <f t="shared" si="172"/>
        <v>0</v>
      </c>
      <c r="AO228">
        <f t="shared" si="173"/>
        <v>0</v>
      </c>
      <c r="AP228">
        <f t="shared" si="174"/>
        <v>0</v>
      </c>
      <c r="AQ228">
        <f t="shared" si="175"/>
        <v>0</v>
      </c>
      <c r="AR228">
        <f t="shared" si="176"/>
        <v>0</v>
      </c>
      <c r="AS228">
        <f t="shared" si="177"/>
        <v>0</v>
      </c>
      <c r="AT228">
        <f t="shared" si="178"/>
        <v>0</v>
      </c>
      <c r="AU228">
        <f t="shared" si="179"/>
        <v>0</v>
      </c>
      <c r="AV228">
        <f t="shared" si="180"/>
        <v>400</v>
      </c>
      <c r="AW228">
        <f t="shared" si="181"/>
        <v>4559.9999999999991</v>
      </c>
      <c r="AX228">
        <f t="shared" si="182"/>
        <v>0</v>
      </c>
      <c r="AY228">
        <f t="shared" si="183"/>
        <v>0</v>
      </c>
      <c r="AZ228">
        <f t="shared" si="184"/>
        <v>0</v>
      </c>
      <c r="BA228">
        <f t="shared" si="185"/>
        <v>0</v>
      </c>
      <c r="BB228">
        <f t="shared" si="186"/>
        <v>0</v>
      </c>
      <c r="BC228">
        <f t="shared" si="187"/>
        <v>0</v>
      </c>
      <c r="BD228">
        <f t="shared" si="188"/>
        <v>0</v>
      </c>
      <c r="BE228">
        <f t="shared" si="189"/>
        <v>0</v>
      </c>
      <c r="BF228">
        <f t="shared" si="190"/>
        <v>0</v>
      </c>
      <c r="BG228">
        <f t="shared" si="191"/>
        <v>0</v>
      </c>
      <c r="BH228">
        <f t="shared" si="192"/>
        <v>0</v>
      </c>
      <c r="BI228">
        <f t="shared" si="193"/>
        <v>0</v>
      </c>
      <c r="BJ228">
        <f t="shared" si="194"/>
        <v>0</v>
      </c>
      <c r="BK228">
        <f t="shared" si="195"/>
        <v>0</v>
      </c>
      <c r="BL228">
        <v>0</v>
      </c>
      <c r="BM228" t="str">
        <f t="shared" si="202"/>
        <v>Big Win</v>
      </c>
      <c r="BN228" s="32" t="str">
        <f t="shared" si="203"/>
        <v>Free Plays A</v>
      </c>
      <c r="BO228">
        <f>(D228/Summary!$C$4-Summary!$C$8)^2*E228</f>
        <v>44689.959999999985</v>
      </c>
      <c r="BP228">
        <f t="shared" si="196"/>
        <v>0</v>
      </c>
      <c r="BQ228">
        <f t="shared" si="197"/>
        <v>0</v>
      </c>
      <c r="BR228">
        <f t="shared" si="198"/>
        <v>0</v>
      </c>
      <c r="BS228">
        <f t="shared" si="199"/>
        <v>0</v>
      </c>
    </row>
    <row r="229" spans="2:71">
      <c r="B229" s="16">
        <f>Tiers!B230</f>
        <v>227</v>
      </c>
      <c r="C229" s="17" t="str">
        <f>Tiers!Y230</f>
        <v>freeplayA-3||||||||| x 1</v>
      </c>
      <c r="D229" s="18">
        <f>Tiers!C230</f>
        <v>35</v>
      </c>
      <c r="E229" s="19">
        <f>Frequency!E231</f>
        <v>100</v>
      </c>
      <c r="F229" s="19">
        <f t="shared" si="153"/>
        <v>3500</v>
      </c>
      <c r="G229" s="19">
        <f>IF(Tiers!D230&gt;1,'Data Analysis'!E229,0)</f>
        <v>0</v>
      </c>
      <c r="H229" s="19">
        <f t="shared" si="154"/>
        <v>0</v>
      </c>
      <c r="I229" s="19">
        <f>IF(AND(D229/Summary!$C$4&gt;0, D229/Summary!$C$4&lt;5),E229,0) * D229</f>
        <v>0</v>
      </c>
      <c r="J229" s="19">
        <f>IF(AND(D229/Summary!$C$4&gt;= 5, D229/Summary!$C$4&lt;10),E229,0) * D229</f>
        <v>0</v>
      </c>
      <c r="K229" s="19">
        <f>IF(AND(D229/Summary!$C$4&gt;=10, D229/Summary!$C$4&lt;25),E229,0)*D229</f>
        <v>0</v>
      </c>
      <c r="L229" s="19">
        <f>IF(D229/Summary!$C$4&gt;=25,E229,0)*D229</f>
        <v>3500</v>
      </c>
      <c r="M229" s="27">
        <f>IF(AND(D229/Summary!$C$4&gt;0, D229/Summary!$C$4&lt;1),E229,0)</f>
        <v>0</v>
      </c>
      <c r="N229" s="27">
        <f t="shared" si="155"/>
        <v>0</v>
      </c>
      <c r="O229" s="27">
        <f>IF(D229/Summary!$C$4=1,1,0)*E229</f>
        <v>0</v>
      </c>
      <c r="P229" s="27">
        <f t="shared" si="156"/>
        <v>0</v>
      </c>
      <c r="Q229" s="27">
        <f>IF(AND(D229/Summary!$C$4&gt;1, D229/Summary!$C$4&lt;=2),1,0)*E229</f>
        <v>0</v>
      </c>
      <c r="R229" s="27">
        <f t="shared" si="157"/>
        <v>0</v>
      </c>
      <c r="S229" s="27">
        <f>IF(AND(D229/Summary!$C$4&gt;2,D229/Summary!$C$4&lt;=5),1,0)*E229</f>
        <v>0</v>
      </c>
      <c r="T229" s="27">
        <f t="shared" si="158"/>
        <v>0</v>
      </c>
      <c r="U229" s="27">
        <f>IF(AND(D229/Summary!$C$4&gt;5, D229/Summary!$C$4&lt;=10),1,0)*E229</f>
        <v>0</v>
      </c>
      <c r="V229" s="27">
        <f t="shared" si="159"/>
        <v>0</v>
      </c>
      <c r="W229" s="27">
        <f>IF(AND(D229/Summary!$C$4&gt;10, D229/Summary!$C$4&lt;=20),1,0)*E229</f>
        <v>0</v>
      </c>
      <c r="X229" s="27">
        <f t="shared" si="160"/>
        <v>0</v>
      </c>
      <c r="Y229" s="27">
        <f>IF(AND(D229/Summary!$C$4&gt;20, D229/Summary!$C$4&lt;=30),1,0)*E229</f>
        <v>0</v>
      </c>
      <c r="Z229" s="27">
        <f t="shared" si="161"/>
        <v>0</v>
      </c>
      <c r="AA229" s="27">
        <f>IF(AND(D229/Summary!$C$4&gt;30, D229/Summary!$C$4&lt;=50),1,0)*E229</f>
        <v>100</v>
      </c>
      <c r="AB229" s="27">
        <f t="shared" si="162"/>
        <v>3500</v>
      </c>
      <c r="AC229" s="27">
        <f>IF(AND(D229/Summary!$C$4&gt;50, D229/Summary!$C$4&lt;=100),1,0)*E229</f>
        <v>0</v>
      </c>
      <c r="AD229" s="27">
        <f t="shared" si="163"/>
        <v>0</v>
      </c>
      <c r="AE229" s="27">
        <f>IF(D229/Summary!$C$4&gt;100,1,0)*E229</f>
        <v>0</v>
      </c>
      <c r="AF229" s="27">
        <f t="shared" si="164"/>
        <v>0</v>
      </c>
      <c r="AG229" s="19">
        <f t="shared" si="165"/>
        <v>100</v>
      </c>
      <c r="AH229" s="19">
        <f t="shared" si="166"/>
        <v>0</v>
      </c>
      <c r="AI229" s="19">
        <f t="shared" si="167"/>
        <v>0</v>
      </c>
      <c r="AJ229" s="27">
        <f t="shared" si="168"/>
        <v>0</v>
      </c>
      <c r="AK229" s="27">
        <f t="shared" si="169"/>
        <v>0</v>
      </c>
      <c r="AL229" s="27">
        <f t="shared" si="170"/>
        <v>0</v>
      </c>
      <c r="AM229">
        <f t="shared" si="171"/>
        <v>0</v>
      </c>
      <c r="AN229">
        <f t="shared" si="172"/>
        <v>0</v>
      </c>
      <c r="AO229">
        <f t="shared" si="173"/>
        <v>0</v>
      </c>
      <c r="AP229">
        <f t="shared" si="174"/>
        <v>0</v>
      </c>
      <c r="AQ229">
        <f t="shared" si="175"/>
        <v>0</v>
      </c>
      <c r="AR229">
        <f t="shared" si="176"/>
        <v>0</v>
      </c>
      <c r="AS229">
        <f t="shared" si="177"/>
        <v>0</v>
      </c>
      <c r="AT229">
        <f t="shared" si="178"/>
        <v>0</v>
      </c>
      <c r="AU229">
        <f t="shared" si="179"/>
        <v>0</v>
      </c>
      <c r="AV229">
        <f t="shared" si="180"/>
        <v>100</v>
      </c>
      <c r="AW229">
        <f t="shared" si="181"/>
        <v>3500</v>
      </c>
      <c r="AX229">
        <f t="shared" si="182"/>
        <v>0</v>
      </c>
      <c r="AY229">
        <f t="shared" si="183"/>
        <v>0</v>
      </c>
      <c r="AZ229">
        <f t="shared" si="184"/>
        <v>0</v>
      </c>
      <c r="BA229">
        <f t="shared" si="185"/>
        <v>0</v>
      </c>
      <c r="BB229">
        <f t="shared" si="186"/>
        <v>0</v>
      </c>
      <c r="BC229">
        <f t="shared" si="187"/>
        <v>0</v>
      </c>
      <c r="BD229">
        <f t="shared" si="188"/>
        <v>0</v>
      </c>
      <c r="BE229">
        <f t="shared" si="189"/>
        <v>0</v>
      </c>
      <c r="BF229">
        <f t="shared" si="190"/>
        <v>0</v>
      </c>
      <c r="BG229">
        <f t="shared" si="191"/>
        <v>0</v>
      </c>
      <c r="BH229">
        <f t="shared" si="192"/>
        <v>0</v>
      </c>
      <c r="BI229">
        <f t="shared" si="193"/>
        <v>0</v>
      </c>
      <c r="BJ229">
        <f t="shared" si="194"/>
        <v>0</v>
      </c>
      <c r="BK229">
        <f t="shared" si="195"/>
        <v>0</v>
      </c>
      <c r="BL229">
        <v>0</v>
      </c>
      <c r="BM229" t="str">
        <f t="shared" si="202"/>
        <v>Big Win</v>
      </c>
      <c r="BN229" s="32" t="str">
        <f t="shared" si="203"/>
        <v>Free Plays A</v>
      </c>
      <c r="BO229">
        <f>(D229/Summary!$C$4-Summary!$C$8)^2*E229</f>
        <v>116758.89000000001</v>
      </c>
      <c r="BP229">
        <f t="shared" si="196"/>
        <v>0</v>
      </c>
      <c r="BQ229">
        <f t="shared" si="197"/>
        <v>0</v>
      </c>
      <c r="BR229">
        <f t="shared" si="198"/>
        <v>0</v>
      </c>
      <c r="BS229">
        <f t="shared" si="199"/>
        <v>0</v>
      </c>
    </row>
    <row r="230" spans="2:71">
      <c r="B230" s="16">
        <f>Tiers!B231</f>
        <v>228</v>
      </c>
      <c r="C230" s="17" t="str">
        <f>Tiers!Y231</f>
        <v>freeplayA-4||||||||| x 1</v>
      </c>
      <c r="D230" s="18">
        <f>Tiers!C231</f>
        <v>18.600000000000001</v>
      </c>
      <c r="E230" s="19">
        <f>Frequency!E232</f>
        <v>400</v>
      </c>
      <c r="F230" s="19">
        <f t="shared" si="153"/>
        <v>7440.0000000000009</v>
      </c>
      <c r="G230" s="19">
        <f>IF(Tiers!D231&gt;1,'Data Analysis'!E230,0)</f>
        <v>0</v>
      </c>
      <c r="H230" s="19">
        <f t="shared" si="154"/>
        <v>0</v>
      </c>
      <c r="I230" s="19">
        <f>IF(AND(D230/Summary!$C$4&gt;0, D230/Summary!$C$4&lt;5),E230,0) * D230</f>
        <v>0</v>
      </c>
      <c r="J230" s="19">
        <f>IF(AND(D230/Summary!$C$4&gt;= 5, D230/Summary!$C$4&lt;10),E230,0) * D230</f>
        <v>0</v>
      </c>
      <c r="K230" s="19">
        <f>IF(AND(D230/Summary!$C$4&gt;=10, D230/Summary!$C$4&lt;25),E230,0)*D230</f>
        <v>7440.0000000000009</v>
      </c>
      <c r="L230" s="19">
        <f>IF(D230/Summary!$C$4&gt;=25,E230,0)*D230</f>
        <v>0</v>
      </c>
      <c r="M230" s="27">
        <f>IF(AND(D230/Summary!$C$4&gt;0, D230/Summary!$C$4&lt;1),E230,0)</f>
        <v>0</v>
      </c>
      <c r="N230" s="27">
        <f t="shared" si="155"/>
        <v>0</v>
      </c>
      <c r="O230" s="27">
        <f>IF(D230/Summary!$C$4=1,1,0)*E230</f>
        <v>0</v>
      </c>
      <c r="P230" s="27">
        <f t="shared" si="156"/>
        <v>0</v>
      </c>
      <c r="Q230" s="27">
        <f>IF(AND(D230/Summary!$C$4&gt;1, D230/Summary!$C$4&lt;=2),1,0)*E230</f>
        <v>0</v>
      </c>
      <c r="R230" s="27">
        <f t="shared" si="157"/>
        <v>0</v>
      </c>
      <c r="S230" s="27">
        <f>IF(AND(D230/Summary!$C$4&gt;2,D230/Summary!$C$4&lt;=5),1,0)*E230</f>
        <v>0</v>
      </c>
      <c r="T230" s="27">
        <f t="shared" si="158"/>
        <v>0</v>
      </c>
      <c r="U230" s="27">
        <f>IF(AND(D230/Summary!$C$4&gt;5, D230/Summary!$C$4&lt;=10),1,0)*E230</f>
        <v>0</v>
      </c>
      <c r="V230" s="27">
        <f t="shared" si="159"/>
        <v>0</v>
      </c>
      <c r="W230" s="27">
        <f>IF(AND(D230/Summary!$C$4&gt;10, D230/Summary!$C$4&lt;=20),1,0)*E230</f>
        <v>400</v>
      </c>
      <c r="X230" s="27">
        <f t="shared" si="160"/>
        <v>7440.0000000000009</v>
      </c>
      <c r="Y230" s="27">
        <f>IF(AND(D230/Summary!$C$4&gt;20, D230/Summary!$C$4&lt;=30),1,0)*E230</f>
        <v>0</v>
      </c>
      <c r="Z230" s="27">
        <f t="shared" si="161"/>
        <v>0</v>
      </c>
      <c r="AA230" s="27">
        <f>IF(AND(D230/Summary!$C$4&gt;30, D230/Summary!$C$4&lt;=50),1,0)*E230</f>
        <v>0</v>
      </c>
      <c r="AB230" s="27">
        <f t="shared" si="162"/>
        <v>0</v>
      </c>
      <c r="AC230" s="27">
        <f>IF(AND(D230/Summary!$C$4&gt;50, D230/Summary!$C$4&lt;=100),1,0)*E230</f>
        <v>0</v>
      </c>
      <c r="AD230" s="27">
        <f t="shared" si="163"/>
        <v>0</v>
      </c>
      <c r="AE230" s="27">
        <f>IF(D230/Summary!$C$4&gt;100,1,0)*E230</f>
        <v>0</v>
      </c>
      <c r="AF230" s="27">
        <f t="shared" si="164"/>
        <v>0</v>
      </c>
      <c r="AG230" s="19">
        <f t="shared" si="165"/>
        <v>400</v>
      </c>
      <c r="AH230" s="19">
        <f t="shared" si="166"/>
        <v>0</v>
      </c>
      <c r="AI230" s="19">
        <f t="shared" si="167"/>
        <v>0</v>
      </c>
      <c r="AJ230" s="27">
        <f t="shared" si="168"/>
        <v>0</v>
      </c>
      <c r="AK230" s="27">
        <f t="shared" si="169"/>
        <v>0</v>
      </c>
      <c r="AL230" s="27">
        <f t="shared" si="170"/>
        <v>0</v>
      </c>
      <c r="AM230">
        <f t="shared" si="171"/>
        <v>0</v>
      </c>
      <c r="AN230">
        <f t="shared" si="172"/>
        <v>0</v>
      </c>
      <c r="AO230">
        <f t="shared" si="173"/>
        <v>0</v>
      </c>
      <c r="AP230">
        <f t="shared" si="174"/>
        <v>0</v>
      </c>
      <c r="AQ230">
        <f t="shared" si="175"/>
        <v>0</v>
      </c>
      <c r="AR230">
        <f t="shared" si="176"/>
        <v>0</v>
      </c>
      <c r="AS230">
        <f t="shared" si="177"/>
        <v>0</v>
      </c>
      <c r="AT230">
        <f t="shared" si="178"/>
        <v>0</v>
      </c>
      <c r="AU230">
        <f t="shared" si="179"/>
        <v>0</v>
      </c>
      <c r="AV230">
        <f t="shared" si="180"/>
        <v>400</v>
      </c>
      <c r="AW230">
        <f t="shared" si="181"/>
        <v>7440.0000000000009</v>
      </c>
      <c r="AX230">
        <f t="shared" si="182"/>
        <v>0</v>
      </c>
      <c r="AY230">
        <f t="shared" si="183"/>
        <v>0</v>
      </c>
      <c r="AZ230">
        <f t="shared" si="184"/>
        <v>0</v>
      </c>
      <c r="BA230">
        <f t="shared" si="185"/>
        <v>0</v>
      </c>
      <c r="BB230">
        <f t="shared" si="186"/>
        <v>0</v>
      </c>
      <c r="BC230">
        <f t="shared" si="187"/>
        <v>0</v>
      </c>
      <c r="BD230">
        <f t="shared" si="188"/>
        <v>0</v>
      </c>
      <c r="BE230">
        <f t="shared" si="189"/>
        <v>0</v>
      </c>
      <c r="BF230">
        <f t="shared" si="190"/>
        <v>0</v>
      </c>
      <c r="BG230">
        <f t="shared" si="191"/>
        <v>0</v>
      </c>
      <c r="BH230">
        <f t="shared" si="192"/>
        <v>0</v>
      </c>
      <c r="BI230">
        <f t="shared" si="193"/>
        <v>0</v>
      </c>
      <c r="BJ230">
        <f t="shared" si="194"/>
        <v>0</v>
      </c>
      <c r="BK230">
        <f t="shared" si="195"/>
        <v>0</v>
      </c>
      <c r="BL230">
        <v>0</v>
      </c>
      <c r="BM230" t="str">
        <f t="shared" si="202"/>
        <v>Big Win</v>
      </c>
      <c r="BN230" s="32" t="str">
        <f t="shared" si="203"/>
        <v>Free Plays A</v>
      </c>
      <c r="BO230">
        <f>(D230/Summary!$C$4-Summary!$C$8)^2*E230</f>
        <v>126309.16000000005</v>
      </c>
      <c r="BP230">
        <f t="shared" si="196"/>
        <v>0</v>
      </c>
      <c r="BQ230">
        <f t="shared" si="197"/>
        <v>0</v>
      </c>
      <c r="BR230">
        <f t="shared" si="198"/>
        <v>0</v>
      </c>
      <c r="BS230">
        <f t="shared" si="199"/>
        <v>0</v>
      </c>
    </row>
    <row r="231" spans="2:71">
      <c r="B231" s="16">
        <f>Tiers!B232</f>
        <v>229</v>
      </c>
      <c r="C231" s="17" t="str">
        <f>Tiers!Y232</f>
        <v>freeplayA-5||||||||| x 1</v>
      </c>
      <c r="D231" s="18">
        <f>Tiers!C232</f>
        <v>25.299999999999997</v>
      </c>
      <c r="E231" s="19">
        <f>Frequency!E233</f>
        <v>400</v>
      </c>
      <c r="F231" s="19">
        <f t="shared" si="153"/>
        <v>10119.999999999998</v>
      </c>
      <c r="G231" s="19">
        <f>IF(Tiers!D232&gt;1,'Data Analysis'!E231,0)</f>
        <v>0</v>
      </c>
      <c r="H231" s="19">
        <f t="shared" si="154"/>
        <v>0</v>
      </c>
      <c r="I231" s="19">
        <f>IF(AND(D231/Summary!$C$4&gt;0, D231/Summary!$C$4&lt;5),E231,0) * D231</f>
        <v>0</v>
      </c>
      <c r="J231" s="19">
        <f>IF(AND(D231/Summary!$C$4&gt;= 5, D231/Summary!$C$4&lt;10),E231,0) * D231</f>
        <v>0</v>
      </c>
      <c r="K231" s="19">
        <f>IF(AND(D231/Summary!$C$4&gt;=10, D231/Summary!$C$4&lt;25),E231,0)*D231</f>
        <v>0</v>
      </c>
      <c r="L231" s="19">
        <f>IF(D231/Summary!$C$4&gt;=25,E231,0)*D231</f>
        <v>10119.999999999998</v>
      </c>
      <c r="M231" s="27">
        <f>IF(AND(D231/Summary!$C$4&gt;0, D231/Summary!$C$4&lt;1),E231,0)</f>
        <v>0</v>
      </c>
      <c r="N231" s="27">
        <f t="shared" si="155"/>
        <v>0</v>
      </c>
      <c r="O231" s="27">
        <f>IF(D231/Summary!$C$4=1,1,0)*E231</f>
        <v>0</v>
      </c>
      <c r="P231" s="27">
        <f t="shared" si="156"/>
        <v>0</v>
      </c>
      <c r="Q231" s="27">
        <f>IF(AND(D231/Summary!$C$4&gt;1, D231/Summary!$C$4&lt;=2),1,0)*E231</f>
        <v>0</v>
      </c>
      <c r="R231" s="27">
        <f t="shared" si="157"/>
        <v>0</v>
      </c>
      <c r="S231" s="27">
        <f>IF(AND(D231/Summary!$C$4&gt;2,D231/Summary!$C$4&lt;=5),1,0)*E231</f>
        <v>0</v>
      </c>
      <c r="T231" s="27">
        <f t="shared" si="158"/>
        <v>0</v>
      </c>
      <c r="U231" s="27">
        <f>IF(AND(D231/Summary!$C$4&gt;5, D231/Summary!$C$4&lt;=10),1,0)*E231</f>
        <v>0</v>
      </c>
      <c r="V231" s="27">
        <f t="shared" si="159"/>
        <v>0</v>
      </c>
      <c r="W231" s="27">
        <f>IF(AND(D231/Summary!$C$4&gt;10, D231/Summary!$C$4&lt;=20),1,0)*E231</f>
        <v>0</v>
      </c>
      <c r="X231" s="27">
        <f t="shared" si="160"/>
        <v>0</v>
      </c>
      <c r="Y231" s="27">
        <f>IF(AND(D231/Summary!$C$4&gt;20, D231/Summary!$C$4&lt;=30),1,0)*E231</f>
        <v>400</v>
      </c>
      <c r="Z231" s="27">
        <f t="shared" si="161"/>
        <v>10119.999999999998</v>
      </c>
      <c r="AA231" s="27">
        <f>IF(AND(D231/Summary!$C$4&gt;30, D231/Summary!$C$4&lt;=50),1,0)*E231</f>
        <v>0</v>
      </c>
      <c r="AB231" s="27">
        <f t="shared" si="162"/>
        <v>0</v>
      </c>
      <c r="AC231" s="27">
        <f>IF(AND(D231/Summary!$C$4&gt;50, D231/Summary!$C$4&lt;=100),1,0)*E231</f>
        <v>0</v>
      </c>
      <c r="AD231" s="27">
        <f t="shared" si="163"/>
        <v>0</v>
      </c>
      <c r="AE231" s="27">
        <f>IF(D231/Summary!$C$4&gt;100,1,0)*E231</f>
        <v>0</v>
      </c>
      <c r="AF231" s="27">
        <f t="shared" si="164"/>
        <v>0</v>
      </c>
      <c r="AG231" s="19">
        <f t="shared" si="165"/>
        <v>400</v>
      </c>
      <c r="AH231" s="19">
        <f t="shared" si="166"/>
        <v>0</v>
      </c>
      <c r="AI231" s="19">
        <f t="shared" si="167"/>
        <v>0</v>
      </c>
      <c r="AJ231" s="27">
        <f t="shared" si="168"/>
        <v>0</v>
      </c>
      <c r="AK231" s="27">
        <f t="shared" si="169"/>
        <v>0</v>
      </c>
      <c r="AL231" s="27">
        <f t="shared" si="170"/>
        <v>0</v>
      </c>
      <c r="AM231">
        <f t="shared" si="171"/>
        <v>0</v>
      </c>
      <c r="AN231">
        <f t="shared" si="172"/>
        <v>0</v>
      </c>
      <c r="AO231">
        <f t="shared" si="173"/>
        <v>0</v>
      </c>
      <c r="AP231">
        <f t="shared" si="174"/>
        <v>0</v>
      </c>
      <c r="AQ231">
        <f t="shared" si="175"/>
        <v>0</v>
      </c>
      <c r="AR231">
        <f t="shared" si="176"/>
        <v>0</v>
      </c>
      <c r="AS231">
        <f t="shared" si="177"/>
        <v>0</v>
      </c>
      <c r="AT231">
        <f t="shared" si="178"/>
        <v>0</v>
      </c>
      <c r="AU231">
        <f t="shared" si="179"/>
        <v>0</v>
      </c>
      <c r="AV231">
        <f t="shared" si="180"/>
        <v>400</v>
      </c>
      <c r="AW231">
        <f t="shared" si="181"/>
        <v>10119.999999999998</v>
      </c>
      <c r="AX231">
        <f t="shared" si="182"/>
        <v>0</v>
      </c>
      <c r="AY231">
        <f t="shared" si="183"/>
        <v>0</v>
      </c>
      <c r="AZ231">
        <f t="shared" si="184"/>
        <v>0</v>
      </c>
      <c r="BA231">
        <f t="shared" si="185"/>
        <v>0</v>
      </c>
      <c r="BB231">
        <f t="shared" si="186"/>
        <v>0</v>
      </c>
      <c r="BC231">
        <f t="shared" si="187"/>
        <v>0</v>
      </c>
      <c r="BD231">
        <f t="shared" si="188"/>
        <v>0</v>
      </c>
      <c r="BE231">
        <f t="shared" si="189"/>
        <v>0</v>
      </c>
      <c r="BF231">
        <f t="shared" si="190"/>
        <v>0</v>
      </c>
      <c r="BG231">
        <f t="shared" si="191"/>
        <v>0</v>
      </c>
      <c r="BH231">
        <f t="shared" si="192"/>
        <v>0</v>
      </c>
      <c r="BI231">
        <f t="shared" si="193"/>
        <v>0</v>
      </c>
      <c r="BJ231">
        <f t="shared" si="194"/>
        <v>0</v>
      </c>
      <c r="BK231">
        <f t="shared" si="195"/>
        <v>0</v>
      </c>
      <c r="BL231">
        <v>0</v>
      </c>
      <c r="BM231" t="str">
        <f t="shared" si="202"/>
        <v>Big Win</v>
      </c>
      <c r="BN231" s="32" t="str">
        <f t="shared" si="203"/>
        <v>Free Plays A</v>
      </c>
      <c r="BO231">
        <f>(D231/Summary!$C$4-Summary!$C$8)^2*E231</f>
        <v>239512.36</v>
      </c>
      <c r="BP231">
        <f t="shared" si="196"/>
        <v>0</v>
      </c>
      <c r="BQ231">
        <f t="shared" si="197"/>
        <v>0</v>
      </c>
      <c r="BR231">
        <f t="shared" si="198"/>
        <v>0</v>
      </c>
      <c r="BS231">
        <f t="shared" si="199"/>
        <v>0</v>
      </c>
    </row>
    <row r="232" spans="2:71">
      <c r="B232" s="16">
        <f>Tiers!B233</f>
        <v>230</v>
      </c>
      <c r="C232" s="17" t="str">
        <f>Tiers!Y233</f>
        <v>freeplayA-6||||||||| x 1</v>
      </c>
      <c r="D232" s="18">
        <f>Tiers!C233</f>
        <v>29</v>
      </c>
      <c r="E232" s="19">
        <f>Frequency!E234</f>
        <v>100</v>
      </c>
      <c r="F232" s="19">
        <f t="shared" si="153"/>
        <v>2900</v>
      </c>
      <c r="G232" s="19">
        <f>IF(Tiers!D233&gt;1,'Data Analysis'!E232,0)</f>
        <v>0</v>
      </c>
      <c r="H232" s="19">
        <f t="shared" si="154"/>
        <v>0</v>
      </c>
      <c r="I232" s="19">
        <f>IF(AND(D232/Summary!$C$4&gt;0, D232/Summary!$C$4&lt;5),E232,0) * D232</f>
        <v>0</v>
      </c>
      <c r="J232" s="19">
        <f>IF(AND(D232/Summary!$C$4&gt;= 5, D232/Summary!$C$4&lt;10),E232,0) * D232</f>
        <v>0</v>
      </c>
      <c r="K232" s="19">
        <f>IF(AND(D232/Summary!$C$4&gt;=10, D232/Summary!$C$4&lt;25),E232,0)*D232</f>
        <v>0</v>
      </c>
      <c r="L232" s="19">
        <f>IF(D232/Summary!$C$4&gt;=25,E232,0)*D232</f>
        <v>2900</v>
      </c>
      <c r="M232" s="27">
        <f>IF(AND(D232/Summary!$C$4&gt;0, D232/Summary!$C$4&lt;1),E232,0)</f>
        <v>0</v>
      </c>
      <c r="N232" s="27">
        <f t="shared" si="155"/>
        <v>0</v>
      </c>
      <c r="O232" s="27">
        <f>IF(D232/Summary!$C$4=1,1,0)*E232</f>
        <v>0</v>
      </c>
      <c r="P232" s="27">
        <f t="shared" si="156"/>
        <v>0</v>
      </c>
      <c r="Q232" s="27">
        <f>IF(AND(D232/Summary!$C$4&gt;1, D232/Summary!$C$4&lt;=2),1,0)*E232</f>
        <v>0</v>
      </c>
      <c r="R232" s="27">
        <f t="shared" si="157"/>
        <v>0</v>
      </c>
      <c r="S232" s="27">
        <f>IF(AND(D232/Summary!$C$4&gt;2,D232/Summary!$C$4&lt;=5),1,0)*E232</f>
        <v>0</v>
      </c>
      <c r="T232" s="27">
        <f t="shared" si="158"/>
        <v>0</v>
      </c>
      <c r="U232" s="27">
        <f>IF(AND(D232/Summary!$C$4&gt;5, D232/Summary!$C$4&lt;=10),1,0)*E232</f>
        <v>0</v>
      </c>
      <c r="V232" s="27">
        <f t="shared" si="159"/>
        <v>0</v>
      </c>
      <c r="W232" s="27">
        <f>IF(AND(D232/Summary!$C$4&gt;10, D232/Summary!$C$4&lt;=20),1,0)*E232</f>
        <v>0</v>
      </c>
      <c r="X232" s="27">
        <f t="shared" si="160"/>
        <v>0</v>
      </c>
      <c r="Y232" s="27">
        <f>IF(AND(D232/Summary!$C$4&gt;20, D232/Summary!$C$4&lt;=30),1,0)*E232</f>
        <v>100</v>
      </c>
      <c r="Z232" s="27">
        <f t="shared" si="161"/>
        <v>2900</v>
      </c>
      <c r="AA232" s="27">
        <f>IF(AND(D232/Summary!$C$4&gt;30, D232/Summary!$C$4&lt;=50),1,0)*E232</f>
        <v>0</v>
      </c>
      <c r="AB232" s="27">
        <f t="shared" si="162"/>
        <v>0</v>
      </c>
      <c r="AC232" s="27">
        <f>IF(AND(D232/Summary!$C$4&gt;50, D232/Summary!$C$4&lt;=100),1,0)*E232</f>
        <v>0</v>
      </c>
      <c r="AD232" s="27">
        <f t="shared" si="163"/>
        <v>0</v>
      </c>
      <c r="AE232" s="27">
        <f>IF(D232/Summary!$C$4&gt;100,1,0)*E232</f>
        <v>0</v>
      </c>
      <c r="AF232" s="27">
        <f t="shared" si="164"/>
        <v>0</v>
      </c>
      <c r="AG232" s="19">
        <f t="shared" si="165"/>
        <v>100</v>
      </c>
      <c r="AH232" s="19">
        <f t="shared" si="166"/>
        <v>0</v>
      </c>
      <c r="AI232" s="19">
        <f t="shared" si="167"/>
        <v>0</v>
      </c>
      <c r="AJ232" s="27">
        <f t="shared" si="168"/>
        <v>0</v>
      </c>
      <c r="AK232" s="27">
        <f t="shared" si="169"/>
        <v>0</v>
      </c>
      <c r="AL232" s="27">
        <f t="shared" si="170"/>
        <v>0</v>
      </c>
      <c r="AM232">
        <f t="shared" si="171"/>
        <v>0</v>
      </c>
      <c r="AN232">
        <f t="shared" si="172"/>
        <v>0</v>
      </c>
      <c r="AO232">
        <f t="shared" si="173"/>
        <v>0</v>
      </c>
      <c r="AP232">
        <f t="shared" si="174"/>
        <v>0</v>
      </c>
      <c r="AQ232">
        <f t="shared" si="175"/>
        <v>0</v>
      </c>
      <c r="AR232">
        <f t="shared" si="176"/>
        <v>0</v>
      </c>
      <c r="AS232">
        <f t="shared" si="177"/>
        <v>0</v>
      </c>
      <c r="AT232">
        <f t="shared" si="178"/>
        <v>0</v>
      </c>
      <c r="AU232">
        <f t="shared" si="179"/>
        <v>0</v>
      </c>
      <c r="AV232">
        <f t="shared" si="180"/>
        <v>100</v>
      </c>
      <c r="AW232">
        <f t="shared" si="181"/>
        <v>2900</v>
      </c>
      <c r="AX232">
        <f t="shared" si="182"/>
        <v>0</v>
      </c>
      <c r="AY232">
        <f t="shared" si="183"/>
        <v>0</v>
      </c>
      <c r="AZ232">
        <f t="shared" si="184"/>
        <v>0</v>
      </c>
      <c r="BA232">
        <f t="shared" si="185"/>
        <v>0</v>
      </c>
      <c r="BB232">
        <f t="shared" si="186"/>
        <v>0</v>
      </c>
      <c r="BC232">
        <f t="shared" si="187"/>
        <v>0</v>
      </c>
      <c r="BD232">
        <f t="shared" si="188"/>
        <v>0</v>
      </c>
      <c r="BE232">
        <f t="shared" si="189"/>
        <v>0</v>
      </c>
      <c r="BF232">
        <f t="shared" si="190"/>
        <v>0</v>
      </c>
      <c r="BG232">
        <f t="shared" si="191"/>
        <v>0</v>
      </c>
      <c r="BH232">
        <f t="shared" si="192"/>
        <v>0</v>
      </c>
      <c r="BI232">
        <f t="shared" si="193"/>
        <v>0</v>
      </c>
      <c r="BJ232">
        <f t="shared" si="194"/>
        <v>0</v>
      </c>
      <c r="BK232">
        <f t="shared" si="195"/>
        <v>0</v>
      </c>
      <c r="BL232">
        <v>0</v>
      </c>
      <c r="BM232" t="str">
        <f t="shared" si="202"/>
        <v>Big Win</v>
      </c>
      <c r="BN232" s="32" t="str">
        <f t="shared" si="203"/>
        <v>Free Plays A</v>
      </c>
      <c r="BO232">
        <f>(D232/Summary!$C$4-Summary!$C$8)^2*E232</f>
        <v>79354.890000000014</v>
      </c>
      <c r="BP232">
        <f t="shared" si="196"/>
        <v>0</v>
      </c>
      <c r="BQ232">
        <f t="shared" si="197"/>
        <v>0</v>
      </c>
      <c r="BR232">
        <f t="shared" si="198"/>
        <v>0</v>
      </c>
      <c r="BS232">
        <f t="shared" si="199"/>
        <v>0</v>
      </c>
    </row>
    <row r="233" spans="2:71">
      <c r="B233" s="16">
        <f>Tiers!B234</f>
        <v>231</v>
      </c>
      <c r="C233" s="17" t="str">
        <f>Tiers!Y234</f>
        <v>freeplayA-7||||||||| x 1</v>
      </c>
      <c r="D233" s="18">
        <f>Tiers!C234</f>
        <v>41.9</v>
      </c>
      <c r="E233" s="19">
        <f>Frequency!E235</f>
        <v>100</v>
      </c>
      <c r="F233" s="19">
        <f t="shared" si="153"/>
        <v>4190</v>
      </c>
      <c r="G233" s="19">
        <f>IF(Tiers!D234&gt;1,'Data Analysis'!E233,0)</f>
        <v>0</v>
      </c>
      <c r="H233" s="19">
        <f t="shared" si="154"/>
        <v>0</v>
      </c>
      <c r="I233" s="19">
        <f>IF(AND(D233/Summary!$C$4&gt;0, D233/Summary!$C$4&lt;5),E233,0) * D233</f>
        <v>0</v>
      </c>
      <c r="J233" s="19">
        <f>IF(AND(D233/Summary!$C$4&gt;= 5, D233/Summary!$C$4&lt;10),E233,0) * D233</f>
        <v>0</v>
      </c>
      <c r="K233" s="19">
        <f>IF(AND(D233/Summary!$C$4&gt;=10, D233/Summary!$C$4&lt;25),E233,0)*D233</f>
        <v>0</v>
      </c>
      <c r="L233" s="19">
        <f>IF(D233/Summary!$C$4&gt;=25,E233,0)*D233</f>
        <v>4190</v>
      </c>
      <c r="M233" s="27">
        <f>IF(AND(D233/Summary!$C$4&gt;0, D233/Summary!$C$4&lt;1),E233,0)</f>
        <v>0</v>
      </c>
      <c r="N233" s="27">
        <f t="shared" si="155"/>
        <v>0</v>
      </c>
      <c r="O233" s="27">
        <f>IF(D233/Summary!$C$4=1,1,0)*E233</f>
        <v>0</v>
      </c>
      <c r="P233" s="27">
        <f t="shared" si="156"/>
        <v>0</v>
      </c>
      <c r="Q233" s="27">
        <f>IF(AND(D233/Summary!$C$4&gt;1, D233/Summary!$C$4&lt;=2),1,0)*E233</f>
        <v>0</v>
      </c>
      <c r="R233" s="27">
        <f t="shared" si="157"/>
        <v>0</v>
      </c>
      <c r="S233" s="27">
        <f>IF(AND(D233/Summary!$C$4&gt;2,D233/Summary!$C$4&lt;=5),1,0)*E233</f>
        <v>0</v>
      </c>
      <c r="T233" s="27">
        <f t="shared" si="158"/>
        <v>0</v>
      </c>
      <c r="U233" s="27">
        <f>IF(AND(D233/Summary!$C$4&gt;5, D233/Summary!$C$4&lt;=10),1,0)*E233</f>
        <v>0</v>
      </c>
      <c r="V233" s="27">
        <f t="shared" si="159"/>
        <v>0</v>
      </c>
      <c r="W233" s="27">
        <f>IF(AND(D233/Summary!$C$4&gt;10, D233/Summary!$C$4&lt;=20),1,0)*E233</f>
        <v>0</v>
      </c>
      <c r="X233" s="27">
        <f t="shared" si="160"/>
        <v>0</v>
      </c>
      <c r="Y233" s="27">
        <f>IF(AND(D233/Summary!$C$4&gt;20, D233/Summary!$C$4&lt;=30),1,0)*E233</f>
        <v>0</v>
      </c>
      <c r="Z233" s="27">
        <f t="shared" si="161"/>
        <v>0</v>
      </c>
      <c r="AA233" s="27">
        <f>IF(AND(D233/Summary!$C$4&gt;30, D233/Summary!$C$4&lt;=50),1,0)*E233</f>
        <v>100</v>
      </c>
      <c r="AB233" s="27">
        <f t="shared" si="162"/>
        <v>4190</v>
      </c>
      <c r="AC233" s="27">
        <f>IF(AND(D233/Summary!$C$4&gt;50, D233/Summary!$C$4&lt;=100),1,0)*E233</f>
        <v>0</v>
      </c>
      <c r="AD233" s="27">
        <f t="shared" si="163"/>
        <v>0</v>
      </c>
      <c r="AE233" s="27">
        <f>IF(D233/Summary!$C$4&gt;100,1,0)*E233</f>
        <v>0</v>
      </c>
      <c r="AF233" s="27">
        <f t="shared" si="164"/>
        <v>0</v>
      </c>
      <c r="AG233" s="19">
        <f t="shared" si="165"/>
        <v>100</v>
      </c>
      <c r="AH233" s="19">
        <f t="shared" si="166"/>
        <v>0</v>
      </c>
      <c r="AI233" s="19">
        <f t="shared" si="167"/>
        <v>0</v>
      </c>
      <c r="AJ233" s="27">
        <f t="shared" si="168"/>
        <v>0</v>
      </c>
      <c r="AK233" s="27">
        <f t="shared" si="169"/>
        <v>0</v>
      </c>
      <c r="AL233" s="27">
        <f t="shared" si="170"/>
        <v>0</v>
      </c>
      <c r="AM233">
        <f t="shared" si="171"/>
        <v>0</v>
      </c>
      <c r="AN233">
        <f t="shared" si="172"/>
        <v>0</v>
      </c>
      <c r="AO233">
        <f t="shared" si="173"/>
        <v>0</v>
      </c>
      <c r="AP233">
        <f t="shared" si="174"/>
        <v>0</v>
      </c>
      <c r="AQ233">
        <f t="shared" si="175"/>
        <v>0</v>
      </c>
      <c r="AR233">
        <f t="shared" si="176"/>
        <v>0</v>
      </c>
      <c r="AS233">
        <f t="shared" si="177"/>
        <v>0</v>
      </c>
      <c r="AT233">
        <f t="shared" si="178"/>
        <v>0</v>
      </c>
      <c r="AU233">
        <f t="shared" si="179"/>
        <v>0</v>
      </c>
      <c r="AV233">
        <f t="shared" si="180"/>
        <v>100</v>
      </c>
      <c r="AW233">
        <f t="shared" si="181"/>
        <v>4190</v>
      </c>
      <c r="AX233">
        <f t="shared" si="182"/>
        <v>0</v>
      </c>
      <c r="AY233">
        <f t="shared" si="183"/>
        <v>0</v>
      </c>
      <c r="AZ233">
        <f t="shared" si="184"/>
        <v>0</v>
      </c>
      <c r="BA233">
        <f t="shared" si="185"/>
        <v>0</v>
      </c>
      <c r="BB233">
        <f t="shared" si="186"/>
        <v>0</v>
      </c>
      <c r="BC233">
        <f t="shared" si="187"/>
        <v>0</v>
      </c>
      <c r="BD233">
        <f t="shared" si="188"/>
        <v>0</v>
      </c>
      <c r="BE233">
        <f t="shared" si="189"/>
        <v>0</v>
      </c>
      <c r="BF233">
        <f t="shared" si="190"/>
        <v>0</v>
      </c>
      <c r="BG233">
        <f t="shared" si="191"/>
        <v>0</v>
      </c>
      <c r="BH233">
        <f t="shared" si="192"/>
        <v>0</v>
      </c>
      <c r="BI233">
        <f t="shared" si="193"/>
        <v>0</v>
      </c>
      <c r="BJ233">
        <f t="shared" si="194"/>
        <v>0</v>
      </c>
      <c r="BK233">
        <f t="shared" si="195"/>
        <v>0</v>
      </c>
      <c r="BL233">
        <v>0</v>
      </c>
      <c r="BM233" t="str">
        <f t="shared" si="202"/>
        <v>Big Win</v>
      </c>
      <c r="BN233" s="32" t="str">
        <f t="shared" si="203"/>
        <v>Free Plays A</v>
      </c>
      <c r="BO233">
        <f>(D233/Summary!$C$4-Summary!$C$8)^2*E233</f>
        <v>168674.49</v>
      </c>
      <c r="BP233">
        <f t="shared" si="196"/>
        <v>0</v>
      </c>
      <c r="BQ233">
        <f t="shared" si="197"/>
        <v>0</v>
      </c>
      <c r="BR233">
        <f t="shared" si="198"/>
        <v>0</v>
      </c>
      <c r="BS233">
        <f t="shared" si="199"/>
        <v>0</v>
      </c>
    </row>
    <row r="234" spans="2:71">
      <c r="B234" s="16">
        <f>Tiers!B235</f>
        <v>232</v>
      </c>
      <c r="C234" s="17" t="str">
        <f>Tiers!Y235</f>
        <v>freeplayA-8||||||||| x 1</v>
      </c>
      <c r="D234" s="18">
        <f>Tiers!C235</f>
        <v>27</v>
      </c>
      <c r="E234" s="19">
        <f>Frequency!E236</f>
        <v>400</v>
      </c>
      <c r="F234" s="19">
        <f t="shared" si="153"/>
        <v>10800</v>
      </c>
      <c r="G234" s="19">
        <f>IF(Tiers!D235&gt;1,'Data Analysis'!E234,0)</f>
        <v>0</v>
      </c>
      <c r="H234" s="19">
        <f t="shared" si="154"/>
        <v>0</v>
      </c>
      <c r="I234" s="19">
        <f>IF(AND(D234/Summary!$C$4&gt;0, D234/Summary!$C$4&lt;5),E234,0) * D234</f>
        <v>0</v>
      </c>
      <c r="J234" s="19">
        <f>IF(AND(D234/Summary!$C$4&gt;= 5, D234/Summary!$C$4&lt;10),E234,0) * D234</f>
        <v>0</v>
      </c>
      <c r="K234" s="19">
        <f>IF(AND(D234/Summary!$C$4&gt;=10, D234/Summary!$C$4&lt;25),E234,0)*D234</f>
        <v>0</v>
      </c>
      <c r="L234" s="19">
        <f>IF(D234/Summary!$C$4&gt;=25,E234,0)*D234</f>
        <v>10800</v>
      </c>
      <c r="M234" s="27">
        <f>IF(AND(D234/Summary!$C$4&gt;0, D234/Summary!$C$4&lt;1),E234,0)</f>
        <v>0</v>
      </c>
      <c r="N234" s="27">
        <f t="shared" si="155"/>
        <v>0</v>
      </c>
      <c r="O234" s="27">
        <f>IF(D234/Summary!$C$4=1,1,0)*E234</f>
        <v>0</v>
      </c>
      <c r="P234" s="27">
        <f t="shared" si="156"/>
        <v>0</v>
      </c>
      <c r="Q234" s="27">
        <f>IF(AND(D234/Summary!$C$4&gt;1, D234/Summary!$C$4&lt;=2),1,0)*E234</f>
        <v>0</v>
      </c>
      <c r="R234" s="27">
        <f t="shared" si="157"/>
        <v>0</v>
      </c>
      <c r="S234" s="27">
        <f>IF(AND(D234/Summary!$C$4&gt;2,D234/Summary!$C$4&lt;=5),1,0)*E234</f>
        <v>0</v>
      </c>
      <c r="T234" s="27">
        <f t="shared" si="158"/>
        <v>0</v>
      </c>
      <c r="U234" s="27">
        <f>IF(AND(D234/Summary!$C$4&gt;5, D234/Summary!$C$4&lt;=10),1,0)*E234</f>
        <v>0</v>
      </c>
      <c r="V234" s="27">
        <f t="shared" si="159"/>
        <v>0</v>
      </c>
      <c r="W234" s="27">
        <f>IF(AND(D234/Summary!$C$4&gt;10, D234/Summary!$C$4&lt;=20),1,0)*E234</f>
        <v>0</v>
      </c>
      <c r="X234" s="27">
        <f t="shared" si="160"/>
        <v>0</v>
      </c>
      <c r="Y234" s="27">
        <f>IF(AND(D234/Summary!$C$4&gt;20, D234/Summary!$C$4&lt;=30),1,0)*E234</f>
        <v>400</v>
      </c>
      <c r="Z234" s="27">
        <f t="shared" si="161"/>
        <v>10800</v>
      </c>
      <c r="AA234" s="27">
        <f>IF(AND(D234/Summary!$C$4&gt;30, D234/Summary!$C$4&lt;=50),1,0)*E234</f>
        <v>0</v>
      </c>
      <c r="AB234" s="27">
        <f t="shared" si="162"/>
        <v>0</v>
      </c>
      <c r="AC234" s="27">
        <f>IF(AND(D234/Summary!$C$4&gt;50, D234/Summary!$C$4&lt;=100),1,0)*E234</f>
        <v>0</v>
      </c>
      <c r="AD234" s="27">
        <f t="shared" si="163"/>
        <v>0</v>
      </c>
      <c r="AE234" s="27">
        <f>IF(D234/Summary!$C$4&gt;100,1,0)*E234</f>
        <v>0</v>
      </c>
      <c r="AF234" s="27">
        <f t="shared" si="164"/>
        <v>0</v>
      </c>
      <c r="AG234" s="19">
        <f t="shared" si="165"/>
        <v>400</v>
      </c>
      <c r="AH234" s="19">
        <f t="shared" si="166"/>
        <v>0</v>
      </c>
      <c r="AI234" s="19">
        <f t="shared" si="167"/>
        <v>0</v>
      </c>
      <c r="AJ234" s="27">
        <f t="shared" si="168"/>
        <v>0</v>
      </c>
      <c r="AK234" s="27">
        <f t="shared" si="169"/>
        <v>0</v>
      </c>
      <c r="AL234" s="27">
        <f t="shared" si="170"/>
        <v>0</v>
      </c>
      <c r="AM234">
        <f t="shared" si="171"/>
        <v>0</v>
      </c>
      <c r="AN234">
        <f t="shared" si="172"/>
        <v>0</v>
      </c>
      <c r="AO234">
        <f t="shared" si="173"/>
        <v>0</v>
      </c>
      <c r="AP234">
        <f t="shared" si="174"/>
        <v>0</v>
      </c>
      <c r="AQ234">
        <f t="shared" si="175"/>
        <v>0</v>
      </c>
      <c r="AR234">
        <f t="shared" si="176"/>
        <v>0</v>
      </c>
      <c r="AS234">
        <f t="shared" si="177"/>
        <v>0</v>
      </c>
      <c r="AT234">
        <f t="shared" si="178"/>
        <v>0</v>
      </c>
      <c r="AU234">
        <f t="shared" si="179"/>
        <v>0</v>
      </c>
      <c r="AV234">
        <f t="shared" si="180"/>
        <v>400</v>
      </c>
      <c r="AW234">
        <f t="shared" si="181"/>
        <v>10800</v>
      </c>
      <c r="AX234">
        <f t="shared" si="182"/>
        <v>0</v>
      </c>
      <c r="AY234">
        <f t="shared" si="183"/>
        <v>0</v>
      </c>
      <c r="AZ234">
        <f t="shared" si="184"/>
        <v>0</v>
      </c>
      <c r="BA234">
        <f t="shared" si="185"/>
        <v>0</v>
      </c>
      <c r="BB234">
        <f t="shared" si="186"/>
        <v>0</v>
      </c>
      <c r="BC234">
        <f t="shared" si="187"/>
        <v>0</v>
      </c>
      <c r="BD234">
        <f t="shared" si="188"/>
        <v>0</v>
      </c>
      <c r="BE234">
        <f t="shared" si="189"/>
        <v>0</v>
      </c>
      <c r="BF234">
        <f t="shared" si="190"/>
        <v>0</v>
      </c>
      <c r="BG234">
        <f t="shared" si="191"/>
        <v>0</v>
      </c>
      <c r="BH234">
        <f t="shared" si="192"/>
        <v>0</v>
      </c>
      <c r="BI234">
        <f t="shared" si="193"/>
        <v>0</v>
      </c>
      <c r="BJ234">
        <f t="shared" si="194"/>
        <v>0</v>
      </c>
      <c r="BK234">
        <f t="shared" si="195"/>
        <v>0</v>
      </c>
      <c r="BL234">
        <v>0</v>
      </c>
      <c r="BM234" t="str">
        <f t="shared" si="202"/>
        <v>Big Win</v>
      </c>
      <c r="BN234" s="32" t="str">
        <f t="shared" si="203"/>
        <v>Free Plays A</v>
      </c>
      <c r="BO234">
        <f>(D234/Summary!$C$4-Summary!$C$8)^2*E234</f>
        <v>273947.56</v>
      </c>
      <c r="BP234">
        <f t="shared" si="196"/>
        <v>0</v>
      </c>
      <c r="BQ234">
        <f t="shared" si="197"/>
        <v>0</v>
      </c>
      <c r="BR234">
        <f t="shared" si="198"/>
        <v>0</v>
      </c>
      <c r="BS234">
        <f t="shared" si="199"/>
        <v>0</v>
      </c>
    </row>
    <row r="235" spans="2:71">
      <c r="B235" s="16">
        <f>Tiers!B236</f>
        <v>233</v>
      </c>
      <c r="C235" s="17" t="str">
        <f>Tiers!Y236</f>
        <v>freeplayA-9||||||||| x 1</v>
      </c>
      <c r="D235" s="18">
        <f>Tiers!C236</f>
        <v>44.099999999999994</v>
      </c>
      <c r="E235" s="19">
        <f>Frequency!E237</f>
        <v>100</v>
      </c>
      <c r="F235" s="19">
        <f t="shared" si="153"/>
        <v>4409.9999999999991</v>
      </c>
      <c r="G235" s="19">
        <f>IF(Tiers!D236&gt;1,'Data Analysis'!E235,0)</f>
        <v>0</v>
      </c>
      <c r="H235" s="19">
        <f t="shared" si="154"/>
        <v>0</v>
      </c>
      <c r="I235" s="19">
        <f>IF(AND(D235/Summary!$C$4&gt;0, D235/Summary!$C$4&lt;5),E235,0) * D235</f>
        <v>0</v>
      </c>
      <c r="J235" s="19">
        <f>IF(AND(D235/Summary!$C$4&gt;= 5, D235/Summary!$C$4&lt;10),E235,0) * D235</f>
        <v>0</v>
      </c>
      <c r="K235" s="19">
        <f>IF(AND(D235/Summary!$C$4&gt;=10, D235/Summary!$C$4&lt;25),E235,0)*D235</f>
        <v>0</v>
      </c>
      <c r="L235" s="19">
        <f>IF(D235/Summary!$C$4&gt;=25,E235,0)*D235</f>
        <v>4409.9999999999991</v>
      </c>
      <c r="M235" s="27">
        <f>IF(AND(D235/Summary!$C$4&gt;0, D235/Summary!$C$4&lt;1),E235,0)</f>
        <v>0</v>
      </c>
      <c r="N235" s="27">
        <f t="shared" si="155"/>
        <v>0</v>
      </c>
      <c r="O235" s="27">
        <f>IF(D235/Summary!$C$4=1,1,0)*E235</f>
        <v>0</v>
      </c>
      <c r="P235" s="27">
        <f t="shared" si="156"/>
        <v>0</v>
      </c>
      <c r="Q235" s="27">
        <f>IF(AND(D235/Summary!$C$4&gt;1, D235/Summary!$C$4&lt;=2),1,0)*E235</f>
        <v>0</v>
      </c>
      <c r="R235" s="27">
        <f t="shared" si="157"/>
        <v>0</v>
      </c>
      <c r="S235" s="27">
        <f>IF(AND(D235/Summary!$C$4&gt;2,D235/Summary!$C$4&lt;=5),1,0)*E235</f>
        <v>0</v>
      </c>
      <c r="T235" s="27">
        <f t="shared" si="158"/>
        <v>0</v>
      </c>
      <c r="U235" s="27">
        <f>IF(AND(D235/Summary!$C$4&gt;5, D235/Summary!$C$4&lt;=10),1,0)*E235</f>
        <v>0</v>
      </c>
      <c r="V235" s="27">
        <f t="shared" si="159"/>
        <v>0</v>
      </c>
      <c r="W235" s="27">
        <f>IF(AND(D235/Summary!$C$4&gt;10, D235/Summary!$C$4&lt;=20),1,0)*E235</f>
        <v>0</v>
      </c>
      <c r="X235" s="27">
        <f t="shared" si="160"/>
        <v>0</v>
      </c>
      <c r="Y235" s="27">
        <f>IF(AND(D235/Summary!$C$4&gt;20, D235/Summary!$C$4&lt;=30),1,0)*E235</f>
        <v>0</v>
      </c>
      <c r="Z235" s="27">
        <f t="shared" si="161"/>
        <v>0</v>
      </c>
      <c r="AA235" s="27">
        <f>IF(AND(D235/Summary!$C$4&gt;30, D235/Summary!$C$4&lt;=50),1,0)*E235</f>
        <v>100</v>
      </c>
      <c r="AB235" s="27">
        <f t="shared" si="162"/>
        <v>4409.9999999999991</v>
      </c>
      <c r="AC235" s="27">
        <f>IF(AND(D235/Summary!$C$4&gt;50, D235/Summary!$C$4&lt;=100),1,0)*E235</f>
        <v>0</v>
      </c>
      <c r="AD235" s="27">
        <f t="shared" si="163"/>
        <v>0</v>
      </c>
      <c r="AE235" s="27">
        <f>IF(D235/Summary!$C$4&gt;100,1,0)*E235</f>
        <v>0</v>
      </c>
      <c r="AF235" s="27">
        <f t="shared" si="164"/>
        <v>0</v>
      </c>
      <c r="AG235" s="19">
        <f t="shared" si="165"/>
        <v>100</v>
      </c>
      <c r="AH235" s="19">
        <f t="shared" si="166"/>
        <v>0</v>
      </c>
      <c r="AI235" s="19">
        <f t="shared" si="167"/>
        <v>0</v>
      </c>
      <c r="AJ235" s="27">
        <f t="shared" si="168"/>
        <v>0</v>
      </c>
      <c r="AK235" s="27">
        <f t="shared" si="169"/>
        <v>0</v>
      </c>
      <c r="AL235" s="27">
        <f t="shared" si="170"/>
        <v>0</v>
      </c>
      <c r="AM235">
        <f t="shared" si="171"/>
        <v>0</v>
      </c>
      <c r="AN235">
        <f t="shared" si="172"/>
        <v>0</v>
      </c>
      <c r="AO235">
        <f t="shared" si="173"/>
        <v>0</v>
      </c>
      <c r="AP235">
        <f t="shared" si="174"/>
        <v>0</v>
      </c>
      <c r="AQ235">
        <f t="shared" si="175"/>
        <v>0</v>
      </c>
      <c r="AR235">
        <f t="shared" si="176"/>
        <v>0</v>
      </c>
      <c r="AS235">
        <f t="shared" si="177"/>
        <v>0</v>
      </c>
      <c r="AT235">
        <f t="shared" si="178"/>
        <v>0</v>
      </c>
      <c r="AU235">
        <f t="shared" si="179"/>
        <v>0</v>
      </c>
      <c r="AV235">
        <f t="shared" si="180"/>
        <v>100</v>
      </c>
      <c r="AW235">
        <f t="shared" si="181"/>
        <v>4409.9999999999991</v>
      </c>
      <c r="AX235">
        <f t="shared" si="182"/>
        <v>0</v>
      </c>
      <c r="AY235">
        <f t="shared" si="183"/>
        <v>0</v>
      </c>
      <c r="AZ235">
        <f t="shared" si="184"/>
        <v>0</v>
      </c>
      <c r="BA235">
        <f t="shared" si="185"/>
        <v>0</v>
      </c>
      <c r="BB235">
        <f t="shared" si="186"/>
        <v>0</v>
      </c>
      <c r="BC235">
        <f t="shared" si="187"/>
        <v>0</v>
      </c>
      <c r="BD235">
        <f t="shared" si="188"/>
        <v>0</v>
      </c>
      <c r="BE235">
        <f t="shared" si="189"/>
        <v>0</v>
      </c>
      <c r="BF235">
        <f t="shared" si="190"/>
        <v>0</v>
      </c>
      <c r="BG235">
        <f t="shared" si="191"/>
        <v>0</v>
      </c>
      <c r="BH235">
        <f t="shared" si="192"/>
        <v>0</v>
      </c>
      <c r="BI235">
        <f t="shared" si="193"/>
        <v>0</v>
      </c>
      <c r="BJ235">
        <f t="shared" si="194"/>
        <v>0</v>
      </c>
      <c r="BK235">
        <f t="shared" si="195"/>
        <v>0</v>
      </c>
      <c r="BL235">
        <v>0</v>
      </c>
      <c r="BM235" t="str">
        <f t="shared" si="202"/>
        <v>Big Win</v>
      </c>
      <c r="BN235" s="32" t="str">
        <f t="shared" si="203"/>
        <v>Free Plays A</v>
      </c>
      <c r="BO235">
        <f>(D235/Summary!$C$4-Summary!$C$8)^2*E235</f>
        <v>187229.28999999998</v>
      </c>
      <c r="BP235">
        <f t="shared" si="196"/>
        <v>0</v>
      </c>
      <c r="BQ235">
        <f t="shared" si="197"/>
        <v>0</v>
      </c>
      <c r="BR235">
        <f t="shared" si="198"/>
        <v>0</v>
      </c>
      <c r="BS235">
        <f t="shared" si="199"/>
        <v>0</v>
      </c>
    </row>
    <row r="236" spans="2:71">
      <c r="B236" s="16">
        <f>Tiers!B237</f>
        <v>234</v>
      </c>
      <c r="C236" s="17" t="str">
        <f>Tiers!Y237</f>
        <v>freeplayA-10||||||||| x 1</v>
      </c>
      <c r="D236" s="18">
        <f>Tiers!C237</f>
        <v>16</v>
      </c>
      <c r="E236" s="19">
        <f>Frequency!E238</f>
        <v>400</v>
      </c>
      <c r="F236" s="19">
        <f t="shared" si="153"/>
        <v>6400</v>
      </c>
      <c r="G236" s="19">
        <f>IF(Tiers!D237&gt;1,'Data Analysis'!E236,0)</f>
        <v>0</v>
      </c>
      <c r="H236" s="19">
        <f t="shared" si="154"/>
        <v>0</v>
      </c>
      <c r="I236" s="19">
        <f>IF(AND(D236/Summary!$C$4&gt;0, D236/Summary!$C$4&lt;5),E236,0) * D236</f>
        <v>0</v>
      </c>
      <c r="J236" s="19">
        <f>IF(AND(D236/Summary!$C$4&gt;= 5, D236/Summary!$C$4&lt;10),E236,0) * D236</f>
        <v>0</v>
      </c>
      <c r="K236" s="19">
        <f>IF(AND(D236/Summary!$C$4&gt;=10, D236/Summary!$C$4&lt;25),E236,0)*D236</f>
        <v>6400</v>
      </c>
      <c r="L236" s="19">
        <f>IF(D236/Summary!$C$4&gt;=25,E236,0)*D236</f>
        <v>0</v>
      </c>
      <c r="M236" s="27">
        <f>IF(AND(D236/Summary!$C$4&gt;0, D236/Summary!$C$4&lt;1),E236,0)</f>
        <v>0</v>
      </c>
      <c r="N236" s="27">
        <f t="shared" si="155"/>
        <v>0</v>
      </c>
      <c r="O236" s="27">
        <f>IF(D236/Summary!$C$4=1,1,0)*E236</f>
        <v>0</v>
      </c>
      <c r="P236" s="27">
        <f t="shared" si="156"/>
        <v>0</v>
      </c>
      <c r="Q236" s="27">
        <f>IF(AND(D236/Summary!$C$4&gt;1, D236/Summary!$C$4&lt;=2),1,0)*E236</f>
        <v>0</v>
      </c>
      <c r="R236" s="27">
        <f t="shared" si="157"/>
        <v>0</v>
      </c>
      <c r="S236" s="27">
        <f>IF(AND(D236/Summary!$C$4&gt;2,D236/Summary!$C$4&lt;=5),1,0)*E236</f>
        <v>0</v>
      </c>
      <c r="T236" s="27">
        <f t="shared" si="158"/>
        <v>0</v>
      </c>
      <c r="U236" s="27">
        <f>IF(AND(D236/Summary!$C$4&gt;5, D236/Summary!$C$4&lt;=10),1,0)*E236</f>
        <v>0</v>
      </c>
      <c r="V236" s="27">
        <f t="shared" si="159"/>
        <v>0</v>
      </c>
      <c r="W236" s="27">
        <f>IF(AND(D236/Summary!$C$4&gt;10, D236/Summary!$C$4&lt;=20),1,0)*E236</f>
        <v>400</v>
      </c>
      <c r="X236" s="27">
        <f t="shared" si="160"/>
        <v>6400</v>
      </c>
      <c r="Y236" s="27">
        <f>IF(AND(D236/Summary!$C$4&gt;20, D236/Summary!$C$4&lt;=30),1,0)*E236</f>
        <v>0</v>
      </c>
      <c r="Z236" s="27">
        <f t="shared" si="161"/>
        <v>0</v>
      </c>
      <c r="AA236" s="27">
        <f>IF(AND(D236/Summary!$C$4&gt;30, D236/Summary!$C$4&lt;=50),1,0)*E236</f>
        <v>0</v>
      </c>
      <c r="AB236" s="27">
        <f t="shared" si="162"/>
        <v>0</v>
      </c>
      <c r="AC236" s="27">
        <f>IF(AND(D236/Summary!$C$4&gt;50, D236/Summary!$C$4&lt;=100),1,0)*E236</f>
        <v>0</v>
      </c>
      <c r="AD236" s="27">
        <f t="shared" si="163"/>
        <v>0</v>
      </c>
      <c r="AE236" s="27">
        <f>IF(D236/Summary!$C$4&gt;100,1,0)*E236</f>
        <v>0</v>
      </c>
      <c r="AF236" s="27">
        <f t="shared" si="164"/>
        <v>0</v>
      </c>
      <c r="AG236" s="19">
        <f t="shared" si="165"/>
        <v>400</v>
      </c>
      <c r="AH236" s="19">
        <f t="shared" si="166"/>
        <v>0</v>
      </c>
      <c r="AI236" s="19">
        <f t="shared" si="167"/>
        <v>0</v>
      </c>
      <c r="AJ236" s="27">
        <f t="shared" si="168"/>
        <v>0</v>
      </c>
      <c r="AK236" s="27">
        <f t="shared" si="169"/>
        <v>0</v>
      </c>
      <c r="AL236" s="27">
        <f t="shared" si="170"/>
        <v>0</v>
      </c>
      <c r="AM236">
        <f t="shared" si="171"/>
        <v>0</v>
      </c>
      <c r="AN236">
        <f t="shared" si="172"/>
        <v>0</v>
      </c>
      <c r="AO236">
        <f t="shared" si="173"/>
        <v>0</v>
      </c>
      <c r="AP236">
        <f t="shared" si="174"/>
        <v>0</v>
      </c>
      <c r="AQ236">
        <f t="shared" si="175"/>
        <v>0</v>
      </c>
      <c r="AR236">
        <f t="shared" si="176"/>
        <v>0</v>
      </c>
      <c r="AS236">
        <f t="shared" si="177"/>
        <v>0</v>
      </c>
      <c r="AT236">
        <f t="shared" si="178"/>
        <v>0</v>
      </c>
      <c r="AU236">
        <f t="shared" si="179"/>
        <v>0</v>
      </c>
      <c r="AV236">
        <f t="shared" si="180"/>
        <v>400</v>
      </c>
      <c r="AW236">
        <f t="shared" si="181"/>
        <v>6400</v>
      </c>
      <c r="AX236">
        <f t="shared" si="182"/>
        <v>0</v>
      </c>
      <c r="AY236">
        <f t="shared" si="183"/>
        <v>0</v>
      </c>
      <c r="AZ236">
        <f t="shared" si="184"/>
        <v>0</v>
      </c>
      <c r="BA236">
        <f t="shared" si="185"/>
        <v>0</v>
      </c>
      <c r="BB236">
        <f t="shared" si="186"/>
        <v>0</v>
      </c>
      <c r="BC236">
        <f t="shared" si="187"/>
        <v>0</v>
      </c>
      <c r="BD236">
        <f t="shared" si="188"/>
        <v>0</v>
      </c>
      <c r="BE236">
        <f t="shared" si="189"/>
        <v>0</v>
      </c>
      <c r="BF236">
        <f t="shared" si="190"/>
        <v>0</v>
      </c>
      <c r="BG236">
        <f t="shared" si="191"/>
        <v>0</v>
      </c>
      <c r="BH236">
        <f t="shared" si="192"/>
        <v>0</v>
      </c>
      <c r="BI236">
        <f t="shared" si="193"/>
        <v>0</v>
      </c>
      <c r="BJ236">
        <f t="shared" si="194"/>
        <v>0</v>
      </c>
      <c r="BK236">
        <f t="shared" si="195"/>
        <v>0</v>
      </c>
      <c r="BL236">
        <v>0</v>
      </c>
      <c r="BM236" t="str">
        <f t="shared" si="202"/>
        <v>Big Win</v>
      </c>
      <c r="BN236" s="32" t="str">
        <f t="shared" si="203"/>
        <v>Free Plays A</v>
      </c>
      <c r="BO236">
        <f>(D236/Summary!$C$4-Summary!$C$8)^2*E236</f>
        <v>92051.56</v>
      </c>
      <c r="BP236">
        <f t="shared" si="196"/>
        <v>0</v>
      </c>
      <c r="BQ236">
        <f t="shared" si="197"/>
        <v>0</v>
      </c>
      <c r="BR236">
        <f t="shared" si="198"/>
        <v>0</v>
      </c>
      <c r="BS236">
        <f t="shared" si="199"/>
        <v>0</v>
      </c>
    </row>
    <row r="237" spans="2:71">
      <c r="B237" s="16">
        <f>Tiers!B238</f>
        <v>235</v>
      </c>
      <c r="C237" s="17" t="str">
        <f>Tiers!Y238</f>
        <v>freeplayA-11||||||||| x 1</v>
      </c>
      <c r="D237" s="18">
        <f>Tiers!C238</f>
        <v>25.400000000000002</v>
      </c>
      <c r="E237" s="19">
        <f>Frequency!E239</f>
        <v>400</v>
      </c>
      <c r="F237" s="19">
        <f t="shared" si="153"/>
        <v>10160</v>
      </c>
      <c r="G237" s="19">
        <f>IF(Tiers!D238&gt;1,'Data Analysis'!E237,0)</f>
        <v>0</v>
      </c>
      <c r="H237" s="19">
        <f t="shared" si="154"/>
        <v>0</v>
      </c>
      <c r="I237" s="19">
        <f>IF(AND(D237/Summary!$C$4&gt;0, D237/Summary!$C$4&lt;5),E237,0) * D237</f>
        <v>0</v>
      </c>
      <c r="J237" s="19">
        <f>IF(AND(D237/Summary!$C$4&gt;= 5, D237/Summary!$C$4&lt;10),E237,0) * D237</f>
        <v>0</v>
      </c>
      <c r="K237" s="19">
        <f>IF(AND(D237/Summary!$C$4&gt;=10, D237/Summary!$C$4&lt;25),E237,0)*D237</f>
        <v>0</v>
      </c>
      <c r="L237" s="19">
        <f>IF(D237/Summary!$C$4&gt;=25,E237,0)*D237</f>
        <v>10160</v>
      </c>
      <c r="M237" s="27">
        <f>IF(AND(D237/Summary!$C$4&gt;0, D237/Summary!$C$4&lt;1),E237,0)</f>
        <v>0</v>
      </c>
      <c r="N237" s="27">
        <f t="shared" si="155"/>
        <v>0</v>
      </c>
      <c r="O237" s="27">
        <f>IF(D237/Summary!$C$4=1,1,0)*E237</f>
        <v>0</v>
      </c>
      <c r="P237" s="27">
        <f t="shared" si="156"/>
        <v>0</v>
      </c>
      <c r="Q237" s="27">
        <f>IF(AND(D237/Summary!$C$4&gt;1, D237/Summary!$C$4&lt;=2),1,0)*E237</f>
        <v>0</v>
      </c>
      <c r="R237" s="27">
        <f t="shared" si="157"/>
        <v>0</v>
      </c>
      <c r="S237" s="27">
        <f>IF(AND(D237/Summary!$C$4&gt;2,D237/Summary!$C$4&lt;=5),1,0)*E237</f>
        <v>0</v>
      </c>
      <c r="T237" s="27">
        <f t="shared" si="158"/>
        <v>0</v>
      </c>
      <c r="U237" s="27">
        <f>IF(AND(D237/Summary!$C$4&gt;5, D237/Summary!$C$4&lt;=10),1,0)*E237</f>
        <v>0</v>
      </c>
      <c r="V237" s="27">
        <f t="shared" si="159"/>
        <v>0</v>
      </c>
      <c r="W237" s="27">
        <f>IF(AND(D237/Summary!$C$4&gt;10, D237/Summary!$C$4&lt;=20),1,0)*E237</f>
        <v>0</v>
      </c>
      <c r="X237" s="27">
        <f t="shared" si="160"/>
        <v>0</v>
      </c>
      <c r="Y237" s="27">
        <f>IF(AND(D237/Summary!$C$4&gt;20, D237/Summary!$C$4&lt;=30),1,0)*E237</f>
        <v>400</v>
      </c>
      <c r="Z237" s="27">
        <f t="shared" si="161"/>
        <v>10160</v>
      </c>
      <c r="AA237" s="27">
        <f>IF(AND(D237/Summary!$C$4&gt;30, D237/Summary!$C$4&lt;=50),1,0)*E237</f>
        <v>0</v>
      </c>
      <c r="AB237" s="27">
        <f t="shared" si="162"/>
        <v>0</v>
      </c>
      <c r="AC237" s="27">
        <f>IF(AND(D237/Summary!$C$4&gt;50, D237/Summary!$C$4&lt;=100),1,0)*E237</f>
        <v>0</v>
      </c>
      <c r="AD237" s="27">
        <f t="shared" si="163"/>
        <v>0</v>
      </c>
      <c r="AE237" s="27">
        <f>IF(D237/Summary!$C$4&gt;100,1,0)*E237</f>
        <v>0</v>
      </c>
      <c r="AF237" s="27">
        <f t="shared" si="164"/>
        <v>0</v>
      </c>
      <c r="AG237" s="19">
        <f t="shared" si="165"/>
        <v>400</v>
      </c>
      <c r="AH237" s="19">
        <f t="shared" si="166"/>
        <v>0</v>
      </c>
      <c r="AI237" s="19">
        <f t="shared" si="167"/>
        <v>0</v>
      </c>
      <c r="AJ237" s="27">
        <f t="shared" si="168"/>
        <v>0</v>
      </c>
      <c r="AK237" s="27">
        <f t="shared" si="169"/>
        <v>0</v>
      </c>
      <c r="AL237" s="27">
        <f t="shared" si="170"/>
        <v>0</v>
      </c>
      <c r="AM237">
        <f t="shared" si="171"/>
        <v>0</v>
      </c>
      <c r="AN237">
        <f t="shared" si="172"/>
        <v>0</v>
      </c>
      <c r="AO237">
        <f t="shared" si="173"/>
        <v>0</v>
      </c>
      <c r="AP237">
        <f t="shared" si="174"/>
        <v>0</v>
      </c>
      <c r="AQ237">
        <f t="shared" si="175"/>
        <v>0</v>
      </c>
      <c r="AR237">
        <f t="shared" si="176"/>
        <v>0</v>
      </c>
      <c r="AS237">
        <f t="shared" si="177"/>
        <v>0</v>
      </c>
      <c r="AT237">
        <f t="shared" si="178"/>
        <v>0</v>
      </c>
      <c r="AU237">
        <f t="shared" si="179"/>
        <v>0</v>
      </c>
      <c r="AV237">
        <f t="shared" si="180"/>
        <v>400</v>
      </c>
      <c r="AW237">
        <f t="shared" si="181"/>
        <v>10160</v>
      </c>
      <c r="AX237">
        <f t="shared" si="182"/>
        <v>0</v>
      </c>
      <c r="AY237">
        <f t="shared" si="183"/>
        <v>0</v>
      </c>
      <c r="AZ237">
        <f t="shared" si="184"/>
        <v>0</v>
      </c>
      <c r="BA237">
        <f t="shared" si="185"/>
        <v>0</v>
      </c>
      <c r="BB237">
        <f t="shared" si="186"/>
        <v>0</v>
      </c>
      <c r="BC237">
        <f t="shared" si="187"/>
        <v>0</v>
      </c>
      <c r="BD237">
        <f t="shared" si="188"/>
        <v>0</v>
      </c>
      <c r="BE237">
        <f t="shared" si="189"/>
        <v>0</v>
      </c>
      <c r="BF237">
        <f t="shared" si="190"/>
        <v>0</v>
      </c>
      <c r="BG237">
        <f t="shared" si="191"/>
        <v>0</v>
      </c>
      <c r="BH237">
        <f t="shared" si="192"/>
        <v>0</v>
      </c>
      <c r="BI237">
        <f t="shared" si="193"/>
        <v>0</v>
      </c>
      <c r="BJ237">
        <f t="shared" si="194"/>
        <v>0</v>
      </c>
      <c r="BK237">
        <f t="shared" si="195"/>
        <v>0</v>
      </c>
      <c r="BL237">
        <v>0</v>
      </c>
      <c r="BM237" t="str">
        <f t="shared" si="202"/>
        <v>Big Win</v>
      </c>
      <c r="BN237" s="32" t="str">
        <f t="shared" si="203"/>
        <v>Free Plays A</v>
      </c>
      <c r="BO237">
        <f>(D237/Summary!$C$4-Summary!$C$8)^2*E237</f>
        <v>241473.96000000008</v>
      </c>
      <c r="BP237">
        <f t="shared" si="196"/>
        <v>0</v>
      </c>
      <c r="BQ237">
        <f t="shared" si="197"/>
        <v>0</v>
      </c>
      <c r="BR237">
        <f t="shared" si="198"/>
        <v>0</v>
      </c>
      <c r="BS237">
        <f t="shared" si="199"/>
        <v>0</v>
      </c>
    </row>
    <row r="238" spans="2:71">
      <c r="B238" s="16">
        <f>Tiers!B239</f>
        <v>236</v>
      </c>
      <c r="C238" s="17" t="str">
        <f>Tiers!Y239</f>
        <v>freeplayA-12||||||||| x 1</v>
      </c>
      <c r="D238" s="18">
        <f>Tiers!C239</f>
        <v>34.900000000000006</v>
      </c>
      <c r="E238" s="19">
        <f>Frequency!E240</f>
        <v>100</v>
      </c>
      <c r="F238" s="19">
        <f t="shared" si="153"/>
        <v>3490.0000000000005</v>
      </c>
      <c r="G238" s="19">
        <f>IF(Tiers!D239&gt;1,'Data Analysis'!E238,0)</f>
        <v>0</v>
      </c>
      <c r="H238" s="19">
        <f t="shared" si="154"/>
        <v>0</v>
      </c>
      <c r="I238" s="19">
        <f>IF(AND(D238/Summary!$C$4&gt;0, D238/Summary!$C$4&lt;5),E238,0) * D238</f>
        <v>0</v>
      </c>
      <c r="J238" s="19">
        <f>IF(AND(D238/Summary!$C$4&gt;= 5, D238/Summary!$C$4&lt;10),E238,0) * D238</f>
        <v>0</v>
      </c>
      <c r="K238" s="19">
        <f>IF(AND(D238/Summary!$C$4&gt;=10, D238/Summary!$C$4&lt;25),E238,0)*D238</f>
        <v>0</v>
      </c>
      <c r="L238" s="19">
        <f>IF(D238/Summary!$C$4&gt;=25,E238,0)*D238</f>
        <v>3490.0000000000005</v>
      </c>
      <c r="M238" s="27">
        <f>IF(AND(D238/Summary!$C$4&gt;0, D238/Summary!$C$4&lt;1),E238,0)</f>
        <v>0</v>
      </c>
      <c r="N238" s="27">
        <f t="shared" si="155"/>
        <v>0</v>
      </c>
      <c r="O238" s="27">
        <f>IF(D238/Summary!$C$4=1,1,0)*E238</f>
        <v>0</v>
      </c>
      <c r="P238" s="27">
        <f t="shared" si="156"/>
        <v>0</v>
      </c>
      <c r="Q238" s="27">
        <f>IF(AND(D238/Summary!$C$4&gt;1, D238/Summary!$C$4&lt;=2),1,0)*E238</f>
        <v>0</v>
      </c>
      <c r="R238" s="27">
        <f t="shared" si="157"/>
        <v>0</v>
      </c>
      <c r="S238" s="27">
        <f>IF(AND(D238/Summary!$C$4&gt;2,D238/Summary!$C$4&lt;=5),1,0)*E238</f>
        <v>0</v>
      </c>
      <c r="T238" s="27">
        <f t="shared" si="158"/>
        <v>0</v>
      </c>
      <c r="U238" s="27">
        <f>IF(AND(D238/Summary!$C$4&gt;5, D238/Summary!$C$4&lt;=10),1,0)*E238</f>
        <v>0</v>
      </c>
      <c r="V238" s="27">
        <f t="shared" si="159"/>
        <v>0</v>
      </c>
      <c r="W238" s="27">
        <f>IF(AND(D238/Summary!$C$4&gt;10, D238/Summary!$C$4&lt;=20),1,0)*E238</f>
        <v>0</v>
      </c>
      <c r="X238" s="27">
        <f t="shared" si="160"/>
        <v>0</v>
      </c>
      <c r="Y238" s="27">
        <f>IF(AND(D238/Summary!$C$4&gt;20, D238/Summary!$C$4&lt;=30),1,0)*E238</f>
        <v>0</v>
      </c>
      <c r="Z238" s="27">
        <f t="shared" si="161"/>
        <v>0</v>
      </c>
      <c r="AA238" s="27">
        <f>IF(AND(D238/Summary!$C$4&gt;30, D238/Summary!$C$4&lt;=50),1,0)*E238</f>
        <v>100</v>
      </c>
      <c r="AB238" s="27">
        <f t="shared" si="162"/>
        <v>3490.0000000000005</v>
      </c>
      <c r="AC238" s="27">
        <f>IF(AND(D238/Summary!$C$4&gt;50, D238/Summary!$C$4&lt;=100),1,0)*E238</f>
        <v>0</v>
      </c>
      <c r="AD238" s="27">
        <f t="shared" si="163"/>
        <v>0</v>
      </c>
      <c r="AE238" s="27">
        <f>IF(D238/Summary!$C$4&gt;100,1,0)*E238</f>
        <v>0</v>
      </c>
      <c r="AF238" s="27">
        <f t="shared" si="164"/>
        <v>0</v>
      </c>
      <c r="AG238" s="19">
        <f t="shared" si="165"/>
        <v>100</v>
      </c>
      <c r="AH238" s="19">
        <f t="shared" si="166"/>
        <v>0</v>
      </c>
      <c r="AI238" s="19">
        <f t="shared" si="167"/>
        <v>0</v>
      </c>
      <c r="AJ238" s="27">
        <f t="shared" si="168"/>
        <v>0</v>
      </c>
      <c r="AK238" s="27">
        <f t="shared" si="169"/>
        <v>0</v>
      </c>
      <c r="AL238" s="27">
        <f t="shared" si="170"/>
        <v>0</v>
      </c>
      <c r="AM238">
        <f t="shared" si="171"/>
        <v>0</v>
      </c>
      <c r="AN238">
        <f t="shared" si="172"/>
        <v>0</v>
      </c>
      <c r="AO238">
        <f t="shared" si="173"/>
        <v>0</v>
      </c>
      <c r="AP238">
        <f t="shared" si="174"/>
        <v>0</v>
      </c>
      <c r="AQ238">
        <f t="shared" si="175"/>
        <v>0</v>
      </c>
      <c r="AR238">
        <f t="shared" si="176"/>
        <v>0</v>
      </c>
      <c r="AS238">
        <f t="shared" si="177"/>
        <v>0</v>
      </c>
      <c r="AT238">
        <f t="shared" si="178"/>
        <v>0</v>
      </c>
      <c r="AU238">
        <f t="shared" si="179"/>
        <v>0</v>
      </c>
      <c r="AV238">
        <f t="shared" si="180"/>
        <v>100</v>
      </c>
      <c r="AW238">
        <f t="shared" si="181"/>
        <v>3490.0000000000005</v>
      </c>
      <c r="AX238">
        <f t="shared" si="182"/>
        <v>0</v>
      </c>
      <c r="AY238">
        <f t="shared" si="183"/>
        <v>0</v>
      </c>
      <c r="AZ238">
        <f t="shared" si="184"/>
        <v>0</v>
      </c>
      <c r="BA238">
        <f t="shared" si="185"/>
        <v>0</v>
      </c>
      <c r="BB238">
        <f t="shared" si="186"/>
        <v>0</v>
      </c>
      <c r="BC238">
        <f t="shared" si="187"/>
        <v>0</v>
      </c>
      <c r="BD238">
        <f t="shared" si="188"/>
        <v>0</v>
      </c>
      <c r="BE238">
        <f t="shared" si="189"/>
        <v>0</v>
      </c>
      <c r="BF238">
        <f t="shared" si="190"/>
        <v>0</v>
      </c>
      <c r="BG238">
        <f t="shared" si="191"/>
        <v>0</v>
      </c>
      <c r="BH238">
        <f t="shared" si="192"/>
        <v>0</v>
      </c>
      <c r="BI238">
        <f t="shared" si="193"/>
        <v>0</v>
      </c>
      <c r="BJ238">
        <f t="shared" si="194"/>
        <v>0</v>
      </c>
      <c r="BK238">
        <f t="shared" si="195"/>
        <v>0</v>
      </c>
      <c r="BL238">
        <v>0</v>
      </c>
      <c r="BM238" t="str">
        <f t="shared" si="202"/>
        <v>Big Win</v>
      </c>
      <c r="BN238" s="32" t="str">
        <f t="shared" si="203"/>
        <v>Free Plays A</v>
      </c>
      <c r="BO238">
        <f>(D238/Summary!$C$4-Summary!$C$8)^2*E238</f>
        <v>116076.49000000006</v>
      </c>
      <c r="BP238">
        <f t="shared" si="196"/>
        <v>0</v>
      </c>
      <c r="BQ238">
        <f t="shared" si="197"/>
        <v>0</v>
      </c>
      <c r="BR238">
        <f t="shared" si="198"/>
        <v>0</v>
      </c>
      <c r="BS238">
        <f t="shared" si="199"/>
        <v>0</v>
      </c>
    </row>
    <row r="239" spans="2:71">
      <c r="B239" s="16">
        <f>Tiers!B240</f>
        <v>237</v>
      </c>
      <c r="C239" s="17" t="str">
        <f>Tiers!Y240</f>
        <v>freeplayA-13||||||||| x 1</v>
      </c>
      <c r="D239" s="18">
        <f>Tiers!C240</f>
        <v>23.3</v>
      </c>
      <c r="E239" s="19">
        <f>Frequency!E241</f>
        <v>400</v>
      </c>
      <c r="F239" s="19">
        <f t="shared" si="153"/>
        <v>9320</v>
      </c>
      <c r="G239" s="19">
        <f>IF(Tiers!D240&gt;1,'Data Analysis'!E239,0)</f>
        <v>0</v>
      </c>
      <c r="H239" s="19">
        <f t="shared" si="154"/>
        <v>0</v>
      </c>
      <c r="I239" s="19">
        <f>IF(AND(D239/Summary!$C$4&gt;0, D239/Summary!$C$4&lt;5),E239,0) * D239</f>
        <v>0</v>
      </c>
      <c r="J239" s="19">
        <f>IF(AND(D239/Summary!$C$4&gt;= 5, D239/Summary!$C$4&lt;10),E239,0) * D239</f>
        <v>0</v>
      </c>
      <c r="K239" s="19">
        <f>IF(AND(D239/Summary!$C$4&gt;=10, D239/Summary!$C$4&lt;25),E239,0)*D239</f>
        <v>9320</v>
      </c>
      <c r="L239" s="19">
        <f>IF(D239/Summary!$C$4&gt;=25,E239,0)*D239</f>
        <v>0</v>
      </c>
      <c r="M239" s="27">
        <f>IF(AND(D239/Summary!$C$4&gt;0, D239/Summary!$C$4&lt;1),E239,0)</f>
        <v>0</v>
      </c>
      <c r="N239" s="27">
        <f t="shared" si="155"/>
        <v>0</v>
      </c>
      <c r="O239" s="27">
        <f>IF(D239/Summary!$C$4=1,1,0)*E239</f>
        <v>0</v>
      </c>
      <c r="P239" s="27">
        <f t="shared" si="156"/>
        <v>0</v>
      </c>
      <c r="Q239" s="27">
        <f>IF(AND(D239/Summary!$C$4&gt;1, D239/Summary!$C$4&lt;=2),1,0)*E239</f>
        <v>0</v>
      </c>
      <c r="R239" s="27">
        <f t="shared" si="157"/>
        <v>0</v>
      </c>
      <c r="S239" s="27">
        <f>IF(AND(D239/Summary!$C$4&gt;2,D239/Summary!$C$4&lt;=5),1,0)*E239</f>
        <v>0</v>
      </c>
      <c r="T239" s="27">
        <f t="shared" si="158"/>
        <v>0</v>
      </c>
      <c r="U239" s="27">
        <f>IF(AND(D239/Summary!$C$4&gt;5, D239/Summary!$C$4&lt;=10),1,0)*E239</f>
        <v>0</v>
      </c>
      <c r="V239" s="27">
        <f t="shared" si="159"/>
        <v>0</v>
      </c>
      <c r="W239" s="27">
        <f>IF(AND(D239/Summary!$C$4&gt;10, D239/Summary!$C$4&lt;=20),1,0)*E239</f>
        <v>0</v>
      </c>
      <c r="X239" s="27">
        <f t="shared" si="160"/>
        <v>0</v>
      </c>
      <c r="Y239" s="27">
        <f>IF(AND(D239/Summary!$C$4&gt;20, D239/Summary!$C$4&lt;=30),1,0)*E239</f>
        <v>400</v>
      </c>
      <c r="Z239" s="27">
        <f t="shared" si="161"/>
        <v>9320</v>
      </c>
      <c r="AA239" s="27">
        <f>IF(AND(D239/Summary!$C$4&gt;30, D239/Summary!$C$4&lt;=50),1,0)*E239</f>
        <v>0</v>
      </c>
      <c r="AB239" s="27">
        <f t="shared" si="162"/>
        <v>0</v>
      </c>
      <c r="AC239" s="27">
        <f>IF(AND(D239/Summary!$C$4&gt;50, D239/Summary!$C$4&lt;=100),1,0)*E239</f>
        <v>0</v>
      </c>
      <c r="AD239" s="27">
        <f t="shared" si="163"/>
        <v>0</v>
      </c>
      <c r="AE239" s="27">
        <f>IF(D239/Summary!$C$4&gt;100,1,0)*E239</f>
        <v>0</v>
      </c>
      <c r="AF239" s="27">
        <f t="shared" si="164"/>
        <v>0</v>
      </c>
      <c r="AG239" s="19">
        <f t="shared" si="165"/>
        <v>400</v>
      </c>
      <c r="AH239" s="19">
        <f t="shared" si="166"/>
        <v>0</v>
      </c>
      <c r="AI239" s="19">
        <f t="shared" si="167"/>
        <v>0</v>
      </c>
      <c r="AJ239" s="27">
        <f t="shared" si="168"/>
        <v>0</v>
      </c>
      <c r="AK239" s="27">
        <f t="shared" si="169"/>
        <v>0</v>
      </c>
      <c r="AL239" s="27">
        <f t="shared" si="170"/>
        <v>0</v>
      </c>
      <c r="AM239">
        <f t="shared" si="171"/>
        <v>0</v>
      </c>
      <c r="AN239">
        <f t="shared" si="172"/>
        <v>0</v>
      </c>
      <c r="AO239">
        <f t="shared" si="173"/>
        <v>0</v>
      </c>
      <c r="AP239">
        <f t="shared" si="174"/>
        <v>0</v>
      </c>
      <c r="AQ239">
        <f t="shared" si="175"/>
        <v>0</v>
      </c>
      <c r="AR239">
        <f t="shared" si="176"/>
        <v>0</v>
      </c>
      <c r="AS239">
        <f t="shared" si="177"/>
        <v>0</v>
      </c>
      <c r="AT239">
        <f t="shared" si="178"/>
        <v>0</v>
      </c>
      <c r="AU239">
        <f t="shared" si="179"/>
        <v>0</v>
      </c>
      <c r="AV239">
        <f t="shared" si="180"/>
        <v>400</v>
      </c>
      <c r="AW239">
        <f t="shared" si="181"/>
        <v>9320</v>
      </c>
      <c r="AX239">
        <f t="shared" si="182"/>
        <v>0</v>
      </c>
      <c r="AY239">
        <f t="shared" si="183"/>
        <v>0</v>
      </c>
      <c r="AZ239">
        <f t="shared" si="184"/>
        <v>0</v>
      </c>
      <c r="BA239">
        <f t="shared" si="185"/>
        <v>0</v>
      </c>
      <c r="BB239">
        <f t="shared" si="186"/>
        <v>0</v>
      </c>
      <c r="BC239">
        <f t="shared" si="187"/>
        <v>0</v>
      </c>
      <c r="BD239">
        <f t="shared" si="188"/>
        <v>0</v>
      </c>
      <c r="BE239">
        <f t="shared" si="189"/>
        <v>0</v>
      </c>
      <c r="BF239">
        <f t="shared" si="190"/>
        <v>0</v>
      </c>
      <c r="BG239">
        <f t="shared" si="191"/>
        <v>0</v>
      </c>
      <c r="BH239">
        <f t="shared" si="192"/>
        <v>0</v>
      </c>
      <c r="BI239">
        <f t="shared" si="193"/>
        <v>0</v>
      </c>
      <c r="BJ239">
        <f t="shared" si="194"/>
        <v>0</v>
      </c>
      <c r="BK239">
        <f t="shared" si="195"/>
        <v>0</v>
      </c>
      <c r="BL239">
        <v>0</v>
      </c>
      <c r="BM239" t="str">
        <f t="shared" si="202"/>
        <v>Big Win</v>
      </c>
      <c r="BN239" s="32" t="str">
        <f t="shared" si="203"/>
        <v>Free Plays A</v>
      </c>
      <c r="BO239">
        <f>(D239/Summary!$C$4-Summary!$C$8)^2*E239</f>
        <v>201960.36000000004</v>
      </c>
      <c r="BP239">
        <f t="shared" si="196"/>
        <v>0</v>
      </c>
      <c r="BQ239">
        <f t="shared" si="197"/>
        <v>0</v>
      </c>
      <c r="BR239">
        <f t="shared" si="198"/>
        <v>0</v>
      </c>
      <c r="BS239">
        <f t="shared" si="199"/>
        <v>0</v>
      </c>
    </row>
    <row r="240" spans="2:71">
      <c r="B240" s="16">
        <f>Tiers!B241</f>
        <v>238</v>
      </c>
      <c r="C240" s="17" t="str">
        <f>Tiers!Y241</f>
        <v>freeplayA-14||||||||| x 1</v>
      </c>
      <c r="D240" s="18">
        <f>Tiers!C241</f>
        <v>17.999999999999996</v>
      </c>
      <c r="E240" s="19">
        <f>Frequency!E242</f>
        <v>400</v>
      </c>
      <c r="F240" s="19">
        <f t="shared" si="153"/>
        <v>7199.9999999999982</v>
      </c>
      <c r="G240" s="19">
        <f>IF(Tiers!D241&gt;1,'Data Analysis'!E240,0)</f>
        <v>0</v>
      </c>
      <c r="H240" s="19">
        <f t="shared" si="154"/>
        <v>0</v>
      </c>
      <c r="I240" s="19">
        <f>IF(AND(D240/Summary!$C$4&gt;0, D240/Summary!$C$4&lt;5),E240,0) * D240</f>
        <v>0</v>
      </c>
      <c r="J240" s="19">
        <f>IF(AND(D240/Summary!$C$4&gt;= 5, D240/Summary!$C$4&lt;10),E240,0) * D240</f>
        <v>0</v>
      </c>
      <c r="K240" s="19">
        <f>IF(AND(D240/Summary!$C$4&gt;=10, D240/Summary!$C$4&lt;25),E240,0)*D240</f>
        <v>7199.9999999999982</v>
      </c>
      <c r="L240" s="19">
        <f>IF(D240/Summary!$C$4&gt;=25,E240,0)*D240</f>
        <v>0</v>
      </c>
      <c r="M240" s="27">
        <f>IF(AND(D240/Summary!$C$4&gt;0, D240/Summary!$C$4&lt;1),E240,0)</f>
        <v>0</v>
      </c>
      <c r="N240" s="27">
        <f t="shared" si="155"/>
        <v>0</v>
      </c>
      <c r="O240" s="27">
        <f>IF(D240/Summary!$C$4=1,1,0)*E240</f>
        <v>0</v>
      </c>
      <c r="P240" s="27">
        <f t="shared" si="156"/>
        <v>0</v>
      </c>
      <c r="Q240" s="27">
        <f>IF(AND(D240/Summary!$C$4&gt;1, D240/Summary!$C$4&lt;=2),1,0)*E240</f>
        <v>0</v>
      </c>
      <c r="R240" s="27">
        <f t="shared" si="157"/>
        <v>0</v>
      </c>
      <c r="S240" s="27">
        <f>IF(AND(D240/Summary!$C$4&gt;2,D240/Summary!$C$4&lt;=5),1,0)*E240</f>
        <v>0</v>
      </c>
      <c r="T240" s="27">
        <f t="shared" si="158"/>
        <v>0</v>
      </c>
      <c r="U240" s="27">
        <f>IF(AND(D240/Summary!$C$4&gt;5, D240/Summary!$C$4&lt;=10),1,0)*E240</f>
        <v>0</v>
      </c>
      <c r="V240" s="27">
        <f t="shared" si="159"/>
        <v>0</v>
      </c>
      <c r="W240" s="27">
        <f>IF(AND(D240/Summary!$C$4&gt;10, D240/Summary!$C$4&lt;=20),1,0)*E240</f>
        <v>400</v>
      </c>
      <c r="X240" s="27">
        <f t="shared" si="160"/>
        <v>7199.9999999999982</v>
      </c>
      <c r="Y240" s="27">
        <f>IF(AND(D240/Summary!$C$4&gt;20, D240/Summary!$C$4&lt;=30),1,0)*E240</f>
        <v>0</v>
      </c>
      <c r="Z240" s="27">
        <f t="shared" si="161"/>
        <v>0</v>
      </c>
      <c r="AA240" s="27">
        <f>IF(AND(D240/Summary!$C$4&gt;30, D240/Summary!$C$4&lt;=50),1,0)*E240</f>
        <v>0</v>
      </c>
      <c r="AB240" s="27">
        <f t="shared" si="162"/>
        <v>0</v>
      </c>
      <c r="AC240" s="27">
        <f>IF(AND(D240/Summary!$C$4&gt;50, D240/Summary!$C$4&lt;=100),1,0)*E240</f>
        <v>0</v>
      </c>
      <c r="AD240" s="27">
        <f t="shared" si="163"/>
        <v>0</v>
      </c>
      <c r="AE240" s="27">
        <f>IF(D240/Summary!$C$4&gt;100,1,0)*E240</f>
        <v>0</v>
      </c>
      <c r="AF240" s="27">
        <f t="shared" si="164"/>
        <v>0</v>
      </c>
      <c r="AG240" s="19">
        <f t="shared" si="165"/>
        <v>400</v>
      </c>
      <c r="AH240" s="19">
        <f t="shared" si="166"/>
        <v>0</v>
      </c>
      <c r="AI240" s="19">
        <f t="shared" si="167"/>
        <v>0</v>
      </c>
      <c r="AJ240" s="27">
        <f t="shared" si="168"/>
        <v>0</v>
      </c>
      <c r="AK240" s="27">
        <f t="shared" si="169"/>
        <v>0</v>
      </c>
      <c r="AL240" s="27">
        <f t="shared" si="170"/>
        <v>0</v>
      </c>
      <c r="AM240">
        <f t="shared" si="171"/>
        <v>0</v>
      </c>
      <c r="AN240">
        <f t="shared" si="172"/>
        <v>0</v>
      </c>
      <c r="AO240">
        <f t="shared" si="173"/>
        <v>0</v>
      </c>
      <c r="AP240">
        <f t="shared" si="174"/>
        <v>0</v>
      </c>
      <c r="AQ240">
        <f t="shared" si="175"/>
        <v>0</v>
      </c>
      <c r="AR240">
        <f t="shared" si="176"/>
        <v>0</v>
      </c>
      <c r="AS240">
        <f t="shared" si="177"/>
        <v>0</v>
      </c>
      <c r="AT240">
        <f t="shared" si="178"/>
        <v>0</v>
      </c>
      <c r="AU240">
        <f t="shared" si="179"/>
        <v>0</v>
      </c>
      <c r="AV240">
        <f t="shared" si="180"/>
        <v>400</v>
      </c>
      <c r="AW240">
        <f t="shared" si="181"/>
        <v>7199.9999999999982</v>
      </c>
      <c r="AX240">
        <f t="shared" si="182"/>
        <v>0</v>
      </c>
      <c r="AY240">
        <f t="shared" si="183"/>
        <v>0</v>
      </c>
      <c r="AZ240">
        <f t="shared" si="184"/>
        <v>0</v>
      </c>
      <c r="BA240">
        <f t="shared" si="185"/>
        <v>0</v>
      </c>
      <c r="BB240">
        <f t="shared" si="186"/>
        <v>0</v>
      </c>
      <c r="BC240">
        <f t="shared" si="187"/>
        <v>0</v>
      </c>
      <c r="BD240">
        <f t="shared" si="188"/>
        <v>0</v>
      </c>
      <c r="BE240">
        <f t="shared" si="189"/>
        <v>0</v>
      </c>
      <c r="BF240">
        <f t="shared" si="190"/>
        <v>0</v>
      </c>
      <c r="BG240">
        <f t="shared" si="191"/>
        <v>0</v>
      </c>
      <c r="BH240">
        <f t="shared" si="192"/>
        <v>0</v>
      </c>
      <c r="BI240">
        <f t="shared" si="193"/>
        <v>0</v>
      </c>
      <c r="BJ240">
        <f t="shared" si="194"/>
        <v>0</v>
      </c>
      <c r="BK240">
        <f t="shared" si="195"/>
        <v>0</v>
      </c>
      <c r="BL240">
        <v>0</v>
      </c>
      <c r="BM240" t="str">
        <f t="shared" si="202"/>
        <v>Big Win</v>
      </c>
      <c r="BN240" s="32" t="str">
        <f t="shared" si="203"/>
        <v>Free Plays A</v>
      </c>
      <c r="BO240">
        <f>(D240/Summary!$C$4-Summary!$C$8)^2*E240</f>
        <v>117923.55999999997</v>
      </c>
      <c r="BP240">
        <f t="shared" si="196"/>
        <v>0</v>
      </c>
      <c r="BQ240">
        <f t="shared" si="197"/>
        <v>0</v>
      </c>
      <c r="BR240">
        <f t="shared" si="198"/>
        <v>0</v>
      </c>
      <c r="BS240">
        <f t="shared" si="199"/>
        <v>0</v>
      </c>
    </row>
    <row r="241" spans="2:71">
      <c r="B241" s="16">
        <f>Tiers!B242</f>
        <v>239</v>
      </c>
      <c r="C241" s="17" t="str">
        <f>Tiers!Y242</f>
        <v>freeplayA-15||||||||| x 1</v>
      </c>
      <c r="D241" s="18">
        <f>Tiers!C242</f>
        <v>21.3</v>
      </c>
      <c r="E241" s="19">
        <f>Frequency!E243</f>
        <v>400</v>
      </c>
      <c r="F241" s="19">
        <f t="shared" si="153"/>
        <v>8520</v>
      </c>
      <c r="G241" s="19">
        <f>IF(Tiers!D242&gt;1,'Data Analysis'!E241,0)</f>
        <v>0</v>
      </c>
      <c r="H241" s="19">
        <f t="shared" si="154"/>
        <v>0</v>
      </c>
      <c r="I241" s="19">
        <f>IF(AND(D241/Summary!$C$4&gt;0, D241/Summary!$C$4&lt;5),E241,0) * D241</f>
        <v>0</v>
      </c>
      <c r="J241" s="19">
        <f>IF(AND(D241/Summary!$C$4&gt;= 5, D241/Summary!$C$4&lt;10),E241,0) * D241</f>
        <v>0</v>
      </c>
      <c r="K241" s="19">
        <f>IF(AND(D241/Summary!$C$4&gt;=10, D241/Summary!$C$4&lt;25),E241,0)*D241</f>
        <v>8520</v>
      </c>
      <c r="L241" s="19">
        <f>IF(D241/Summary!$C$4&gt;=25,E241,0)*D241</f>
        <v>0</v>
      </c>
      <c r="M241" s="27">
        <f>IF(AND(D241/Summary!$C$4&gt;0, D241/Summary!$C$4&lt;1),E241,0)</f>
        <v>0</v>
      </c>
      <c r="N241" s="27">
        <f t="shared" si="155"/>
        <v>0</v>
      </c>
      <c r="O241" s="27">
        <f>IF(D241/Summary!$C$4=1,1,0)*E241</f>
        <v>0</v>
      </c>
      <c r="P241" s="27">
        <f t="shared" si="156"/>
        <v>0</v>
      </c>
      <c r="Q241" s="27">
        <f>IF(AND(D241/Summary!$C$4&gt;1, D241/Summary!$C$4&lt;=2),1,0)*E241</f>
        <v>0</v>
      </c>
      <c r="R241" s="27">
        <f t="shared" si="157"/>
        <v>0</v>
      </c>
      <c r="S241" s="27">
        <f>IF(AND(D241/Summary!$C$4&gt;2,D241/Summary!$C$4&lt;=5),1,0)*E241</f>
        <v>0</v>
      </c>
      <c r="T241" s="27">
        <f t="shared" si="158"/>
        <v>0</v>
      </c>
      <c r="U241" s="27">
        <f>IF(AND(D241/Summary!$C$4&gt;5, D241/Summary!$C$4&lt;=10),1,0)*E241</f>
        <v>0</v>
      </c>
      <c r="V241" s="27">
        <f t="shared" si="159"/>
        <v>0</v>
      </c>
      <c r="W241" s="27">
        <f>IF(AND(D241/Summary!$C$4&gt;10, D241/Summary!$C$4&lt;=20),1,0)*E241</f>
        <v>0</v>
      </c>
      <c r="X241" s="27">
        <f t="shared" si="160"/>
        <v>0</v>
      </c>
      <c r="Y241" s="27">
        <f>IF(AND(D241/Summary!$C$4&gt;20, D241/Summary!$C$4&lt;=30),1,0)*E241</f>
        <v>400</v>
      </c>
      <c r="Z241" s="27">
        <f t="shared" si="161"/>
        <v>8520</v>
      </c>
      <c r="AA241" s="27">
        <f>IF(AND(D241/Summary!$C$4&gt;30, D241/Summary!$C$4&lt;=50),1,0)*E241</f>
        <v>0</v>
      </c>
      <c r="AB241" s="27">
        <f t="shared" si="162"/>
        <v>0</v>
      </c>
      <c r="AC241" s="27">
        <f>IF(AND(D241/Summary!$C$4&gt;50, D241/Summary!$C$4&lt;=100),1,0)*E241</f>
        <v>0</v>
      </c>
      <c r="AD241" s="27">
        <f t="shared" si="163"/>
        <v>0</v>
      </c>
      <c r="AE241" s="27">
        <f>IF(D241/Summary!$C$4&gt;100,1,0)*E241</f>
        <v>0</v>
      </c>
      <c r="AF241" s="27">
        <f t="shared" si="164"/>
        <v>0</v>
      </c>
      <c r="AG241" s="19">
        <f t="shared" si="165"/>
        <v>400</v>
      </c>
      <c r="AH241" s="19">
        <f t="shared" si="166"/>
        <v>0</v>
      </c>
      <c r="AI241" s="19">
        <f t="shared" si="167"/>
        <v>0</v>
      </c>
      <c r="AJ241" s="27">
        <f t="shared" si="168"/>
        <v>0</v>
      </c>
      <c r="AK241" s="27">
        <f t="shared" si="169"/>
        <v>0</v>
      </c>
      <c r="AL241" s="27">
        <f t="shared" si="170"/>
        <v>0</v>
      </c>
      <c r="AM241">
        <f t="shared" si="171"/>
        <v>0</v>
      </c>
      <c r="AN241">
        <f t="shared" si="172"/>
        <v>0</v>
      </c>
      <c r="AO241">
        <f t="shared" si="173"/>
        <v>0</v>
      </c>
      <c r="AP241">
        <f t="shared" si="174"/>
        <v>0</v>
      </c>
      <c r="AQ241">
        <f t="shared" si="175"/>
        <v>0</v>
      </c>
      <c r="AR241">
        <f t="shared" si="176"/>
        <v>0</v>
      </c>
      <c r="AS241">
        <f t="shared" si="177"/>
        <v>0</v>
      </c>
      <c r="AT241">
        <f t="shared" si="178"/>
        <v>0</v>
      </c>
      <c r="AU241">
        <f t="shared" si="179"/>
        <v>0</v>
      </c>
      <c r="AV241">
        <f t="shared" si="180"/>
        <v>400</v>
      </c>
      <c r="AW241">
        <f t="shared" si="181"/>
        <v>8520</v>
      </c>
      <c r="AX241">
        <f t="shared" si="182"/>
        <v>0</v>
      </c>
      <c r="AY241">
        <f t="shared" si="183"/>
        <v>0</v>
      </c>
      <c r="AZ241">
        <f t="shared" si="184"/>
        <v>0</v>
      </c>
      <c r="BA241">
        <f t="shared" si="185"/>
        <v>0</v>
      </c>
      <c r="BB241">
        <f t="shared" si="186"/>
        <v>0</v>
      </c>
      <c r="BC241">
        <f t="shared" si="187"/>
        <v>0</v>
      </c>
      <c r="BD241">
        <f t="shared" si="188"/>
        <v>0</v>
      </c>
      <c r="BE241">
        <f t="shared" si="189"/>
        <v>0</v>
      </c>
      <c r="BF241">
        <f t="shared" si="190"/>
        <v>0</v>
      </c>
      <c r="BG241">
        <f t="shared" si="191"/>
        <v>0</v>
      </c>
      <c r="BH241">
        <f t="shared" si="192"/>
        <v>0</v>
      </c>
      <c r="BI241">
        <f t="shared" si="193"/>
        <v>0</v>
      </c>
      <c r="BJ241">
        <f t="shared" si="194"/>
        <v>0</v>
      </c>
      <c r="BK241">
        <f t="shared" si="195"/>
        <v>0</v>
      </c>
      <c r="BL241">
        <v>0</v>
      </c>
      <c r="BM241" t="str">
        <f t="shared" si="202"/>
        <v>Big Win</v>
      </c>
      <c r="BN241" s="32" t="str">
        <f t="shared" si="203"/>
        <v>Free Plays A</v>
      </c>
      <c r="BO241">
        <f>(D241/Summary!$C$4-Summary!$C$8)^2*E241</f>
        <v>167608.36000000004</v>
      </c>
      <c r="BP241">
        <f t="shared" si="196"/>
        <v>0</v>
      </c>
      <c r="BQ241">
        <f t="shared" si="197"/>
        <v>0</v>
      </c>
      <c r="BR241">
        <f t="shared" si="198"/>
        <v>0</v>
      </c>
      <c r="BS241">
        <f t="shared" si="199"/>
        <v>0</v>
      </c>
    </row>
    <row r="242" spans="2:71">
      <c r="B242" s="16">
        <f>Tiers!B243</f>
        <v>240</v>
      </c>
      <c r="C242" s="17" t="str">
        <f>Tiers!Y243</f>
        <v>freeplayA-16||||||||| x 1</v>
      </c>
      <c r="D242" s="18">
        <f>Tiers!C243</f>
        <v>37.299999999999997</v>
      </c>
      <c r="E242" s="19">
        <f>Frequency!E244</f>
        <v>130</v>
      </c>
      <c r="F242" s="19">
        <f t="shared" si="153"/>
        <v>4849</v>
      </c>
      <c r="G242" s="19">
        <f>IF(Tiers!D243&gt;1,'Data Analysis'!E242,0)</f>
        <v>0</v>
      </c>
      <c r="H242" s="19">
        <f t="shared" si="154"/>
        <v>0</v>
      </c>
      <c r="I242" s="19">
        <f>IF(AND(D242/Summary!$C$4&gt;0, D242/Summary!$C$4&lt;5),E242,0) * D242</f>
        <v>0</v>
      </c>
      <c r="J242" s="19">
        <f>IF(AND(D242/Summary!$C$4&gt;= 5, D242/Summary!$C$4&lt;10),E242,0) * D242</f>
        <v>0</v>
      </c>
      <c r="K242" s="19">
        <f>IF(AND(D242/Summary!$C$4&gt;=10, D242/Summary!$C$4&lt;25),E242,0)*D242</f>
        <v>0</v>
      </c>
      <c r="L242" s="19">
        <f>IF(D242/Summary!$C$4&gt;=25,E242,0)*D242</f>
        <v>4849</v>
      </c>
      <c r="M242" s="27">
        <f>IF(AND(D242/Summary!$C$4&gt;0, D242/Summary!$C$4&lt;1),E242,0)</f>
        <v>0</v>
      </c>
      <c r="N242" s="27">
        <f t="shared" si="155"/>
        <v>0</v>
      </c>
      <c r="O242" s="27">
        <f>IF(D242/Summary!$C$4=1,1,0)*E242</f>
        <v>0</v>
      </c>
      <c r="P242" s="27">
        <f t="shared" si="156"/>
        <v>0</v>
      </c>
      <c r="Q242" s="27">
        <f>IF(AND(D242/Summary!$C$4&gt;1, D242/Summary!$C$4&lt;=2),1,0)*E242</f>
        <v>0</v>
      </c>
      <c r="R242" s="27">
        <f t="shared" si="157"/>
        <v>0</v>
      </c>
      <c r="S242" s="27">
        <f>IF(AND(D242/Summary!$C$4&gt;2,D242/Summary!$C$4&lt;=5),1,0)*E242</f>
        <v>0</v>
      </c>
      <c r="T242" s="27">
        <f t="shared" si="158"/>
        <v>0</v>
      </c>
      <c r="U242" s="27">
        <f>IF(AND(D242/Summary!$C$4&gt;5, D242/Summary!$C$4&lt;=10),1,0)*E242</f>
        <v>0</v>
      </c>
      <c r="V242" s="27">
        <f t="shared" si="159"/>
        <v>0</v>
      </c>
      <c r="W242" s="27">
        <f>IF(AND(D242/Summary!$C$4&gt;10, D242/Summary!$C$4&lt;=20),1,0)*E242</f>
        <v>0</v>
      </c>
      <c r="X242" s="27">
        <f t="shared" si="160"/>
        <v>0</v>
      </c>
      <c r="Y242" s="27">
        <f>IF(AND(D242/Summary!$C$4&gt;20, D242/Summary!$C$4&lt;=30),1,0)*E242</f>
        <v>0</v>
      </c>
      <c r="Z242" s="27">
        <f t="shared" si="161"/>
        <v>0</v>
      </c>
      <c r="AA242" s="27">
        <f>IF(AND(D242/Summary!$C$4&gt;30, D242/Summary!$C$4&lt;=50),1,0)*E242</f>
        <v>130</v>
      </c>
      <c r="AB242" s="27">
        <f t="shared" si="162"/>
        <v>4849</v>
      </c>
      <c r="AC242" s="27">
        <f>IF(AND(D242/Summary!$C$4&gt;50, D242/Summary!$C$4&lt;=100),1,0)*E242</f>
        <v>0</v>
      </c>
      <c r="AD242" s="27">
        <f t="shared" si="163"/>
        <v>0</v>
      </c>
      <c r="AE242" s="27">
        <f>IF(D242/Summary!$C$4&gt;100,1,0)*E242</f>
        <v>0</v>
      </c>
      <c r="AF242" s="27">
        <f t="shared" si="164"/>
        <v>0</v>
      </c>
      <c r="AG242" s="19">
        <f t="shared" si="165"/>
        <v>130</v>
      </c>
      <c r="AH242" s="19">
        <f t="shared" si="166"/>
        <v>0</v>
      </c>
      <c r="AI242" s="19">
        <f t="shared" si="167"/>
        <v>0</v>
      </c>
      <c r="AJ242" s="27">
        <f t="shared" si="168"/>
        <v>0</v>
      </c>
      <c r="AK242" s="27">
        <f t="shared" si="169"/>
        <v>0</v>
      </c>
      <c r="AL242" s="27">
        <f t="shared" si="170"/>
        <v>0</v>
      </c>
      <c r="AM242">
        <f t="shared" si="171"/>
        <v>0</v>
      </c>
      <c r="AN242">
        <f t="shared" si="172"/>
        <v>0</v>
      </c>
      <c r="AO242">
        <f t="shared" si="173"/>
        <v>0</v>
      </c>
      <c r="AP242">
        <f t="shared" si="174"/>
        <v>0</v>
      </c>
      <c r="AQ242">
        <f t="shared" si="175"/>
        <v>0</v>
      </c>
      <c r="AR242">
        <f t="shared" si="176"/>
        <v>0</v>
      </c>
      <c r="AS242">
        <f t="shared" si="177"/>
        <v>0</v>
      </c>
      <c r="AT242">
        <f t="shared" si="178"/>
        <v>0</v>
      </c>
      <c r="AU242">
        <f t="shared" si="179"/>
        <v>0</v>
      </c>
      <c r="AV242">
        <f t="shared" si="180"/>
        <v>130</v>
      </c>
      <c r="AW242">
        <f t="shared" si="181"/>
        <v>4849</v>
      </c>
      <c r="AX242">
        <f t="shared" si="182"/>
        <v>0</v>
      </c>
      <c r="AY242">
        <f t="shared" si="183"/>
        <v>0</v>
      </c>
      <c r="AZ242">
        <f t="shared" si="184"/>
        <v>0</v>
      </c>
      <c r="BA242">
        <f t="shared" si="185"/>
        <v>0</v>
      </c>
      <c r="BB242">
        <f t="shared" si="186"/>
        <v>0</v>
      </c>
      <c r="BC242">
        <f t="shared" si="187"/>
        <v>0</v>
      </c>
      <c r="BD242">
        <f t="shared" si="188"/>
        <v>0</v>
      </c>
      <c r="BE242">
        <f t="shared" si="189"/>
        <v>0</v>
      </c>
      <c r="BF242">
        <f t="shared" si="190"/>
        <v>0</v>
      </c>
      <c r="BG242">
        <f t="shared" si="191"/>
        <v>0</v>
      </c>
      <c r="BH242">
        <f t="shared" si="192"/>
        <v>0</v>
      </c>
      <c r="BI242">
        <f t="shared" si="193"/>
        <v>0</v>
      </c>
      <c r="BJ242">
        <f t="shared" si="194"/>
        <v>0</v>
      </c>
      <c r="BK242">
        <f t="shared" si="195"/>
        <v>0</v>
      </c>
      <c r="BL242">
        <v>0</v>
      </c>
      <c r="BM242" t="str">
        <f t="shared" si="202"/>
        <v>Big Win</v>
      </c>
      <c r="BN242" s="32" t="str">
        <f t="shared" si="203"/>
        <v>Free Plays A</v>
      </c>
      <c r="BO242">
        <f>(D242/Summary!$C$4-Summary!$C$8)^2*E242</f>
        <v>172907.91699999999</v>
      </c>
      <c r="BP242">
        <f t="shared" si="196"/>
        <v>0</v>
      </c>
      <c r="BQ242">
        <f t="shared" si="197"/>
        <v>0</v>
      </c>
      <c r="BR242">
        <f t="shared" si="198"/>
        <v>0</v>
      </c>
      <c r="BS242">
        <f t="shared" si="199"/>
        <v>0</v>
      </c>
    </row>
    <row r="243" spans="2:71">
      <c r="B243" s="16">
        <f>Tiers!B244</f>
        <v>241</v>
      </c>
      <c r="C243" s="17" t="str">
        <f>Tiers!Y244</f>
        <v>freeplayA-17||||||||| x 1</v>
      </c>
      <c r="D243" s="18">
        <f>Tiers!C244</f>
        <v>26.7</v>
      </c>
      <c r="E243" s="19">
        <f>Frequency!E245</f>
        <v>400</v>
      </c>
      <c r="F243" s="19">
        <f t="shared" si="153"/>
        <v>10680</v>
      </c>
      <c r="G243" s="19">
        <f>IF(Tiers!D244&gt;1,'Data Analysis'!E243,0)</f>
        <v>0</v>
      </c>
      <c r="H243" s="19">
        <f t="shared" si="154"/>
        <v>0</v>
      </c>
      <c r="I243" s="19">
        <f>IF(AND(D243/Summary!$C$4&gt;0, D243/Summary!$C$4&lt;5),E243,0) * D243</f>
        <v>0</v>
      </c>
      <c r="J243" s="19">
        <f>IF(AND(D243/Summary!$C$4&gt;= 5, D243/Summary!$C$4&lt;10),E243,0) * D243</f>
        <v>0</v>
      </c>
      <c r="K243" s="19">
        <f>IF(AND(D243/Summary!$C$4&gt;=10, D243/Summary!$C$4&lt;25),E243,0)*D243</f>
        <v>0</v>
      </c>
      <c r="L243" s="19">
        <f>IF(D243/Summary!$C$4&gt;=25,E243,0)*D243</f>
        <v>10680</v>
      </c>
      <c r="M243" s="27">
        <f>IF(AND(D243/Summary!$C$4&gt;0, D243/Summary!$C$4&lt;1),E243,0)</f>
        <v>0</v>
      </c>
      <c r="N243" s="27">
        <f t="shared" si="155"/>
        <v>0</v>
      </c>
      <c r="O243" s="27">
        <f>IF(D243/Summary!$C$4=1,1,0)*E243</f>
        <v>0</v>
      </c>
      <c r="P243" s="27">
        <f t="shared" si="156"/>
        <v>0</v>
      </c>
      <c r="Q243" s="27">
        <f>IF(AND(D243/Summary!$C$4&gt;1, D243/Summary!$C$4&lt;=2),1,0)*E243</f>
        <v>0</v>
      </c>
      <c r="R243" s="27">
        <f t="shared" si="157"/>
        <v>0</v>
      </c>
      <c r="S243" s="27">
        <f>IF(AND(D243/Summary!$C$4&gt;2,D243/Summary!$C$4&lt;=5),1,0)*E243</f>
        <v>0</v>
      </c>
      <c r="T243" s="27">
        <f t="shared" si="158"/>
        <v>0</v>
      </c>
      <c r="U243" s="27">
        <f>IF(AND(D243/Summary!$C$4&gt;5, D243/Summary!$C$4&lt;=10),1,0)*E243</f>
        <v>0</v>
      </c>
      <c r="V243" s="27">
        <f t="shared" si="159"/>
        <v>0</v>
      </c>
      <c r="W243" s="27">
        <f>IF(AND(D243/Summary!$C$4&gt;10, D243/Summary!$C$4&lt;=20),1,0)*E243</f>
        <v>0</v>
      </c>
      <c r="X243" s="27">
        <f t="shared" si="160"/>
        <v>0</v>
      </c>
      <c r="Y243" s="27">
        <f>IF(AND(D243/Summary!$C$4&gt;20, D243/Summary!$C$4&lt;=30),1,0)*E243</f>
        <v>400</v>
      </c>
      <c r="Z243" s="27">
        <f t="shared" si="161"/>
        <v>10680</v>
      </c>
      <c r="AA243" s="27">
        <f>IF(AND(D243/Summary!$C$4&gt;30, D243/Summary!$C$4&lt;=50),1,0)*E243</f>
        <v>0</v>
      </c>
      <c r="AB243" s="27">
        <f t="shared" si="162"/>
        <v>0</v>
      </c>
      <c r="AC243" s="27">
        <f>IF(AND(D243/Summary!$C$4&gt;50, D243/Summary!$C$4&lt;=100),1,0)*E243</f>
        <v>0</v>
      </c>
      <c r="AD243" s="27">
        <f t="shared" si="163"/>
        <v>0</v>
      </c>
      <c r="AE243" s="27">
        <f>IF(D243/Summary!$C$4&gt;100,1,0)*E243</f>
        <v>0</v>
      </c>
      <c r="AF243" s="27">
        <f t="shared" si="164"/>
        <v>0</v>
      </c>
      <c r="AG243" s="19">
        <f t="shared" si="165"/>
        <v>400</v>
      </c>
      <c r="AH243" s="19">
        <f t="shared" si="166"/>
        <v>0</v>
      </c>
      <c r="AI243" s="19">
        <f t="shared" si="167"/>
        <v>0</v>
      </c>
      <c r="AJ243" s="27">
        <f t="shared" si="168"/>
        <v>0</v>
      </c>
      <c r="AK243" s="27">
        <f t="shared" si="169"/>
        <v>0</v>
      </c>
      <c r="AL243" s="27">
        <f t="shared" si="170"/>
        <v>0</v>
      </c>
      <c r="AM243">
        <f t="shared" si="171"/>
        <v>0</v>
      </c>
      <c r="AN243">
        <f t="shared" si="172"/>
        <v>0</v>
      </c>
      <c r="AO243">
        <f t="shared" si="173"/>
        <v>0</v>
      </c>
      <c r="AP243">
        <f t="shared" si="174"/>
        <v>0</v>
      </c>
      <c r="AQ243">
        <f t="shared" si="175"/>
        <v>0</v>
      </c>
      <c r="AR243">
        <f t="shared" si="176"/>
        <v>0</v>
      </c>
      <c r="AS243">
        <f t="shared" si="177"/>
        <v>0</v>
      </c>
      <c r="AT243">
        <f t="shared" si="178"/>
        <v>0</v>
      </c>
      <c r="AU243">
        <f t="shared" si="179"/>
        <v>0</v>
      </c>
      <c r="AV243">
        <f t="shared" si="180"/>
        <v>400</v>
      </c>
      <c r="AW243">
        <f t="shared" si="181"/>
        <v>10680</v>
      </c>
      <c r="AX243">
        <f t="shared" si="182"/>
        <v>0</v>
      </c>
      <c r="AY243">
        <f t="shared" si="183"/>
        <v>0</v>
      </c>
      <c r="AZ243">
        <f t="shared" si="184"/>
        <v>0</v>
      </c>
      <c r="BA243">
        <f t="shared" si="185"/>
        <v>0</v>
      </c>
      <c r="BB243">
        <f t="shared" si="186"/>
        <v>0</v>
      </c>
      <c r="BC243">
        <f t="shared" si="187"/>
        <v>0</v>
      </c>
      <c r="BD243">
        <f t="shared" si="188"/>
        <v>0</v>
      </c>
      <c r="BE243">
        <f t="shared" si="189"/>
        <v>0</v>
      </c>
      <c r="BF243">
        <f t="shared" si="190"/>
        <v>0</v>
      </c>
      <c r="BG243">
        <f t="shared" si="191"/>
        <v>0</v>
      </c>
      <c r="BH243">
        <f t="shared" si="192"/>
        <v>0</v>
      </c>
      <c r="BI243">
        <f t="shared" si="193"/>
        <v>0</v>
      </c>
      <c r="BJ243">
        <f t="shared" si="194"/>
        <v>0</v>
      </c>
      <c r="BK243">
        <f t="shared" si="195"/>
        <v>0</v>
      </c>
      <c r="BL243">
        <v>0</v>
      </c>
      <c r="BM243" t="str">
        <f t="shared" si="202"/>
        <v>Big Win</v>
      </c>
      <c r="BN243" s="32" t="str">
        <f t="shared" si="203"/>
        <v>Free Plays A</v>
      </c>
      <c r="BO243">
        <f>(D243/Summary!$C$4-Summary!$C$8)^2*E243</f>
        <v>267702.76</v>
      </c>
      <c r="BP243">
        <f t="shared" si="196"/>
        <v>0</v>
      </c>
      <c r="BQ243">
        <f t="shared" si="197"/>
        <v>0</v>
      </c>
      <c r="BR243">
        <f t="shared" si="198"/>
        <v>0</v>
      </c>
      <c r="BS243">
        <f t="shared" si="199"/>
        <v>0</v>
      </c>
    </row>
    <row r="244" spans="2:71">
      <c r="B244" s="16">
        <f>Tiers!B245</f>
        <v>242</v>
      </c>
      <c r="C244" s="17" t="str">
        <f>Tiers!Y245</f>
        <v>freeplayA-18||||||||| x 1</v>
      </c>
      <c r="D244" s="18">
        <f>Tiers!C245</f>
        <v>40.9</v>
      </c>
      <c r="E244" s="19">
        <f>Frequency!E246</f>
        <v>100</v>
      </c>
      <c r="F244" s="19">
        <f t="shared" si="153"/>
        <v>4090</v>
      </c>
      <c r="G244" s="19">
        <f>IF(Tiers!D245&gt;1,'Data Analysis'!E244,0)</f>
        <v>0</v>
      </c>
      <c r="H244" s="19">
        <f t="shared" si="154"/>
        <v>0</v>
      </c>
      <c r="I244" s="19">
        <f>IF(AND(D244/Summary!$C$4&gt;0, D244/Summary!$C$4&lt;5),E244,0) * D244</f>
        <v>0</v>
      </c>
      <c r="J244" s="19">
        <f>IF(AND(D244/Summary!$C$4&gt;= 5, D244/Summary!$C$4&lt;10),E244,0) * D244</f>
        <v>0</v>
      </c>
      <c r="K244" s="19">
        <f>IF(AND(D244/Summary!$C$4&gt;=10, D244/Summary!$C$4&lt;25),E244,0)*D244</f>
        <v>0</v>
      </c>
      <c r="L244" s="19">
        <f>IF(D244/Summary!$C$4&gt;=25,E244,0)*D244</f>
        <v>4090</v>
      </c>
      <c r="M244" s="27">
        <f>IF(AND(D244/Summary!$C$4&gt;0, D244/Summary!$C$4&lt;1),E244,0)</f>
        <v>0</v>
      </c>
      <c r="N244" s="27">
        <f t="shared" si="155"/>
        <v>0</v>
      </c>
      <c r="O244" s="27">
        <f>IF(D244/Summary!$C$4=1,1,0)*E244</f>
        <v>0</v>
      </c>
      <c r="P244" s="27">
        <f t="shared" si="156"/>
        <v>0</v>
      </c>
      <c r="Q244" s="27">
        <f>IF(AND(D244/Summary!$C$4&gt;1, D244/Summary!$C$4&lt;=2),1,0)*E244</f>
        <v>0</v>
      </c>
      <c r="R244" s="27">
        <f t="shared" si="157"/>
        <v>0</v>
      </c>
      <c r="S244" s="27">
        <f>IF(AND(D244/Summary!$C$4&gt;2,D244/Summary!$C$4&lt;=5),1,0)*E244</f>
        <v>0</v>
      </c>
      <c r="T244" s="27">
        <f t="shared" si="158"/>
        <v>0</v>
      </c>
      <c r="U244" s="27">
        <f>IF(AND(D244/Summary!$C$4&gt;5, D244/Summary!$C$4&lt;=10),1,0)*E244</f>
        <v>0</v>
      </c>
      <c r="V244" s="27">
        <f t="shared" si="159"/>
        <v>0</v>
      </c>
      <c r="W244" s="27">
        <f>IF(AND(D244/Summary!$C$4&gt;10, D244/Summary!$C$4&lt;=20),1,0)*E244</f>
        <v>0</v>
      </c>
      <c r="X244" s="27">
        <f t="shared" si="160"/>
        <v>0</v>
      </c>
      <c r="Y244" s="27">
        <f>IF(AND(D244/Summary!$C$4&gt;20, D244/Summary!$C$4&lt;=30),1,0)*E244</f>
        <v>0</v>
      </c>
      <c r="Z244" s="27">
        <f t="shared" si="161"/>
        <v>0</v>
      </c>
      <c r="AA244" s="27">
        <f>IF(AND(D244/Summary!$C$4&gt;30, D244/Summary!$C$4&lt;=50),1,0)*E244</f>
        <v>100</v>
      </c>
      <c r="AB244" s="27">
        <f t="shared" si="162"/>
        <v>4090</v>
      </c>
      <c r="AC244" s="27">
        <f>IF(AND(D244/Summary!$C$4&gt;50, D244/Summary!$C$4&lt;=100),1,0)*E244</f>
        <v>0</v>
      </c>
      <c r="AD244" s="27">
        <f t="shared" si="163"/>
        <v>0</v>
      </c>
      <c r="AE244" s="27">
        <f>IF(D244/Summary!$C$4&gt;100,1,0)*E244</f>
        <v>0</v>
      </c>
      <c r="AF244" s="27">
        <f t="shared" si="164"/>
        <v>0</v>
      </c>
      <c r="AG244" s="19">
        <f t="shared" si="165"/>
        <v>100</v>
      </c>
      <c r="AH244" s="19">
        <f t="shared" si="166"/>
        <v>0</v>
      </c>
      <c r="AI244" s="19">
        <f t="shared" si="167"/>
        <v>0</v>
      </c>
      <c r="AJ244" s="27">
        <f t="shared" si="168"/>
        <v>0</v>
      </c>
      <c r="AK244" s="27">
        <f t="shared" si="169"/>
        <v>0</v>
      </c>
      <c r="AL244" s="27">
        <f t="shared" si="170"/>
        <v>0</v>
      </c>
      <c r="AM244">
        <f t="shared" si="171"/>
        <v>0</v>
      </c>
      <c r="AN244">
        <f t="shared" si="172"/>
        <v>0</v>
      </c>
      <c r="AO244">
        <f t="shared" si="173"/>
        <v>0</v>
      </c>
      <c r="AP244">
        <f t="shared" si="174"/>
        <v>0</v>
      </c>
      <c r="AQ244">
        <f t="shared" si="175"/>
        <v>0</v>
      </c>
      <c r="AR244">
        <f t="shared" si="176"/>
        <v>0</v>
      </c>
      <c r="AS244">
        <f t="shared" si="177"/>
        <v>0</v>
      </c>
      <c r="AT244">
        <f t="shared" si="178"/>
        <v>0</v>
      </c>
      <c r="AU244">
        <f t="shared" si="179"/>
        <v>0</v>
      </c>
      <c r="AV244">
        <f t="shared" si="180"/>
        <v>100</v>
      </c>
      <c r="AW244">
        <f t="shared" si="181"/>
        <v>4090</v>
      </c>
      <c r="AX244">
        <f t="shared" si="182"/>
        <v>0</v>
      </c>
      <c r="AY244">
        <f t="shared" si="183"/>
        <v>0</v>
      </c>
      <c r="AZ244">
        <f t="shared" si="184"/>
        <v>0</v>
      </c>
      <c r="BA244">
        <f t="shared" si="185"/>
        <v>0</v>
      </c>
      <c r="BB244">
        <f t="shared" si="186"/>
        <v>0</v>
      </c>
      <c r="BC244">
        <f t="shared" si="187"/>
        <v>0</v>
      </c>
      <c r="BD244">
        <f t="shared" si="188"/>
        <v>0</v>
      </c>
      <c r="BE244">
        <f t="shared" si="189"/>
        <v>0</v>
      </c>
      <c r="BF244">
        <f t="shared" si="190"/>
        <v>0</v>
      </c>
      <c r="BG244">
        <f t="shared" si="191"/>
        <v>0</v>
      </c>
      <c r="BH244">
        <f t="shared" si="192"/>
        <v>0</v>
      </c>
      <c r="BI244">
        <f t="shared" si="193"/>
        <v>0</v>
      </c>
      <c r="BJ244">
        <f t="shared" si="194"/>
        <v>0</v>
      </c>
      <c r="BK244">
        <f t="shared" si="195"/>
        <v>0</v>
      </c>
      <c r="BL244">
        <v>0</v>
      </c>
      <c r="BM244" t="str">
        <f t="shared" si="202"/>
        <v>Big Win</v>
      </c>
      <c r="BN244" s="32" t="str">
        <f t="shared" si="203"/>
        <v>Free Plays A</v>
      </c>
      <c r="BO244">
        <f>(D244/Summary!$C$4-Summary!$C$8)^2*E244</f>
        <v>160560.49</v>
      </c>
      <c r="BP244">
        <f t="shared" si="196"/>
        <v>0</v>
      </c>
      <c r="BQ244">
        <f t="shared" si="197"/>
        <v>0</v>
      </c>
      <c r="BR244">
        <f t="shared" si="198"/>
        <v>0</v>
      </c>
      <c r="BS244">
        <f t="shared" si="199"/>
        <v>0</v>
      </c>
    </row>
    <row r="245" spans="2:71">
      <c r="B245" s="16">
        <f>Tiers!B246</f>
        <v>243</v>
      </c>
      <c r="C245" s="17" t="str">
        <f>Tiers!Y246</f>
        <v>freeplayA-19||||||||| x 1</v>
      </c>
      <c r="D245" s="18">
        <f>Tiers!C246</f>
        <v>48.900000000000006</v>
      </c>
      <c r="E245" s="19">
        <f>Frequency!E247</f>
        <v>100</v>
      </c>
      <c r="F245" s="19">
        <f t="shared" si="153"/>
        <v>4890.0000000000009</v>
      </c>
      <c r="G245" s="19">
        <f>IF(Tiers!D246&gt;1,'Data Analysis'!E245,0)</f>
        <v>0</v>
      </c>
      <c r="H245" s="19">
        <f t="shared" si="154"/>
        <v>0</v>
      </c>
      <c r="I245" s="19">
        <f>IF(AND(D245/Summary!$C$4&gt;0, D245/Summary!$C$4&lt;5),E245,0) * D245</f>
        <v>0</v>
      </c>
      <c r="J245" s="19">
        <f>IF(AND(D245/Summary!$C$4&gt;= 5, D245/Summary!$C$4&lt;10),E245,0) * D245</f>
        <v>0</v>
      </c>
      <c r="K245" s="19">
        <f>IF(AND(D245/Summary!$C$4&gt;=10, D245/Summary!$C$4&lt;25),E245,0)*D245</f>
        <v>0</v>
      </c>
      <c r="L245" s="19">
        <f>IF(D245/Summary!$C$4&gt;=25,E245,0)*D245</f>
        <v>4890.0000000000009</v>
      </c>
      <c r="M245" s="27">
        <f>IF(AND(D245/Summary!$C$4&gt;0, D245/Summary!$C$4&lt;1),E245,0)</f>
        <v>0</v>
      </c>
      <c r="N245" s="27">
        <f t="shared" si="155"/>
        <v>0</v>
      </c>
      <c r="O245" s="27">
        <f>IF(D245/Summary!$C$4=1,1,0)*E245</f>
        <v>0</v>
      </c>
      <c r="P245" s="27">
        <f t="shared" si="156"/>
        <v>0</v>
      </c>
      <c r="Q245" s="27">
        <f>IF(AND(D245/Summary!$C$4&gt;1, D245/Summary!$C$4&lt;=2),1,0)*E245</f>
        <v>0</v>
      </c>
      <c r="R245" s="27">
        <f t="shared" si="157"/>
        <v>0</v>
      </c>
      <c r="S245" s="27">
        <f>IF(AND(D245/Summary!$C$4&gt;2,D245/Summary!$C$4&lt;=5),1,0)*E245</f>
        <v>0</v>
      </c>
      <c r="T245" s="27">
        <f t="shared" si="158"/>
        <v>0</v>
      </c>
      <c r="U245" s="27">
        <f>IF(AND(D245/Summary!$C$4&gt;5, D245/Summary!$C$4&lt;=10),1,0)*E245</f>
        <v>0</v>
      </c>
      <c r="V245" s="27">
        <f t="shared" si="159"/>
        <v>0</v>
      </c>
      <c r="W245" s="27">
        <f>IF(AND(D245/Summary!$C$4&gt;10, D245/Summary!$C$4&lt;=20),1,0)*E245</f>
        <v>0</v>
      </c>
      <c r="X245" s="27">
        <f t="shared" si="160"/>
        <v>0</v>
      </c>
      <c r="Y245" s="27">
        <f>IF(AND(D245/Summary!$C$4&gt;20, D245/Summary!$C$4&lt;=30),1,0)*E245</f>
        <v>0</v>
      </c>
      <c r="Z245" s="27">
        <f t="shared" si="161"/>
        <v>0</v>
      </c>
      <c r="AA245" s="27">
        <f>IF(AND(D245/Summary!$C$4&gt;30, D245/Summary!$C$4&lt;=50),1,0)*E245</f>
        <v>100</v>
      </c>
      <c r="AB245" s="27">
        <f t="shared" si="162"/>
        <v>4890.0000000000009</v>
      </c>
      <c r="AC245" s="27">
        <f>IF(AND(D245/Summary!$C$4&gt;50, D245/Summary!$C$4&lt;=100),1,0)*E245</f>
        <v>0</v>
      </c>
      <c r="AD245" s="27">
        <f t="shared" si="163"/>
        <v>0</v>
      </c>
      <c r="AE245" s="27">
        <f>IF(D245/Summary!$C$4&gt;100,1,0)*E245</f>
        <v>0</v>
      </c>
      <c r="AF245" s="27">
        <f t="shared" si="164"/>
        <v>0</v>
      </c>
      <c r="AG245" s="19">
        <f t="shared" si="165"/>
        <v>100</v>
      </c>
      <c r="AH245" s="19">
        <f t="shared" si="166"/>
        <v>0</v>
      </c>
      <c r="AI245" s="19">
        <f t="shared" si="167"/>
        <v>0</v>
      </c>
      <c r="AJ245" s="27">
        <f t="shared" si="168"/>
        <v>0</v>
      </c>
      <c r="AK245" s="27">
        <f t="shared" si="169"/>
        <v>0</v>
      </c>
      <c r="AL245" s="27">
        <f t="shared" si="170"/>
        <v>0</v>
      </c>
      <c r="AM245">
        <f t="shared" si="171"/>
        <v>0</v>
      </c>
      <c r="AN245">
        <f t="shared" si="172"/>
        <v>0</v>
      </c>
      <c r="AO245">
        <f t="shared" si="173"/>
        <v>0</v>
      </c>
      <c r="AP245">
        <f t="shared" si="174"/>
        <v>0</v>
      </c>
      <c r="AQ245">
        <f t="shared" si="175"/>
        <v>0</v>
      </c>
      <c r="AR245">
        <f t="shared" si="176"/>
        <v>0</v>
      </c>
      <c r="AS245">
        <f t="shared" si="177"/>
        <v>0</v>
      </c>
      <c r="AT245">
        <f t="shared" si="178"/>
        <v>0</v>
      </c>
      <c r="AU245">
        <f t="shared" si="179"/>
        <v>0</v>
      </c>
      <c r="AV245">
        <f t="shared" si="180"/>
        <v>100</v>
      </c>
      <c r="AW245">
        <f t="shared" si="181"/>
        <v>4890.0000000000009</v>
      </c>
      <c r="AX245">
        <f t="shared" si="182"/>
        <v>0</v>
      </c>
      <c r="AY245">
        <f t="shared" si="183"/>
        <v>0</v>
      </c>
      <c r="AZ245">
        <f t="shared" si="184"/>
        <v>0</v>
      </c>
      <c r="BA245">
        <f t="shared" si="185"/>
        <v>0</v>
      </c>
      <c r="BB245">
        <f t="shared" si="186"/>
        <v>0</v>
      </c>
      <c r="BC245">
        <f t="shared" si="187"/>
        <v>0</v>
      </c>
      <c r="BD245">
        <f t="shared" si="188"/>
        <v>0</v>
      </c>
      <c r="BE245">
        <f t="shared" si="189"/>
        <v>0</v>
      </c>
      <c r="BF245">
        <f t="shared" si="190"/>
        <v>0</v>
      </c>
      <c r="BG245">
        <f t="shared" si="191"/>
        <v>0</v>
      </c>
      <c r="BH245">
        <f t="shared" si="192"/>
        <v>0</v>
      </c>
      <c r="BI245">
        <f t="shared" si="193"/>
        <v>0</v>
      </c>
      <c r="BJ245">
        <f t="shared" si="194"/>
        <v>0</v>
      </c>
      <c r="BK245">
        <f t="shared" si="195"/>
        <v>0</v>
      </c>
      <c r="BL245">
        <v>0</v>
      </c>
      <c r="BM245" t="str">
        <f t="shared" si="202"/>
        <v>Big Win</v>
      </c>
      <c r="BN245" s="32" t="str">
        <f t="shared" si="203"/>
        <v>Free Plays A</v>
      </c>
      <c r="BO245">
        <f>(D245/Summary!$C$4-Summary!$C$8)^2*E245</f>
        <v>231072.49000000005</v>
      </c>
      <c r="BP245">
        <f t="shared" si="196"/>
        <v>0</v>
      </c>
      <c r="BQ245">
        <f t="shared" si="197"/>
        <v>0</v>
      </c>
      <c r="BR245">
        <f t="shared" si="198"/>
        <v>0</v>
      </c>
      <c r="BS245">
        <f t="shared" si="199"/>
        <v>0</v>
      </c>
    </row>
    <row r="246" spans="2:71">
      <c r="B246" s="16">
        <f>Tiers!B247</f>
        <v>244</v>
      </c>
      <c r="C246" s="17" t="str">
        <f>Tiers!Y247</f>
        <v>freeplayA-20||||||||| x 1</v>
      </c>
      <c r="D246" s="18">
        <f>Tiers!C247</f>
        <v>66.900000000000006</v>
      </c>
      <c r="E246" s="19">
        <f>Frequency!E248</f>
        <v>5</v>
      </c>
      <c r="F246" s="19">
        <f t="shared" si="153"/>
        <v>334.5</v>
      </c>
      <c r="G246" s="19">
        <f>IF(Tiers!D247&gt;1,'Data Analysis'!E246,0)</f>
        <v>0</v>
      </c>
      <c r="H246" s="19">
        <f t="shared" si="154"/>
        <v>0</v>
      </c>
      <c r="I246" s="19">
        <f>IF(AND(D246/Summary!$C$4&gt;0, D246/Summary!$C$4&lt;5),E246,0) * D246</f>
        <v>0</v>
      </c>
      <c r="J246" s="19">
        <f>IF(AND(D246/Summary!$C$4&gt;= 5, D246/Summary!$C$4&lt;10),E246,0) * D246</f>
        <v>0</v>
      </c>
      <c r="K246" s="19">
        <f>IF(AND(D246/Summary!$C$4&gt;=10, D246/Summary!$C$4&lt;25),E246,0)*D246</f>
        <v>0</v>
      </c>
      <c r="L246" s="19">
        <f>IF(D246/Summary!$C$4&gt;=25,E246,0)*D246</f>
        <v>334.5</v>
      </c>
      <c r="M246" s="27">
        <f>IF(AND(D246/Summary!$C$4&gt;0, D246/Summary!$C$4&lt;1),E246,0)</f>
        <v>0</v>
      </c>
      <c r="N246" s="27">
        <f t="shared" si="155"/>
        <v>0</v>
      </c>
      <c r="O246" s="27">
        <f>IF(D246/Summary!$C$4=1,1,0)*E246</f>
        <v>0</v>
      </c>
      <c r="P246" s="27">
        <f t="shared" si="156"/>
        <v>0</v>
      </c>
      <c r="Q246" s="27">
        <f>IF(AND(D246/Summary!$C$4&gt;1, D246/Summary!$C$4&lt;=2),1,0)*E246</f>
        <v>0</v>
      </c>
      <c r="R246" s="27">
        <f t="shared" si="157"/>
        <v>0</v>
      </c>
      <c r="S246" s="27">
        <f>IF(AND(D246/Summary!$C$4&gt;2,D246/Summary!$C$4&lt;=5),1,0)*E246</f>
        <v>0</v>
      </c>
      <c r="T246" s="27">
        <f t="shared" si="158"/>
        <v>0</v>
      </c>
      <c r="U246" s="27">
        <f>IF(AND(D246/Summary!$C$4&gt;5, D246/Summary!$C$4&lt;=10),1,0)*E246</f>
        <v>0</v>
      </c>
      <c r="V246" s="27">
        <f t="shared" si="159"/>
        <v>0</v>
      </c>
      <c r="W246" s="27">
        <f>IF(AND(D246/Summary!$C$4&gt;10, D246/Summary!$C$4&lt;=20),1,0)*E246</f>
        <v>0</v>
      </c>
      <c r="X246" s="27">
        <f t="shared" si="160"/>
        <v>0</v>
      </c>
      <c r="Y246" s="27">
        <f>IF(AND(D246/Summary!$C$4&gt;20, D246/Summary!$C$4&lt;=30),1,0)*E246</f>
        <v>0</v>
      </c>
      <c r="Z246" s="27">
        <f t="shared" si="161"/>
        <v>0</v>
      </c>
      <c r="AA246" s="27">
        <f>IF(AND(D246/Summary!$C$4&gt;30, D246/Summary!$C$4&lt;=50),1,0)*E246</f>
        <v>0</v>
      </c>
      <c r="AB246" s="27">
        <f t="shared" si="162"/>
        <v>0</v>
      </c>
      <c r="AC246" s="27">
        <f>IF(AND(D246/Summary!$C$4&gt;50, D246/Summary!$C$4&lt;=100),1,0)*E246</f>
        <v>5</v>
      </c>
      <c r="AD246" s="27">
        <f t="shared" si="163"/>
        <v>334.5</v>
      </c>
      <c r="AE246" s="27">
        <f>IF(D246/Summary!$C$4&gt;100,1,0)*E246</f>
        <v>0</v>
      </c>
      <c r="AF246" s="27">
        <f t="shared" si="164"/>
        <v>0</v>
      </c>
      <c r="AG246" s="19">
        <f t="shared" si="165"/>
        <v>5</v>
      </c>
      <c r="AH246" s="19">
        <f t="shared" si="166"/>
        <v>0</v>
      </c>
      <c r="AI246" s="19">
        <f t="shared" si="167"/>
        <v>0</v>
      </c>
      <c r="AJ246" s="27">
        <f t="shared" si="168"/>
        <v>0</v>
      </c>
      <c r="AK246" s="27">
        <f t="shared" si="169"/>
        <v>0</v>
      </c>
      <c r="AL246" s="27">
        <f t="shared" si="170"/>
        <v>0</v>
      </c>
      <c r="AM246">
        <f t="shared" si="171"/>
        <v>0</v>
      </c>
      <c r="AN246">
        <f t="shared" si="172"/>
        <v>0</v>
      </c>
      <c r="AO246">
        <f t="shared" si="173"/>
        <v>0</v>
      </c>
      <c r="AP246">
        <f t="shared" si="174"/>
        <v>0</v>
      </c>
      <c r="AQ246">
        <f t="shared" si="175"/>
        <v>0</v>
      </c>
      <c r="AR246">
        <f t="shared" si="176"/>
        <v>0</v>
      </c>
      <c r="AS246">
        <f t="shared" si="177"/>
        <v>0</v>
      </c>
      <c r="AT246">
        <f t="shared" si="178"/>
        <v>0</v>
      </c>
      <c r="AU246">
        <f t="shared" si="179"/>
        <v>0</v>
      </c>
      <c r="AV246">
        <f t="shared" si="180"/>
        <v>5</v>
      </c>
      <c r="AW246">
        <f t="shared" si="181"/>
        <v>334.5</v>
      </c>
      <c r="AX246">
        <f t="shared" si="182"/>
        <v>0</v>
      </c>
      <c r="AY246">
        <f t="shared" si="183"/>
        <v>0</v>
      </c>
      <c r="AZ246">
        <f t="shared" si="184"/>
        <v>0</v>
      </c>
      <c r="BA246">
        <f t="shared" si="185"/>
        <v>0</v>
      </c>
      <c r="BB246">
        <f t="shared" si="186"/>
        <v>0</v>
      </c>
      <c r="BC246">
        <f t="shared" si="187"/>
        <v>0</v>
      </c>
      <c r="BD246">
        <f t="shared" si="188"/>
        <v>0</v>
      </c>
      <c r="BE246">
        <f t="shared" si="189"/>
        <v>0</v>
      </c>
      <c r="BF246">
        <f t="shared" si="190"/>
        <v>0</v>
      </c>
      <c r="BG246">
        <f t="shared" si="191"/>
        <v>0</v>
      </c>
      <c r="BH246">
        <f t="shared" si="192"/>
        <v>0</v>
      </c>
      <c r="BI246">
        <f t="shared" si="193"/>
        <v>0</v>
      </c>
      <c r="BJ246">
        <f t="shared" si="194"/>
        <v>0</v>
      </c>
      <c r="BK246">
        <f t="shared" si="195"/>
        <v>0</v>
      </c>
      <c r="BL246">
        <v>0</v>
      </c>
      <c r="BM246" t="str">
        <f t="shared" si="202"/>
        <v>Huge Win</v>
      </c>
      <c r="BN246" s="32" t="str">
        <f t="shared" si="203"/>
        <v>Free Plays A</v>
      </c>
      <c r="BO246">
        <f>(D246/Summary!$C$4-Summary!$C$8)^2*E246</f>
        <v>21826.224500000004</v>
      </c>
      <c r="BP246">
        <f t="shared" si="196"/>
        <v>0</v>
      </c>
      <c r="BQ246">
        <f t="shared" si="197"/>
        <v>0</v>
      </c>
      <c r="BR246">
        <f t="shared" si="198"/>
        <v>0</v>
      </c>
      <c r="BS246">
        <f t="shared" si="199"/>
        <v>0</v>
      </c>
    </row>
    <row r="247" spans="2:71">
      <c r="B247" s="16">
        <f>Tiers!B248</f>
        <v>245</v>
      </c>
      <c r="C247" s="17" t="str">
        <f>Tiers!Y248</f>
        <v>freeplayA-21||||||||| x 1</v>
      </c>
      <c r="D247" s="18">
        <f>Tiers!C248</f>
        <v>59.9</v>
      </c>
      <c r="E247" s="19">
        <f>Frequency!E249</f>
        <v>5</v>
      </c>
      <c r="F247" s="19">
        <f t="shared" si="153"/>
        <v>299.5</v>
      </c>
      <c r="G247" s="19">
        <f>IF(Tiers!D248&gt;1,'Data Analysis'!E247,0)</f>
        <v>0</v>
      </c>
      <c r="H247" s="19">
        <f t="shared" si="154"/>
        <v>0</v>
      </c>
      <c r="I247" s="19">
        <f>IF(AND(D247/Summary!$C$4&gt;0, D247/Summary!$C$4&lt;5),E247,0) * D247</f>
        <v>0</v>
      </c>
      <c r="J247" s="19">
        <f>IF(AND(D247/Summary!$C$4&gt;= 5, D247/Summary!$C$4&lt;10),E247,0) * D247</f>
        <v>0</v>
      </c>
      <c r="K247" s="19">
        <f>IF(AND(D247/Summary!$C$4&gt;=10, D247/Summary!$C$4&lt;25),E247,0)*D247</f>
        <v>0</v>
      </c>
      <c r="L247" s="19">
        <f>IF(D247/Summary!$C$4&gt;=25,E247,0)*D247</f>
        <v>299.5</v>
      </c>
      <c r="M247" s="27">
        <f>IF(AND(D247/Summary!$C$4&gt;0, D247/Summary!$C$4&lt;1),E247,0)</f>
        <v>0</v>
      </c>
      <c r="N247" s="27">
        <f t="shared" si="155"/>
        <v>0</v>
      </c>
      <c r="O247" s="27">
        <f>IF(D247/Summary!$C$4=1,1,0)*E247</f>
        <v>0</v>
      </c>
      <c r="P247" s="27">
        <f t="shared" si="156"/>
        <v>0</v>
      </c>
      <c r="Q247" s="27">
        <f>IF(AND(D247/Summary!$C$4&gt;1, D247/Summary!$C$4&lt;=2),1,0)*E247</f>
        <v>0</v>
      </c>
      <c r="R247" s="27">
        <f t="shared" si="157"/>
        <v>0</v>
      </c>
      <c r="S247" s="27">
        <f>IF(AND(D247/Summary!$C$4&gt;2,D247/Summary!$C$4&lt;=5),1,0)*E247</f>
        <v>0</v>
      </c>
      <c r="T247" s="27">
        <f t="shared" si="158"/>
        <v>0</v>
      </c>
      <c r="U247" s="27">
        <f>IF(AND(D247/Summary!$C$4&gt;5, D247/Summary!$C$4&lt;=10),1,0)*E247</f>
        <v>0</v>
      </c>
      <c r="V247" s="27">
        <f t="shared" si="159"/>
        <v>0</v>
      </c>
      <c r="W247" s="27">
        <f>IF(AND(D247/Summary!$C$4&gt;10, D247/Summary!$C$4&lt;=20),1,0)*E247</f>
        <v>0</v>
      </c>
      <c r="X247" s="27">
        <f t="shared" si="160"/>
        <v>0</v>
      </c>
      <c r="Y247" s="27">
        <f>IF(AND(D247/Summary!$C$4&gt;20, D247/Summary!$C$4&lt;=30),1,0)*E247</f>
        <v>0</v>
      </c>
      <c r="Z247" s="27">
        <f t="shared" si="161"/>
        <v>0</v>
      </c>
      <c r="AA247" s="27">
        <f>IF(AND(D247/Summary!$C$4&gt;30, D247/Summary!$C$4&lt;=50),1,0)*E247</f>
        <v>0</v>
      </c>
      <c r="AB247" s="27">
        <f t="shared" si="162"/>
        <v>0</v>
      </c>
      <c r="AC247" s="27">
        <f>IF(AND(D247/Summary!$C$4&gt;50, D247/Summary!$C$4&lt;=100),1,0)*E247</f>
        <v>5</v>
      </c>
      <c r="AD247" s="27">
        <f t="shared" si="163"/>
        <v>299.5</v>
      </c>
      <c r="AE247" s="27">
        <f>IF(D247/Summary!$C$4&gt;100,1,0)*E247</f>
        <v>0</v>
      </c>
      <c r="AF247" s="27">
        <f t="shared" si="164"/>
        <v>0</v>
      </c>
      <c r="AG247" s="19">
        <f t="shared" si="165"/>
        <v>5</v>
      </c>
      <c r="AH247" s="19">
        <f t="shared" si="166"/>
        <v>0</v>
      </c>
      <c r="AI247" s="19">
        <f t="shared" si="167"/>
        <v>0</v>
      </c>
      <c r="AJ247" s="27">
        <f t="shared" si="168"/>
        <v>0</v>
      </c>
      <c r="AK247" s="27">
        <f t="shared" si="169"/>
        <v>0</v>
      </c>
      <c r="AL247" s="27">
        <f t="shared" si="170"/>
        <v>0</v>
      </c>
      <c r="AM247">
        <f t="shared" si="171"/>
        <v>0</v>
      </c>
      <c r="AN247">
        <f t="shared" si="172"/>
        <v>0</v>
      </c>
      <c r="AO247">
        <f t="shared" si="173"/>
        <v>0</v>
      </c>
      <c r="AP247">
        <f t="shared" si="174"/>
        <v>0</v>
      </c>
      <c r="AQ247">
        <f t="shared" si="175"/>
        <v>0</v>
      </c>
      <c r="AR247">
        <f t="shared" si="176"/>
        <v>0</v>
      </c>
      <c r="AS247">
        <f t="shared" si="177"/>
        <v>0</v>
      </c>
      <c r="AT247">
        <f t="shared" si="178"/>
        <v>0</v>
      </c>
      <c r="AU247">
        <f t="shared" si="179"/>
        <v>0</v>
      </c>
      <c r="AV247">
        <f t="shared" si="180"/>
        <v>5</v>
      </c>
      <c r="AW247">
        <f t="shared" si="181"/>
        <v>299.5</v>
      </c>
      <c r="AX247">
        <f t="shared" si="182"/>
        <v>0</v>
      </c>
      <c r="AY247">
        <f t="shared" si="183"/>
        <v>0</v>
      </c>
      <c r="AZ247">
        <f t="shared" si="184"/>
        <v>0</v>
      </c>
      <c r="BA247">
        <f t="shared" si="185"/>
        <v>0</v>
      </c>
      <c r="BB247">
        <f t="shared" si="186"/>
        <v>0</v>
      </c>
      <c r="BC247">
        <f t="shared" si="187"/>
        <v>0</v>
      </c>
      <c r="BD247">
        <f t="shared" si="188"/>
        <v>0</v>
      </c>
      <c r="BE247">
        <f t="shared" si="189"/>
        <v>0</v>
      </c>
      <c r="BF247">
        <f t="shared" si="190"/>
        <v>0</v>
      </c>
      <c r="BG247">
        <f t="shared" si="191"/>
        <v>0</v>
      </c>
      <c r="BH247">
        <f t="shared" si="192"/>
        <v>0</v>
      </c>
      <c r="BI247">
        <f t="shared" si="193"/>
        <v>0</v>
      </c>
      <c r="BJ247">
        <f t="shared" si="194"/>
        <v>0</v>
      </c>
      <c r="BK247">
        <f t="shared" si="195"/>
        <v>0</v>
      </c>
      <c r="BL247">
        <v>0</v>
      </c>
      <c r="BM247" t="str">
        <f t="shared" si="202"/>
        <v>Huge Win</v>
      </c>
      <c r="BN247" s="32" t="str">
        <f t="shared" si="203"/>
        <v>Free Plays A</v>
      </c>
      <c r="BO247">
        <f>(D247/Summary!$C$4-Summary!$C$8)^2*E247</f>
        <v>17446.324500000002</v>
      </c>
      <c r="BP247">
        <f t="shared" si="196"/>
        <v>0</v>
      </c>
      <c r="BQ247">
        <f t="shared" si="197"/>
        <v>0</v>
      </c>
      <c r="BR247">
        <f t="shared" si="198"/>
        <v>0</v>
      </c>
      <c r="BS247">
        <f t="shared" si="199"/>
        <v>0</v>
      </c>
    </row>
    <row r="248" spans="2:71">
      <c r="B248" s="16">
        <f>Tiers!B249</f>
        <v>246</v>
      </c>
      <c r="C248" s="17" t="str">
        <f>Tiers!Y249</f>
        <v>freeplayA-22||||||||| x 1</v>
      </c>
      <c r="D248" s="18">
        <f>Tiers!C249</f>
        <v>65.599999999999994</v>
      </c>
      <c r="E248" s="19">
        <f>Frequency!E250</f>
        <v>5</v>
      </c>
      <c r="F248" s="19">
        <f t="shared" si="153"/>
        <v>328</v>
      </c>
      <c r="G248" s="19">
        <f>IF(Tiers!D249&gt;1,'Data Analysis'!E248,0)</f>
        <v>0</v>
      </c>
      <c r="H248" s="19">
        <f t="shared" si="154"/>
        <v>0</v>
      </c>
      <c r="I248" s="19">
        <f>IF(AND(D248/Summary!$C$4&gt;0, D248/Summary!$C$4&lt;5),E248,0) * D248</f>
        <v>0</v>
      </c>
      <c r="J248" s="19">
        <f>IF(AND(D248/Summary!$C$4&gt;= 5, D248/Summary!$C$4&lt;10),E248,0) * D248</f>
        <v>0</v>
      </c>
      <c r="K248" s="19">
        <f>IF(AND(D248/Summary!$C$4&gt;=10, D248/Summary!$C$4&lt;25),E248,0)*D248</f>
        <v>0</v>
      </c>
      <c r="L248" s="19">
        <f>IF(D248/Summary!$C$4&gt;=25,E248,0)*D248</f>
        <v>328</v>
      </c>
      <c r="M248" s="27">
        <f>IF(AND(D248/Summary!$C$4&gt;0, D248/Summary!$C$4&lt;1),E248,0)</f>
        <v>0</v>
      </c>
      <c r="N248" s="27">
        <f t="shared" si="155"/>
        <v>0</v>
      </c>
      <c r="O248" s="27">
        <f>IF(D248/Summary!$C$4=1,1,0)*E248</f>
        <v>0</v>
      </c>
      <c r="P248" s="27">
        <f t="shared" si="156"/>
        <v>0</v>
      </c>
      <c r="Q248" s="27">
        <f>IF(AND(D248/Summary!$C$4&gt;1, D248/Summary!$C$4&lt;=2),1,0)*E248</f>
        <v>0</v>
      </c>
      <c r="R248" s="27">
        <f t="shared" si="157"/>
        <v>0</v>
      </c>
      <c r="S248" s="27">
        <f>IF(AND(D248/Summary!$C$4&gt;2,D248/Summary!$C$4&lt;=5),1,0)*E248</f>
        <v>0</v>
      </c>
      <c r="T248" s="27">
        <f t="shared" si="158"/>
        <v>0</v>
      </c>
      <c r="U248" s="27">
        <f>IF(AND(D248/Summary!$C$4&gt;5, D248/Summary!$C$4&lt;=10),1,0)*E248</f>
        <v>0</v>
      </c>
      <c r="V248" s="27">
        <f t="shared" si="159"/>
        <v>0</v>
      </c>
      <c r="W248" s="27">
        <f>IF(AND(D248/Summary!$C$4&gt;10, D248/Summary!$C$4&lt;=20),1,0)*E248</f>
        <v>0</v>
      </c>
      <c r="X248" s="27">
        <f t="shared" si="160"/>
        <v>0</v>
      </c>
      <c r="Y248" s="27">
        <f>IF(AND(D248/Summary!$C$4&gt;20, D248/Summary!$C$4&lt;=30),1,0)*E248</f>
        <v>0</v>
      </c>
      <c r="Z248" s="27">
        <f t="shared" si="161"/>
        <v>0</v>
      </c>
      <c r="AA248" s="27">
        <f>IF(AND(D248/Summary!$C$4&gt;30, D248/Summary!$C$4&lt;=50),1,0)*E248</f>
        <v>0</v>
      </c>
      <c r="AB248" s="27">
        <f t="shared" si="162"/>
        <v>0</v>
      </c>
      <c r="AC248" s="27">
        <f>IF(AND(D248/Summary!$C$4&gt;50, D248/Summary!$C$4&lt;=100),1,0)*E248</f>
        <v>5</v>
      </c>
      <c r="AD248" s="27">
        <f t="shared" si="163"/>
        <v>328</v>
      </c>
      <c r="AE248" s="27">
        <f>IF(D248/Summary!$C$4&gt;100,1,0)*E248</f>
        <v>0</v>
      </c>
      <c r="AF248" s="27">
        <f t="shared" si="164"/>
        <v>0</v>
      </c>
      <c r="AG248" s="19">
        <f t="shared" si="165"/>
        <v>5</v>
      </c>
      <c r="AH248" s="19">
        <f t="shared" si="166"/>
        <v>0</v>
      </c>
      <c r="AI248" s="19">
        <f t="shared" si="167"/>
        <v>0</v>
      </c>
      <c r="AJ248" s="27">
        <f t="shared" si="168"/>
        <v>0</v>
      </c>
      <c r="AK248" s="27">
        <f t="shared" si="169"/>
        <v>0</v>
      </c>
      <c r="AL248" s="27">
        <f t="shared" si="170"/>
        <v>0</v>
      </c>
      <c r="AM248">
        <f t="shared" si="171"/>
        <v>0</v>
      </c>
      <c r="AN248">
        <f t="shared" si="172"/>
        <v>0</v>
      </c>
      <c r="AO248">
        <f t="shared" si="173"/>
        <v>0</v>
      </c>
      <c r="AP248">
        <f t="shared" si="174"/>
        <v>0</v>
      </c>
      <c r="AQ248">
        <f t="shared" si="175"/>
        <v>0</v>
      </c>
      <c r="AR248">
        <f t="shared" si="176"/>
        <v>0</v>
      </c>
      <c r="AS248">
        <f t="shared" si="177"/>
        <v>0</v>
      </c>
      <c r="AT248">
        <f t="shared" si="178"/>
        <v>0</v>
      </c>
      <c r="AU248">
        <f t="shared" si="179"/>
        <v>0</v>
      </c>
      <c r="AV248">
        <f t="shared" si="180"/>
        <v>5</v>
      </c>
      <c r="AW248">
        <f t="shared" si="181"/>
        <v>328</v>
      </c>
      <c r="AX248">
        <f t="shared" si="182"/>
        <v>0</v>
      </c>
      <c r="AY248">
        <f t="shared" si="183"/>
        <v>0</v>
      </c>
      <c r="AZ248">
        <f t="shared" si="184"/>
        <v>0</v>
      </c>
      <c r="BA248">
        <f t="shared" si="185"/>
        <v>0</v>
      </c>
      <c r="BB248">
        <f t="shared" si="186"/>
        <v>0</v>
      </c>
      <c r="BC248">
        <f t="shared" si="187"/>
        <v>0</v>
      </c>
      <c r="BD248">
        <f t="shared" si="188"/>
        <v>0</v>
      </c>
      <c r="BE248">
        <f t="shared" si="189"/>
        <v>0</v>
      </c>
      <c r="BF248">
        <f t="shared" si="190"/>
        <v>0</v>
      </c>
      <c r="BG248">
        <f t="shared" si="191"/>
        <v>0</v>
      </c>
      <c r="BH248">
        <f t="shared" si="192"/>
        <v>0</v>
      </c>
      <c r="BI248">
        <f t="shared" si="193"/>
        <v>0</v>
      </c>
      <c r="BJ248">
        <f t="shared" si="194"/>
        <v>0</v>
      </c>
      <c r="BK248">
        <f t="shared" si="195"/>
        <v>0</v>
      </c>
      <c r="BL248">
        <v>0</v>
      </c>
      <c r="BM248" t="str">
        <f t="shared" si="202"/>
        <v>Huge Win</v>
      </c>
      <c r="BN248" s="32" t="str">
        <f t="shared" si="203"/>
        <v>Free Plays A</v>
      </c>
      <c r="BO248">
        <f>(D248/Summary!$C$4-Summary!$C$8)^2*E248</f>
        <v>20975.764499999997</v>
      </c>
      <c r="BP248">
        <f t="shared" si="196"/>
        <v>0</v>
      </c>
      <c r="BQ248">
        <f t="shared" si="197"/>
        <v>0</v>
      </c>
      <c r="BR248">
        <f t="shared" si="198"/>
        <v>0</v>
      </c>
      <c r="BS248">
        <f t="shared" si="199"/>
        <v>0</v>
      </c>
    </row>
    <row r="249" spans="2:71">
      <c r="B249" s="16">
        <f>Tiers!B250</f>
        <v>247</v>
      </c>
      <c r="C249" s="17" t="str">
        <f>Tiers!Y250</f>
        <v>freeplayA-23||||||||| x 1</v>
      </c>
      <c r="D249" s="18">
        <f>Tiers!C250</f>
        <v>66.5</v>
      </c>
      <c r="E249" s="19">
        <f>Frequency!E251</f>
        <v>5</v>
      </c>
      <c r="F249" s="19">
        <f t="shared" si="153"/>
        <v>332.5</v>
      </c>
      <c r="G249" s="19">
        <f>IF(Tiers!D250&gt;1,'Data Analysis'!E249,0)</f>
        <v>0</v>
      </c>
      <c r="H249" s="19">
        <f t="shared" si="154"/>
        <v>0</v>
      </c>
      <c r="I249" s="19">
        <f>IF(AND(D249/Summary!$C$4&gt;0, D249/Summary!$C$4&lt;5),E249,0) * D249</f>
        <v>0</v>
      </c>
      <c r="J249" s="19">
        <f>IF(AND(D249/Summary!$C$4&gt;= 5, D249/Summary!$C$4&lt;10),E249,0) * D249</f>
        <v>0</v>
      </c>
      <c r="K249" s="19">
        <f>IF(AND(D249/Summary!$C$4&gt;=10, D249/Summary!$C$4&lt;25),E249,0)*D249</f>
        <v>0</v>
      </c>
      <c r="L249" s="19">
        <f>IF(D249/Summary!$C$4&gt;=25,E249,0)*D249</f>
        <v>332.5</v>
      </c>
      <c r="M249" s="27">
        <f>IF(AND(D249/Summary!$C$4&gt;0, D249/Summary!$C$4&lt;1),E249,0)</f>
        <v>0</v>
      </c>
      <c r="N249" s="27">
        <f t="shared" si="155"/>
        <v>0</v>
      </c>
      <c r="O249" s="27">
        <f>IF(D249/Summary!$C$4=1,1,0)*E249</f>
        <v>0</v>
      </c>
      <c r="P249" s="27">
        <f t="shared" si="156"/>
        <v>0</v>
      </c>
      <c r="Q249" s="27">
        <f>IF(AND(D249/Summary!$C$4&gt;1, D249/Summary!$C$4&lt;=2),1,0)*E249</f>
        <v>0</v>
      </c>
      <c r="R249" s="27">
        <f t="shared" si="157"/>
        <v>0</v>
      </c>
      <c r="S249" s="27">
        <f>IF(AND(D249/Summary!$C$4&gt;2,D249/Summary!$C$4&lt;=5),1,0)*E249</f>
        <v>0</v>
      </c>
      <c r="T249" s="27">
        <f t="shared" si="158"/>
        <v>0</v>
      </c>
      <c r="U249" s="27">
        <f>IF(AND(D249/Summary!$C$4&gt;5, D249/Summary!$C$4&lt;=10),1,0)*E249</f>
        <v>0</v>
      </c>
      <c r="V249" s="27">
        <f t="shared" si="159"/>
        <v>0</v>
      </c>
      <c r="W249" s="27">
        <f>IF(AND(D249/Summary!$C$4&gt;10, D249/Summary!$C$4&lt;=20),1,0)*E249</f>
        <v>0</v>
      </c>
      <c r="X249" s="27">
        <f t="shared" si="160"/>
        <v>0</v>
      </c>
      <c r="Y249" s="27">
        <f>IF(AND(D249/Summary!$C$4&gt;20, D249/Summary!$C$4&lt;=30),1,0)*E249</f>
        <v>0</v>
      </c>
      <c r="Z249" s="27">
        <f t="shared" si="161"/>
        <v>0</v>
      </c>
      <c r="AA249" s="27">
        <f>IF(AND(D249/Summary!$C$4&gt;30, D249/Summary!$C$4&lt;=50),1,0)*E249</f>
        <v>0</v>
      </c>
      <c r="AB249" s="27">
        <f t="shared" si="162"/>
        <v>0</v>
      </c>
      <c r="AC249" s="27">
        <f>IF(AND(D249/Summary!$C$4&gt;50, D249/Summary!$C$4&lt;=100),1,0)*E249</f>
        <v>5</v>
      </c>
      <c r="AD249" s="27">
        <f t="shared" si="163"/>
        <v>332.5</v>
      </c>
      <c r="AE249" s="27">
        <f>IF(D249/Summary!$C$4&gt;100,1,0)*E249</f>
        <v>0</v>
      </c>
      <c r="AF249" s="27">
        <f t="shared" si="164"/>
        <v>0</v>
      </c>
      <c r="AG249" s="19">
        <f t="shared" si="165"/>
        <v>5</v>
      </c>
      <c r="AH249" s="19">
        <f t="shared" si="166"/>
        <v>0</v>
      </c>
      <c r="AI249" s="19">
        <f t="shared" si="167"/>
        <v>0</v>
      </c>
      <c r="AJ249" s="27">
        <f t="shared" si="168"/>
        <v>0</v>
      </c>
      <c r="AK249" s="27">
        <f t="shared" si="169"/>
        <v>0</v>
      </c>
      <c r="AL249" s="27">
        <f t="shared" si="170"/>
        <v>0</v>
      </c>
      <c r="AM249">
        <f t="shared" si="171"/>
        <v>0</v>
      </c>
      <c r="AN249">
        <f t="shared" si="172"/>
        <v>0</v>
      </c>
      <c r="AO249">
        <f t="shared" si="173"/>
        <v>0</v>
      </c>
      <c r="AP249">
        <f t="shared" si="174"/>
        <v>0</v>
      </c>
      <c r="AQ249">
        <f t="shared" si="175"/>
        <v>0</v>
      </c>
      <c r="AR249">
        <f t="shared" si="176"/>
        <v>0</v>
      </c>
      <c r="AS249">
        <f t="shared" si="177"/>
        <v>0</v>
      </c>
      <c r="AT249">
        <f t="shared" si="178"/>
        <v>0</v>
      </c>
      <c r="AU249">
        <f t="shared" si="179"/>
        <v>0</v>
      </c>
      <c r="AV249">
        <f t="shared" si="180"/>
        <v>5</v>
      </c>
      <c r="AW249">
        <f t="shared" si="181"/>
        <v>332.5</v>
      </c>
      <c r="AX249">
        <f t="shared" si="182"/>
        <v>0</v>
      </c>
      <c r="AY249">
        <f t="shared" si="183"/>
        <v>0</v>
      </c>
      <c r="AZ249">
        <f t="shared" si="184"/>
        <v>0</v>
      </c>
      <c r="BA249">
        <f t="shared" si="185"/>
        <v>0</v>
      </c>
      <c r="BB249">
        <f t="shared" si="186"/>
        <v>0</v>
      </c>
      <c r="BC249">
        <f t="shared" si="187"/>
        <v>0</v>
      </c>
      <c r="BD249">
        <f t="shared" si="188"/>
        <v>0</v>
      </c>
      <c r="BE249">
        <f t="shared" si="189"/>
        <v>0</v>
      </c>
      <c r="BF249">
        <f t="shared" si="190"/>
        <v>0</v>
      </c>
      <c r="BG249">
        <f t="shared" si="191"/>
        <v>0</v>
      </c>
      <c r="BH249">
        <f t="shared" si="192"/>
        <v>0</v>
      </c>
      <c r="BI249">
        <f t="shared" si="193"/>
        <v>0</v>
      </c>
      <c r="BJ249">
        <f t="shared" si="194"/>
        <v>0</v>
      </c>
      <c r="BK249">
        <f t="shared" si="195"/>
        <v>0</v>
      </c>
      <c r="BL249">
        <v>0</v>
      </c>
      <c r="BM249" t="str">
        <f t="shared" si="202"/>
        <v>Huge Win</v>
      </c>
      <c r="BN249" s="32" t="str">
        <f t="shared" si="203"/>
        <v>Free Plays A</v>
      </c>
      <c r="BO249">
        <f>(D249/Summary!$C$4-Summary!$C$8)^2*E249</f>
        <v>21562.744500000001</v>
      </c>
      <c r="BP249">
        <f t="shared" si="196"/>
        <v>0</v>
      </c>
      <c r="BQ249">
        <f t="shared" si="197"/>
        <v>0</v>
      </c>
      <c r="BR249">
        <f t="shared" si="198"/>
        <v>0</v>
      </c>
      <c r="BS249">
        <f t="shared" si="199"/>
        <v>0</v>
      </c>
    </row>
    <row r="250" spans="2:71">
      <c r="B250" s="16">
        <f>Tiers!B251</f>
        <v>248</v>
      </c>
      <c r="C250" s="17" t="str">
        <f>Tiers!Y251</f>
        <v>freeplayA-24||||||||| x 1</v>
      </c>
      <c r="D250" s="18">
        <f>Tiers!C251</f>
        <v>87.9</v>
      </c>
      <c r="E250" s="19">
        <f>Frequency!E252</f>
        <v>5</v>
      </c>
      <c r="F250" s="19">
        <f t="shared" si="153"/>
        <v>439.5</v>
      </c>
      <c r="G250" s="19">
        <f>IF(Tiers!D251&gt;1,'Data Analysis'!E250,0)</f>
        <v>0</v>
      </c>
      <c r="H250" s="19">
        <f t="shared" si="154"/>
        <v>0</v>
      </c>
      <c r="I250" s="19">
        <f>IF(AND(D250/Summary!$C$4&gt;0, D250/Summary!$C$4&lt;5),E250,0) * D250</f>
        <v>0</v>
      </c>
      <c r="J250" s="19">
        <f>IF(AND(D250/Summary!$C$4&gt;= 5, D250/Summary!$C$4&lt;10),E250,0) * D250</f>
        <v>0</v>
      </c>
      <c r="K250" s="19">
        <f>IF(AND(D250/Summary!$C$4&gt;=10, D250/Summary!$C$4&lt;25),E250,0)*D250</f>
        <v>0</v>
      </c>
      <c r="L250" s="19">
        <f>IF(D250/Summary!$C$4&gt;=25,E250,0)*D250</f>
        <v>439.5</v>
      </c>
      <c r="M250" s="27">
        <f>IF(AND(D250/Summary!$C$4&gt;0, D250/Summary!$C$4&lt;1),E250,0)</f>
        <v>0</v>
      </c>
      <c r="N250" s="27">
        <f t="shared" si="155"/>
        <v>0</v>
      </c>
      <c r="O250" s="27">
        <f>IF(D250/Summary!$C$4=1,1,0)*E250</f>
        <v>0</v>
      </c>
      <c r="P250" s="27">
        <f t="shared" si="156"/>
        <v>0</v>
      </c>
      <c r="Q250" s="27">
        <f>IF(AND(D250/Summary!$C$4&gt;1, D250/Summary!$C$4&lt;=2),1,0)*E250</f>
        <v>0</v>
      </c>
      <c r="R250" s="27">
        <f t="shared" si="157"/>
        <v>0</v>
      </c>
      <c r="S250" s="27">
        <f>IF(AND(D250/Summary!$C$4&gt;2,D250/Summary!$C$4&lt;=5),1,0)*E250</f>
        <v>0</v>
      </c>
      <c r="T250" s="27">
        <f t="shared" si="158"/>
        <v>0</v>
      </c>
      <c r="U250" s="27">
        <f>IF(AND(D250/Summary!$C$4&gt;5, D250/Summary!$C$4&lt;=10),1,0)*E250</f>
        <v>0</v>
      </c>
      <c r="V250" s="27">
        <f t="shared" si="159"/>
        <v>0</v>
      </c>
      <c r="W250" s="27">
        <f>IF(AND(D250/Summary!$C$4&gt;10, D250/Summary!$C$4&lt;=20),1,0)*E250</f>
        <v>0</v>
      </c>
      <c r="X250" s="27">
        <f t="shared" si="160"/>
        <v>0</v>
      </c>
      <c r="Y250" s="27">
        <f>IF(AND(D250/Summary!$C$4&gt;20, D250/Summary!$C$4&lt;=30),1,0)*E250</f>
        <v>0</v>
      </c>
      <c r="Z250" s="27">
        <f t="shared" si="161"/>
        <v>0</v>
      </c>
      <c r="AA250" s="27">
        <f>IF(AND(D250/Summary!$C$4&gt;30, D250/Summary!$C$4&lt;=50),1,0)*E250</f>
        <v>0</v>
      </c>
      <c r="AB250" s="27">
        <f t="shared" si="162"/>
        <v>0</v>
      </c>
      <c r="AC250" s="27">
        <f>IF(AND(D250/Summary!$C$4&gt;50, D250/Summary!$C$4&lt;=100),1,0)*E250</f>
        <v>5</v>
      </c>
      <c r="AD250" s="27">
        <f t="shared" si="163"/>
        <v>439.5</v>
      </c>
      <c r="AE250" s="27">
        <f>IF(D250/Summary!$C$4&gt;100,1,0)*E250</f>
        <v>0</v>
      </c>
      <c r="AF250" s="27">
        <f t="shared" si="164"/>
        <v>0</v>
      </c>
      <c r="AG250" s="19">
        <f t="shared" si="165"/>
        <v>5</v>
      </c>
      <c r="AH250" s="19">
        <f t="shared" si="166"/>
        <v>0</v>
      </c>
      <c r="AI250" s="19">
        <f t="shared" si="167"/>
        <v>0</v>
      </c>
      <c r="AJ250" s="27">
        <f t="shared" si="168"/>
        <v>0</v>
      </c>
      <c r="AK250" s="27">
        <f t="shared" si="169"/>
        <v>0</v>
      </c>
      <c r="AL250" s="27">
        <f t="shared" si="170"/>
        <v>0</v>
      </c>
      <c r="AM250">
        <f t="shared" si="171"/>
        <v>0</v>
      </c>
      <c r="AN250">
        <f t="shared" si="172"/>
        <v>0</v>
      </c>
      <c r="AO250">
        <f t="shared" si="173"/>
        <v>0</v>
      </c>
      <c r="AP250">
        <f t="shared" si="174"/>
        <v>0</v>
      </c>
      <c r="AQ250">
        <f t="shared" si="175"/>
        <v>0</v>
      </c>
      <c r="AR250">
        <f t="shared" si="176"/>
        <v>0</v>
      </c>
      <c r="AS250">
        <f t="shared" si="177"/>
        <v>0</v>
      </c>
      <c r="AT250">
        <f t="shared" si="178"/>
        <v>0</v>
      </c>
      <c r="AU250">
        <f t="shared" si="179"/>
        <v>0</v>
      </c>
      <c r="AV250">
        <f t="shared" si="180"/>
        <v>5</v>
      </c>
      <c r="AW250">
        <f t="shared" si="181"/>
        <v>439.5</v>
      </c>
      <c r="AX250">
        <f t="shared" si="182"/>
        <v>0</v>
      </c>
      <c r="AY250">
        <f t="shared" si="183"/>
        <v>0</v>
      </c>
      <c r="AZ250">
        <f t="shared" si="184"/>
        <v>0</v>
      </c>
      <c r="BA250">
        <f t="shared" si="185"/>
        <v>0</v>
      </c>
      <c r="BB250">
        <f t="shared" si="186"/>
        <v>0</v>
      </c>
      <c r="BC250">
        <f t="shared" si="187"/>
        <v>0</v>
      </c>
      <c r="BD250">
        <f t="shared" si="188"/>
        <v>0</v>
      </c>
      <c r="BE250">
        <f t="shared" si="189"/>
        <v>0</v>
      </c>
      <c r="BF250">
        <f t="shared" si="190"/>
        <v>0</v>
      </c>
      <c r="BG250">
        <f t="shared" si="191"/>
        <v>0</v>
      </c>
      <c r="BH250">
        <f t="shared" si="192"/>
        <v>0</v>
      </c>
      <c r="BI250">
        <f t="shared" si="193"/>
        <v>0</v>
      </c>
      <c r="BJ250">
        <f t="shared" si="194"/>
        <v>0</v>
      </c>
      <c r="BK250">
        <f t="shared" si="195"/>
        <v>0</v>
      </c>
      <c r="BL250">
        <v>0</v>
      </c>
      <c r="BM250" t="str">
        <f t="shared" si="202"/>
        <v>Huge Win</v>
      </c>
      <c r="BN250" s="32" t="str">
        <f t="shared" si="203"/>
        <v>Free Plays A</v>
      </c>
      <c r="BO250">
        <f>(D250/Summary!$C$4-Summary!$C$8)^2*E250</f>
        <v>37905.924500000008</v>
      </c>
      <c r="BP250">
        <f t="shared" si="196"/>
        <v>0</v>
      </c>
      <c r="BQ250">
        <f t="shared" si="197"/>
        <v>0</v>
      </c>
      <c r="BR250">
        <f t="shared" si="198"/>
        <v>0</v>
      </c>
      <c r="BS250">
        <f t="shared" si="199"/>
        <v>0</v>
      </c>
    </row>
    <row r="251" spans="2:71">
      <c r="B251" s="16">
        <f>Tiers!B252</f>
        <v>249</v>
      </c>
      <c r="C251" s="17" t="str">
        <f>Tiers!Y252</f>
        <v>freeplayA-25||||||||| x 1</v>
      </c>
      <c r="D251" s="18">
        <f>Tiers!C252</f>
        <v>58.6</v>
      </c>
      <c r="E251" s="19">
        <f>Frequency!E253</f>
        <v>10</v>
      </c>
      <c r="F251" s="19">
        <f t="shared" si="153"/>
        <v>586</v>
      </c>
      <c r="G251" s="19">
        <f>IF(Tiers!D252&gt;1,'Data Analysis'!E251,0)</f>
        <v>0</v>
      </c>
      <c r="H251" s="19">
        <f t="shared" si="154"/>
        <v>0</v>
      </c>
      <c r="I251" s="19">
        <f>IF(AND(D251/Summary!$C$4&gt;0, D251/Summary!$C$4&lt;5),E251,0) * D251</f>
        <v>0</v>
      </c>
      <c r="J251" s="19">
        <f>IF(AND(D251/Summary!$C$4&gt;= 5, D251/Summary!$C$4&lt;10),E251,0) * D251</f>
        <v>0</v>
      </c>
      <c r="K251" s="19">
        <f>IF(AND(D251/Summary!$C$4&gt;=10, D251/Summary!$C$4&lt;25),E251,0)*D251</f>
        <v>0</v>
      </c>
      <c r="L251" s="19">
        <f>IF(D251/Summary!$C$4&gt;=25,E251,0)*D251</f>
        <v>586</v>
      </c>
      <c r="M251" s="27">
        <f>IF(AND(D251/Summary!$C$4&gt;0, D251/Summary!$C$4&lt;1),E251,0)</f>
        <v>0</v>
      </c>
      <c r="N251" s="27">
        <f t="shared" si="155"/>
        <v>0</v>
      </c>
      <c r="O251" s="27">
        <f>IF(D251/Summary!$C$4=1,1,0)*E251</f>
        <v>0</v>
      </c>
      <c r="P251" s="27">
        <f t="shared" si="156"/>
        <v>0</v>
      </c>
      <c r="Q251" s="27">
        <f>IF(AND(D251/Summary!$C$4&gt;1, D251/Summary!$C$4&lt;=2),1,0)*E251</f>
        <v>0</v>
      </c>
      <c r="R251" s="27">
        <f t="shared" si="157"/>
        <v>0</v>
      </c>
      <c r="S251" s="27">
        <f>IF(AND(D251/Summary!$C$4&gt;2,D251/Summary!$C$4&lt;=5),1,0)*E251</f>
        <v>0</v>
      </c>
      <c r="T251" s="27">
        <f t="shared" si="158"/>
        <v>0</v>
      </c>
      <c r="U251" s="27">
        <f>IF(AND(D251/Summary!$C$4&gt;5, D251/Summary!$C$4&lt;=10),1,0)*E251</f>
        <v>0</v>
      </c>
      <c r="V251" s="27">
        <f t="shared" si="159"/>
        <v>0</v>
      </c>
      <c r="W251" s="27">
        <f>IF(AND(D251/Summary!$C$4&gt;10, D251/Summary!$C$4&lt;=20),1,0)*E251</f>
        <v>0</v>
      </c>
      <c r="X251" s="27">
        <f t="shared" si="160"/>
        <v>0</v>
      </c>
      <c r="Y251" s="27">
        <f>IF(AND(D251/Summary!$C$4&gt;20, D251/Summary!$C$4&lt;=30),1,0)*E251</f>
        <v>0</v>
      </c>
      <c r="Z251" s="27">
        <f t="shared" si="161"/>
        <v>0</v>
      </c>
      <c r="AA251" s="27">
        <f>IF(AND(D251/Summary!$C$4&gt;30, D251/Summary!$C$4&lt;=50),1,0)*E251</f>
        <v>0</v>
      </c>
      <c r="AB251" s="27">
        <f t="shared" si="162"/>
        <v>0</v>
      </c>
      <c r="AC251" s="27">
        <f>IF(AND(D251/Summary!$C$4&gt;50, D251/Summary!$C$4&lt;=100),1,0)*E251</f>
        <v>10</v>
      </c>
      <c r="AD251" s="27">
        <f t="shared" si="163"/>
        <v>586</v>
      </c>
      <c r="AE251" s="27">
        <f>IF(D251/Summary!$C$4&gt;100,1,0)*E251</f>
        <v>0</v>
      </c>
      <c r="AF251" s="27">
        <f t="shared" si="164"/>
        <v>0</v>
      </c>
      <c r="AG251" s="19">
        <f t="shared" si="165"/>
        <v>10</v>
      </c>
      <c r="AH251" s="19">
        <f t="shared" si="166"/>
        <v>0</v>
      </c>
      <c r="AI251" s="19">
        <f t="shared" si="167"/>
        <v>0</v>
      </c>
      <c r="AJ251" s="27">
        <f t="shared" si="168"/>
        <v>0</v>
      </c>
      <c r="AK251" s="27">
        <f t="shared" si="169"/>
        <v>0</v>
      </c>
      <c r="AL251" s="27">
        <f t="shared" si="170"/>
        <v>0</v>
      </c>
      <c r="AM251">
        <f t="shared" si="171"/>
        <v>0</v>
      </c>
      <c r="AN251">
        <f t="shared" si="172"/>
        <v>0</v>
      </c>
      <c r="AO251">
        <f t="shared" si="173"/>
        <v>0</v>
      </c>
      <c r="AP251">
        <f t="shared" si="174"/>
        <v>0</v>
      </c>
      <c r="AQ251">
        <f t="shared" si="175"/>
        <v>0</v>
      </c>
      <c r="AR251">
        <f t="shared" si="176"/>
        <v>0</v>
      </c>
      <c r="AS251">
        <f t="shared" si="177"/>
        <v>0</v>
      </c>
      <c r="AT251">
        <f t="shared" si="178"/>
        <v>0</v>
      </c>
      <c r="AU251">
        <f t="shared" si="179"/>
        <v>0</v>
      </c>
      <c r="AV251">
        <f t="shared" si="180"/>
        <v>10</v>
      </c>
      <c r="AW251">
        <f t="shared" si="181"/>
        <v>586</v>
      </c>
      <c r="AX251">
        <f t="shared" si="182"/>
        <v>0</v>
      </c>
      <c r="AY251">
        <f t="shared" si="183"/>
        <v>0</v>
      </c>
      <c r="AZ251">
        <f t="shared" si="184"/>
        <v>0</v>
      </c>
      <c r="BA251">
        <f t="shared" si="185"/>
        <v>0</v>
      </c>
      <c r="BB251">
        <f t="shared" si="186"/>
        <v>0</v>
      </c>
      <c r="BC251">
        <f t="shared" si="187"/>
        <v>0</v>
      </c>
      <c r="BD251">
        <f t="shared" si="188"/>
        <v>0</v>
      </c>
      <c r="BE251">
        <f t="shared" si="189"/>
        <v>0</v>
      </c>
      <c r="BF251">
        <f t="shared" si="190"/>
        <v>0</v>
      </c>
      <c r="BG251">
        <f t="shared" si="191"/>
        <v>0</v>
      </c>
      <c r="BH251">
        <f t="shared" si="192"/>
        <v>0</v>
      </c>
      <c r="BI251">
        <f t="shared" si="193"/>
        <v>0</v>
      </c>
      <c r="BJ251">
        <f t="shared" si="194"/>
        <v>0</v>
      </c>
      <c r="BK251">
        <f t="shared" si="195"/>
        <v>0</v>
      </c>
      <c r="BL251">
        <v>0</v>
      </c>
      <c r="BM251" t="str">
        <f t="shared" si="202"/>
        <v>Huge Win</v>
      </c>
      <c r="BN251" s="32" t="str">
        <f t="shared" si="203"/>
        <v>Free Plays A</v>
      </c>
      <c r="BO251">
        <f>(D251/Summary!$C$4-Summary!$C$8)^2*E251</f>
        <v>33373.729000000007</v>
      </c>
      <c r="BP251">
        <f t="shared" si="196"/>
        <v>0</v>
      </c>
      <c r="BQ251">
        <f t="shared" si="197"/>
        <v>0</v>
      </c>
      <c r="BR251">
        <f t="shared" si="198"/>
        <v>0</v>
      </c>
      <c r="BS251">
        <f t="shared" si="199"/>
        <v>0</v>
      </c>
    </row>
    <row r="252" spans="2:71">
      <c r="B252" s="16">
        <f>Tiers!B253</f>
        <v>250</v>
      </c>
      <c r="C252" s="17" t="str">
        <f>Tiers!Y253</f>
        <v>freeplayA-26||||||||| x 1</v>
      </c>
      <c r="D252" s="18">
        <f>Tiers!C253</f>
        <v>72.800000000000011</v>
      </c>
      <c r="E252" s="19">
        <f>Frequency!E254</f>
        <v>7</v>
      </c>
      <c r="F252" s="19">
        <f t="shared" si="153"/>
        <v>509.60000000000008</v>
      </c>
      <c r="G252" s="19">
        <f>IF(Tiers!D253&gt;1,'Data Analysis'!E252,0)</f>
        <v>0</v>
      </c>
      <c r="H252" s="19">
        <f t="shared" si="154"/>
        <v>0</v>
      </c>
      <c r="I252" s="19">
        <f>IF(AND(D252/Summary!$C$4&gt;0, D252/Summary!$C$4&lt;5),E252,0) * D252</f>
        <v>0</v>
      </c>
      <c r="J252" s="19">
        <f>IF(AND(D252/Summary!$C$4&gt;= 5, D252/Summary!$C$4&lt;10),E252,0) * D252</f>
        <v>0</v>
      </c>
      <c r="K252" s="19">
        <f>IF(AND(D252/Summary!$C$4&gt;=10, D252/Summary!$C$4&lt;25),E252,0)*D252</f>
        <v>0</v>
      </c>
      <c r="L252" s="19">
        <f>IF(D252/Summary!$C$4&gt;=25,E252,0)*D252</f>
        <v>509.60000000000008</v>
      </c>
      <c r="M252" s="27">
        <f>IF(AND(D252/Summary!$C$4&gt;0, D252/Summary!$C$4&lt;1),E252,0)</f>
        <v>0</v>
      </c>
      <c r="N252" s="27">
        <f t="shared" si="155"/>
        <v>0</v>
      </c>
      <c r="O252" s="27">
        <f>IF(D252/Summary!$C$4=1,1,0)*E252</f>
        <v>0</v>
      </c>
      <c r="P252" s="27">
        <f t="shared" si="156"/>
        <v>0</v>
      </c>
      <c r="Q252" s="27">
        <f>IF(AND(D252/Summary!$C$4&gt;1, D252/Summary!$C$4&lt;=2),1,0)*E252</f>
        <v>0</v>
      </c>
      <c r="R252" s="27">
        <f t="shared" si="157"/>
        <v>0</v>
      </c>
      <c r="S252" s="27">
        <f>IF(AND(D252/Summary!$C$4&gt;2,D252/Summary!$C$4&lt;=5),1,0)*E252</f>
        <v>0</v>
      </c>
      <c r="T252" s="27">
        <f t="shared" si="158"/>
        <v>0</v>
      </c>
      <c r="U252" s="27">
        <f>IF(AND(D252/Summary!$C$4&gt;5, D252/Summary!$C$4&lt;=10),1,0)*E252</f>
        <v>0</v>
      </c>
      <c r="V252" s="27">
        <f t="shared" si="159"/>
        <v>0</v>
      </c>
      <c r="W252" s="27">
        <f>IF(AND(D252/Summary!$C$4&gt;10, D252/Summary!$C$4&lt;=20),1,0)*E252</f>
        <v>0</v>
      </c>
      <c r="X252" s="27">
        <f t="shared" si="160"/>
        <v>0</v>
      </c>
      <c r="Y252" s="27">
        <f>IF(AND(D252/Summary!$C$4&gt;20, D252/Summary!$C$4&lt;=30),1,0)*E252</f>
        <v>0</v>
      </c>
      <c r="Z252" s="27">
        <f t="shared" si="161"/>
        <v>0</v>
      </c>
      <c r="AA252" s="27">
        <f>IF(AND(D252/Summary!$C$4&gt;30, D252/Summary!$C$4&lt;=50),1,0)*E252</f>
        <v>0</v>
      </c>
      <c r="AB252" s="27">
        <f t="shared" si="162"/>
        <v>0</v>
      </c>
      <c r="AC252" s="27">
        <f>IF(AND(D252/Summary!$C$4&gt;50, D252/Summary!$C$4&lt;=100),1,0)*E252</f>
        <v>7</v>
      </c>
      <c r="AD252" s="27">
        <f t="shared" si="163"/>
        <v>509.60000000000008</v>
      </c>
      <c r="AE252" s="27">
        <f>IF(D252/Summary!$C$4&gt;100,1,0)*E252</f>
        <v>0</v>
      </c>
      <c r="AF252" s="27">
        <f t="shared" si="164"/>
        <v>0</v>
      </c>
      <c r="AG252" s="19">
        <f t="shared" si="165"/>
        <v>7</v>
      </c>
      <c r="AH252" s="19">
        <f t="shared" si="166"/>
        <v>0</v>
      </c>
      <c r="AI252" s="19">
        <f t="shared" si="167"/>
        <v>0</v>
      </c>
      <c r="AJ252" s="27">
        <f t="shared" si="168"/>
        <v>0</v>
      </c>
      <c r="AK252" s="27">
        <f t="shared" si="169"/>
        <v>0</v>
      </c>
      <c r="AL252" s="27">
        <f t="shared" si="170"/>
        <v>0</v>
      </c>
      <c r="AM252">
        <f t="shared" si="171"/>
        <v>0</v>
      </c>
      <c r="AN252">
        <f t="shared" si="172"/>
        <v>0</v>
      </c>
      <c r="AO252">
        <f t="shared" si="173"/>
        <v>0</v>
      </c>
      <c r="AP252">
        <f t="shared" si="174"/>
        <v>0</v>
      </c>
      <c r="AQ252">
        <f t="shared" si="175"/>
        <v>0</v>
      </c>
      <c r="AR252">
        <f t="shared" si="176"/>
        <v>0</v>
      </c>
      <c r="AS252">
        <f t="shared" si="177"/>
        <v>0</v>
      </c>
      <c r="AT252">
        <f t="shared" si="178"/>
        <v>0</v>
      </c>
      <c r="AU252">
        <f t="shared" si="179"/>
        <v>0</v>
      </c>
      <c r="AV252">
        <f t="shared" si="180"/>
        <v>7</v>
      </c>
      <c r="AW252">
        <f t="shared" si="181"/>
        <v>509.60000000000008</v>
      </c>
      <c r="AX252">
        <f t="shared" si="182"/>
        <v>0</v>
      </c>
      <c r="AY252">
        <f t="shared" si="183"/>
        <v>0</v>
      </c>
      <c r="AZ252">
        <f t="shared" si="184"/>
        <v>0</v>
      </c>
      <c r="BA252">
        <f t="shared" si="185"/>
        <v>0</v>
      </c>
      <c r="BB252">
        <f t="shared" si="186"/>
        <v>0</v>
      </c>
      <c r="BC252">
        <f t="shared" si="187"/>
        <v>0</v>
      </c>
      <c r="BD252">
        <f t="shared" si="188"/>
        <v>0</v>
      </c>
      <c r="BE252">
        <f t="shared" si="189"/>
        <v>0</v>
      </c>
      <c r="BF252">
        <f t="shared" si="190"/>
        <v>0</v>
      </c>
      <c r="BG252">
        <f t="shared" si="191"/>
        <v>0</v>
      </c>
      <c r="BH252">
        <f t="shared" si="192"/>
        <v>0</v>
      </c>
      <c r="BI252">
        <f t="shared" si="193"/>
        <v>0</v>
      </c>
      <c r="BJ252">
        <f t="shared" si="194"/>
        <v>0</v>
      </c>
      <c r="BK252">
        <f t="shared" si="195"/>
        <v>0</v>
      </c>
      <c r="BL252">
        <v>0</v>
      </c>
      <c r="BM252" t="str">
        <f t="shared" si="202"/>
        <v>Huge Win</v>
      </c>
      <c r="BN252" s="32" t="str">
        <f t="shared" si="203"/>
        <v>Free Plays A</v>
      </c>
      <c r="BO252">
        <f>(D252/Summary!$C$4-Summary!$C$8)^2*E252</f>
        <v>36257.766300000018</v>
      </c>
      <c r="BP252">
        <f t="shared" si="196"/>
        <v>0</v>
      </c>
      <c r="BQ252">
        <f t="shared" si="197"/>
        <v>0</v>
      </c>
      <c r="BR252">
        <f t="shared" si="198"/>
        <v>0</v>
      </c>
      <c r="BS252">
        <f t="shared" si="199"/>
        <v>0</v>
      </c>
    </row>
    <row r="253" spans="2:71">
      <c r="B253" s="16">
        <f>Tiers!B254</f>
        <v>251</v>
      </c>
      <c r="C253" s="17" t="str">
        <f>Tiers!Y254</f>
        <v>freeplayA-27||||||||| x 1</v>
      </c>
      <c r="D253" s="18">
        <f>Tiers!C254</f>
        <v>56</v>
      </c>
      <c r="E253" s="19">
        <f>Frequency!E255</f>
        <v>10</v>
      </c>
      <c r="F253" s="19">
        <f t="shared" si="153"/>
        <v>560</v>
      </c>
      <c r="G253" s="19">
        <f>IF(Tiers!D254&gt;1,'Data Analysis'!E253,0)</f>
        <v>0</v>
      </c>
      <c r="H253" s="19">
        <f t="shared" si="154"/>
        <v>0</v>
      </c>
      <c r="I253" s="19">
        <f>IF(AND(D253/Summary!$C$4&gt;0, D253/Summary!$C$4&lt;5),E253,0) * D253</f>
        <v>0</v>
      </c>
      <c r="J253" s="19">
        <f>IF(AND(D253/Summary!$C$4&gt;= 5, D253/Summary!$C$4&lt;10),E253,0) * D253</f>
        <v>0</v>
      </c>
      <c r="K253" s="19">
        <f>IF(AND(D253/Summary!$C$4&gt;=10, D253/Summary!$C$4&lt;25),E253,0)*D253</f>
        <v>0</v>
      </c>
      <c r="L253" s="19">
        <f>IF(D253/Summary!$C$4&gt;=25,E253,0)*D253</f>
        <v>560</v>
      </c>
      <c r="M253" s="27">
        <f>IF(AND(D253/Summary!$C$4&gt;0, D253/Summary!$C$4&lt;1),E253,0)</f>
        <v>0</v>
      </c>
      <c r="N253" s="27">
        <f t="shared" si="155"/>
        <v>0</v>
      </c>
      <c r="O253" s="27">
        <f>IF(D253/Summary!$C$4=1,1,0)*E253</f>
        <v>0</v>
      </c>
      <c r="P253" s="27">
        <f t="shared" si="156"/>
        <v>0</v>
      </c>
      <c r="Q253" s="27">
        <f>IF(AND(D253/Summary!$C$4&gt;1, D253/Summary!$C$4&lt;=2),1,0)*E253</f>
        <v>0</v>
      </c>
      <c r="R253" s="27">
        <f t="shared" si="157"/>
        <v>0</v>
      </c>
      <c r="S253" s="27">
        <f>IF(AND(D253/Summary!$C$4&gt;2,D253/Summary!$C$4&lt;=5),1,0)*E253</f>
        <v>0</v>
      </c>
      <c r="T253" s="27">
        <f t="shared" si="158"/>
        <v>0</v>
      </c>
      <c r="U253" s="27">
        <f>IF(AND(D253/Summary!$C$4&gt;5, D253/Summary!$C$4&lt;=10),1,0)*E253</f>
        <v>0</v>
      </c>
      <c r="V253" s="27">
        <f t="shared" si="159"/>
        <v>0</v>
      </c>
      <c r="W253" s="27">
        <f>IF(AND(D253/Summary!$C$4&gt;10, D253/Summary!$C$4&lt;=20),1,0)*E253</f>
        <v>0</v>
      </c>
      <c r="X253" s="27">
        <f t="shared" si="160"/>
        <v>0</v>
      </c>
      <c r="Y253" s="27">
        <f>IF(AND(D253/Summary!$C$4&gt;20, D253/Summary!$C$4&lt;=30),1,0)*E253</f>
        <v>0</v>
      </c>
      <c r="Z253" s="27">
        <f t="shared" si="161"/>
        <v>0</v>
      </c>
      <c r="AA253" s="27">
        <f>IF(AND(D253/Summary!$C$4&gt;30, D253/Summary!$C$4&lt;=50),1,0)*E253</f>
        <v>0</v>
      </c>
      <c r="AB253" s="27">
        <f t="shared" si="162"/>
        <v>0</v>
      </c>
      <c r="AC253" s="27">
        <f>IF(AND(D253/Summary!$C$4&gt;50, D253/Summary!$C$4&lt;=100),1,0)*E253</f>
        <v>10</v>
      </c>
      <c r="AD253" s="27">
        <f t="shared" si="163"/>
        <v>560</v>
      </c>
      <c r="AE253" s="27">
        <f>IF(D253/Summary!$C$4&gt;100,1,0)*E253</f>
        <v>0</v>
      </c>
      <c r="AF253" s="27">
        <f t="shared" si="164"/>
        <v>0</v>
      </c>
      <c r="AG253" s="19">
        <f t="shared" si="165"/>
        <v>10</v>
      </c>
      <c r="AH253" s="19">
        <f t="shared" si="166"/>
        <v>0</v>
      </c>
      <c r="AI253" s="19">
        <f t="shared" si="167"/>
        <v>0</v>
      </c>
      <c r="AJ253" s="27">
        <f t="shared" si="168"/>
        <v>0</v>
      </c>
      <c r="AK253" s="27">
        <f t="shared" si="169"/>
        <v>0</v>
      </c>
      <c r="AL253" s="27">
        <f t="shared" si="170"/>
        <v>0</v>
      </c>
      <c r="AM253">
        <f t="shared" si="171"/>
        <v>0</v>
      </c>
      <c r="AN253">
        <f t="shared" si="172"/>
        <v>0</v>
      </c>
      <c r="AO253">
        <f t="shared" si="173"/>
        <v>0</v>
      </c>
      <c r="AP253">
        <f t="shared" si="174"/>
        <v>0</v>
      </c>
      <c r="AQ253">
        <f t="shared" si="175"/>
        <v>0</v>
      </c>
      <c r="AR253">
        <f t="shared" si="176"/>
        <v>0</v>
      </c>
      <c r="AS253">
        <f t="shared" si="177"/>
        <v>0</v>
      </c>
      <c r="AT253">
        <f t="shared" si="178"/>
        <v>0</v>
      </c>
      <c r="AU253">
        <f t="shared" si="179"/>
        <v>0</v>
      </c>
      <c r="AV253">
        <f t="shared" si="180"/>
        <v>10</v>
      </c>
      <c r="AW253">
        <f t="shared" si="181"/>
        <v>560</v>
      </c>
      <c r="AX253">
        <f t="shared" si="182"/>
        <v>0</v>
      </c>
      <c r="AY253">
        <f t="shared" si="183"/>
        <v>0</v>
      </c>
      <c r="AZ253">
        <f t="shared" si="184"/>
        <v>0</v>
      </c>
      <c r="BA253">
        <f t="shared" si="185"/>
        <v>0</v>
      </c>
      <c r="BB253">
        <f t="shared" si="186"/>
        <v>0</v>
      </c>
      <c r="BC253">
        <f t="shared" si="187"/>
        <v>0</v>
      </c>
      <c r="BD253">
        <f t="shared" si="188"/>
        <v>0</v>
      </c>
      <c r="BE253">
        <f t="shared" si="189"/>
        <v>0</v>
      </c>
      <c r="BF253">
        <f t="shared" si="190"/>
        <v>0</v>
      </c>
      <c r="BG253">
        <f t="shared" si="191"/>
        <v>0</v>
      </c>
      <c r="BH253">
        <f t="shared" si="192"/>
        <v>0</v>
      </c>
      <c r="BI253">
        <f t="shared" si="193"/>
        <v>0</v>
      </c>
      <c r="BJ253">
        <f t="shared" si="194"/>
        <v>0</v>
      </c>
      <c r="BK253">
        <f t="shared" si="195"/>
        <v>0</v>
      </c>
      <c r="BL253">
        <v>0</v>
      </c>
      <c r="BM253" t="str">
        <f t="shared" si="202"/>
        <v>Huge Win</v>
      </c>
      <c r="BN253" s="32" t="str">
        <f t="shared" si="203"/>
        <v>Free Plays A</v>
      </c>
      <c r="BO253">
        <f>(D253/Summary!$C$4-Summary!$C$8)^2*E253</f>
        <v>30437.289000000001</v>
      </c>
      <c r="BP253">
        <f t="shared" si="196"/>
        <v>0</v>
      </c>
      <c r="BQ253">
        <f t="shared" si="197"/>
        <v>0</v>
      </c>
      <c r="BR253">
        <f t="shared" si="198"/>
        <v>0</v>
      </c>
      <c r="BS253">
        <f t="shared" si="199"/>
        <v>0</v>
      </c>
    </row>
    <row r="254" spans="2:71">
      <c r="B254" s="16">
        <f>Tiers!B255</f>
        <v>252</v>
      </c>
      <c r="C254" s="17" t="str">
        <f>Tiers!Y255</f>
        <v>freeplayA-28||||||||| x 1</v>
      </c>
      <c r="D254" s="18">
        <f>Tiers!C255</f>
        <v>44.1</v>
      </c>
      <c r="E254" s="19">
        <f>Frequency!E256</f>
        <v>14</v>
      </c>
      <c r="F254" s="19">
        <f t="shared" si="153"/>
        <v>617.4</v>
      </c>
      <c r="G254" s="19">
        <f>IF(Tiers!D255&gt;1,'Data Analysis'!E254,0)</f>
        <v>0</v>
      </c>
      <c r="H254" s="19">
        <f t="shared" si="154"/>
        <v>0</v>
      </c>
      <c r="I254" s="19">
        <f>IF(AND(D254/Summary!$C$4&gt;0, D254/Summary!$C$4&lt;5),E254,0) * D254</f>
        <v>0</v>
      </c>
      <c r="J254" s="19">
        <f>IF(AND(D254/Summary!$C$4&gt;= 5, D254/Summary!$C$4&lt;10),E254,0) * D254</f>
        <v>0</v>
      </c>
      <c r="K254" s="19">
        <f>IF(AND(D254/Summary!$C$4&gt;=10, D254/Summary!$C$4&lt;25),E254,0)*D254</f>
        <v>0</v>
      </c>
      <c r="L254" s="19">
        <f>IF(D254/Summary!$C$4&gt;=25,E254,0)*D254</f>
        <v>617.4</v>
      </c>
      <c r="M254" s="27">
        <f>IF(AND(D254/Summary!$C$4&gt;0, D254/Summary!$C$4&lt;1),E254,0)</f>
        <v>0</v>
      </c>
      <c r="N254" s="27">
        <f t="shared" si="155"/>
        <v>0</v>
      </c>
      <c r="O254" s="27">
        <f>IF(D254/Summary!$C$4=1,1,0)*E254</f>
        <v>0</v>
      </c>
      <c r="P254" s="27">
        <f t="shared" si="156"/>
        <v>0</v>
      </c>
      <c r="Q254" s="27">
        <f>IF(AND(D254/Summary!$C$4&gt;1, D254/Summary!$C$4&lt;=2),1,0)*E254</f>
        <v>0</v>
      </c>
      <c r="R254" s="27">
        <f t="shared" si="157"/>
        <v>0</v>
      </c>
      <c r="S254" s="27">
        <f>IF(AND(D254/Summary!$C$4&gt;2,D254/Summary!$C$4&lt;=5),1,0)*E254</f>
        <v>0</v>
      </c>
      <c r="T254" s="27">
        <f t="shared" si="158"/>
        <v>0</v>
      </c>
      <c r="U254" s="27">
        <f>IF(AND(D254/Summary!$C$4&gt;5, D254/Summary!$C$4&lt;=10),1,0)*E254</f>
        <v>0</v>
      </c>
      <c r="V254" s="27">
        <f t="shared" si="159"/>
        <v>0</v>
      </c>
      <c r="W254" s="27">
        <f>IF(AND(D254/Summary!$C$4&gt;10, D254/Summary!$C$4&lt;=20),1,0)*E254</f>
        <v>0</v>
      </c>
      <c r="X254" s="27">
        <f t="shared" si="160"/>
        <v>0</v>
      </c>
      <c r="Y254" s="27">
        <f>IF(AND(D254/Summary!$C$4&gt;20, D254/Summary!$C$4&lt;=30),1,0)*E254</f>
        <v>0</v>
      </c>
      <c r="Z254" s="27">
        <f t="shared" si="161"/>
        <v>0</v>
      </c>
      <c r="AA254" s="27">
        <f>IF(AND(D254/Summary!$C$4&gt;30, D254/Summary!$C$4&lt;=50),1,0)*E254</f>
        <v>14</v>
      </c>
      <c r="AB254" s="27">
        <f t="shared" si="162"/>
        <v>617.4</v>
      </c>
      <c r="AC254" s="27">
        <f>IF(AND(D254/Summary!$C$4&gt;50, D254/Summary!$C$4&lt;=100),1,0)*E254</f>
        <v>0</v>
      </c>
      <c r="AD254" s="27">
        <f t="shared" si="163"/>
        <v>0</v>
      </c>
      <c r="AE254" s="27">
        <f>IF(D254/Summary!$C$4&gt;100,1,0)*E254</f>
        <v>0</v>
      </c>
      <c r="AF254" s="27">
        <f t="shared" si="164"/>
        <v>0</v>
      </c>
      <c r="AG254" s="19">
        <f t="shared" si="165"/>
        <v>14</v>
      </c>
      <c r="AH254" s="19">
        <f t="shared" si="166"/>
        <v>0</v>
      </c>
      <c r="AI254" s="19">
        <f t="shared" si="167"/>
        <v>0</v>
      </c>
      <c r="AJ254" s="27">
        <f t="shared" si="168"/>
        <v>0</v>
      </c>
      <c r="AK254" s="27">
        <f t="shared" si="169"/>
        <v>0</v>
      </c>
      <c r="AL254" s="27">
        <f t="shared" si="170"/>
        <v>0</v>
      </c>
      <c r="AM254">
        <f t="shared" si="171"/>
        <v>0</v>
      </c>
      <c r="AN254">
        <f t="shared" si="172"/>
        <v>0</v>
      </c>
      <c r="AO254">
        <f t="shared" si="173"/>
        <v>0</v>
      </c>
      <c r="AP254">
        <f t="shared" si="174"/>
        <v>0</v>
      </c>
      <c r="AQ254">
        <f t="shared" si="175"/>
        <v>0</v>
      </c>
      <c r="AR254">
        <f t="shared" si="176"/>
        <v>0</v>
      </c>
      <c r="AS254">
        <f t="shared" si="177"/>
        <v>0</v>
      </c>
      <c r="AT254">
        <f t="shared" si="178"/>
        <v>0</v>
      </c>
      <c r="AU254">
        <f t="shared" si="179"/>
        <v>0</v>
      </c>
      <c r="AV254">
        <f t="shared" si="180"/>
        <v>14</v>
      </c>
      <c r="AW254">
        <f t="shared" si="181"/>
        <v>617.4</v>
      </c>
      <c r="AX254">
        <f t="shared" si="182"/>
        <v>0</v>
      </c>
      <c r="AY254">
        <f t="shared" si="183"/>
        <v>0</v>
      </c>
      <c r="AZ254">
        <f t="shared" si="184"/>
        <v>0</v>
      </c>
      <c r="BA254">
        <f t="shared" si="185"/>
        <v>0</v>
      </c>
      <c r="BB254">
        <f t="shared" si="186"/>
        <v>0</v>
      </c>
      <c r="BC254">
        <f t="shared" si="187"/>
        <v>0</v>
      </c>
      <c r="BD254">
        <f t="shared" si="188"/>
        <v>0</v>
      </c>
      <c r="BE254">
        <f t="shared" si="189"/>
        <v>0</v>
      </c>
      <c r="BF254">
        <f t="shared" si="190"/>
        <v>0</v>
      </c>
      <c r="BG254">
        <f t="shared" si="191"/>
        <v>0</v>
      </c>
      <c r="BH254">
        <f t="shared" si="192"/>
        <v>0</v>
      </c>
      <c r="BI254">
        <f t="shared" si="193"/>
        <v>0</v>
      </c>
      <c r="BJ254">
        <f t="shared" si="194"/>
        <v>0</v>
      </c>
      <c r="BK254">
        <f t="shared" si="195"/>
        <v>0</v>
      </c>
      <c r="BL254">
        <v>0</v>
      </c>
      <c r="BM254" t="str">
        <f t="shared" si="202"/>
        <v>Big Win</v>
      </c>
      <c r="BN254" s="32" t="str">
        <f t="shared" si="203"/>
        <v>Free Plays A</v>
      </c>
      <c r="BO254">
        <f>(D254/Summary!$C$4-Summary!$C$8)^2*E254</f>
        <v>26212.100600000005</v>
      </c>
      <c r="BP254">
        <f t="shared" si="196"/>
        <v>0</v>
      </c>
      <c r="BQ254">
        <f t="shared" si="197"/>
        <v>0</v>
      </c>
      <c r="BR254">
        <f t="shared" si="198"/>
        <v>0</v>
      </c>
      <c r="BS254">
        <f t="shared" si="199"/>
        <v>0</v>
      </c>
    </row>
    <row r="255" spans="2:71">
      <c r="B255" s="16">
        <f>Tiers!B256</f>
        <v>253</v>
      </c>
      <c r="C255" s="17" t="str">
        <f>Tiers!Y256</f>
        <v>freeplayA-29||||||||| x 1</v>
      </c>
      <c r="D255" s="18">
        <f>Tiers!C256</f>
        <v>81.5</v>
      </c>
      <c r="E255" s="19">
        <f>Frequency!E257</f>
        <v>6</v>
      </c>
      <c r="F255" s="19">
        <f t="shared" si="153"/>
        <v>489</v>
      </c>
      <c r="G255" s="19">
        <f>IF(Tiers!D256&gt;1,'Data Analysis'!E255,0)</f>
        <v>0</v>
      </c>
      <c r="H255" s="19">
        <f t="shared" si="154"/>
        <v>0</v>
      </c>
      <c r="I255" s="19">
        <f>IF(AND(D255/Summary!$C$4&gt;0, D255/Summary!$C$4&lt;5),E255,0) * D255</f>
        <v>0</v>
      </c>
      <c r="J255" s="19">
        <f>IF(AND(D255/Summary!$C$4&gt;= 5, D255/Summary!$C$4&lt;10),E255,0) * D255</f>
        <v>0</v>
      </c>
      <c r="K255" s="19">
        <f>IF(AND(D255/Summary!$C$4&gt;=10, D255/Summary!$C$4&lt;25),E255,0)*D255</f>
        <v>0</v>
      </c>
      <c r="L255" s="19">
        <f>IF(D255/Summary!$C$4&gt;=25,E255,0)*D255</f>
        <v>489</v>
      </c>
      <c r="M255" s="27">
        <f>IF(AND(D255/Summary!$C$4&gt;0, D255/Summary!$C$4&lt;1),E255,0)</f>
        <v>0</v>
      </c>
      <c r="N255" s="27">
        <f t="shared" si="155"/>
        <v>0</v>
      </c>
      <c r="O255" s="27">
        <f>IF(D255/Summary!$C$4=1,1,0)*E255</f>
        <v>0</v>
      </c>
      <c r="P255" s="27">
        <f t="shared" si="156"/>
        <v>0</v>
      </c>
      <c r="Q255" s="27">
        <f>IF(AND(D255/Summary!$C$4&gt;1, D255/Summary!$C$4&lt;=2),1,0)*E255</f>
        <v>0</v>
      </c>
      <c r="R255" s="27">
        <f t="shared" si="157"/>
        <v>0</v>
      </c>
      <c r="S255" s="27">
        <f>IF(AND(D255/Summary!$C$4&gt;2,D255/Summary!$C$4&lt;=5),1,0)*E255</f>
        <v>0</v>
      </c>
      <c r="T255" s="27">
        <f t="shared" si="158"/>
        <v>0</v>
      </c>
      <c r="U255" s="27">
        <f>IF(AND(D255/Summary!$C$4&gt;5, D255/Summary!$C$4&lt;=10),1,0)*E255</f>
        <v>0</v>
      </c>
      <c r="V255" s="27">
        <f t="shared" si="159"/>
        <v>0</v>
      </c>
      <c r="W255" s="27">
        <f>IF(AND(D255/Summary!$C$4&gt;10, D255/Summary!$C$4&lt;=20),1,0)*E255</f>
        <v>0</v>
      </c>
      <c r="X255" s="27">
        <f t="shared" si="160"/>
        <v>0</v>
      </c>
      <c r="Y255" s="27">
        <f>IF(AND(D255/Summary!$C$4&gt;20, D255/Summary!$C$4&lt;=30),1,0)*E255</f>
        <v>0</v>
      </c>
      <c r="Z255" s="27">
        <f t="shared" si="161"/>
        <v>0</v>
      </c>
      <c r="AA255" s="27">
        <f>IF(AND(D255/Summary!$C$4&gt;30, D255/Summary!$C$4&lt;=50),1,0)*E255</f>
        <v>0</v>
      </c>
      <c r="AB255" s="27">
        <f t="shared" si="162"/>
        <v>0</v>
      </c>
      <c r="AC255" s="27">
        <f>IF(AND(D255/Summary!$C$4&gt;50, D255/Summary!$C$4&lt;=100),1,0)*E255</f>
        <v>6</v>
      </c>
      <c r="AD255" s="27">
        <f t="shared" si="163"/>
        <v>489</v>
      </c>
      <c r="AE255" s="27">
        <f>IF(D255/Summary!$C$4&gt;100,1,0)*E255</f>
        <v>0</v>
      </c>
      <c r="AF255" s="27">
        <f t="shared" si="164"/>
        <v>0</v>
      </c>
      <c r="AG255" s="19">
        <f t="shared" si="165"/>
        <v>6</v>
      </c>
      <c r="AH255" s="19">
        <f t="shared" si="166"/>
        <v>0</v>
      </c>
      <c r="AI255" s="19">
        <f t="shared" si="167"/>
        <v>0</v>
      </c>
      <c r="AJ255" s="27">
        <f t="shared" si="168"/>
        <v>0</v>
      </c>
      <c r="AK255" s="27">
        <f t="shared" si="169"/>
        <v>0</v>
      </c>
      <c r="AL255" s="27">
        <f t="shared" si="170"/>
        <v>0</v>
      </c>
      <c r="AM255">
        <f t="shared" si="171"/>
        <v>0</v>
      </c>
      <c r="AN255">
        <f t="shared" si="172"/>
        <v>0</v>
      </c>
      <c r="AO255">
        <f t="shared" si="173"/>
        <v>0</v>
      </c>
      <c r="AP255">
        <f t="shared" si="174"/>
        <v>0</v>
      </c>
      <c r="AQ255">
        <f t="shared" si="175"/>
        <v>0</v>
      </c>
      <c r="AR255">
        <f t="shared" si="176"/>
        <v>0</v>
      </c>
      <c r="AS255">
        <f t="shared" si="177"/>
        <v>0</v>
      </c>
      <c r="AT255">
        <f t="shared" si="178"/>
        <v>0</v>
      </c>
      <c r="AU255">
        <f t="shared" si="179"/>
        <v>0</v>
      </c>
      <c r="AV255">
        <f t="shared" si="180"/>
        <v>6</v>
      </c>
      <c r="AW255">
        <f t="shared" si="181"/>
        <v>489</v>
      </c>
      <c r="AX255">
        <f t="shared" si="182"/>
        <v>0</v>
      </c>
      <c r="AY255">
        <f t="shared" si="183"/>
        <v>0</v>
      </c>
      <c r="AZ255">
        <f t="shared" si="184"/>
        <v>0</v>
      </c>
      <c r="BA255">
        <f t="shared" si="185"/>
        <v>0</v>
      </c>
      <c r="BB255">
        <f t="shared" si="186"/>
        <v>0</v>
      </c>
      <c r="BC255">
        <f t="shared" si="187"/>
        <v>0</v>
      </c>
      <c r="BD255">
        <f t="shared" si="188"/>
        <v>0</v>
      </c>
      <c r="BE255">
        <f t="shared" si="189"/>
        <v>0</v>
      </c>
      <c r="BF255">
        <f t="shared" si="190"/>
        <v>0</v>
      </c>
      <c r="BG255">
        <f t="shared" si="191"/>
        <v>0</v>
      </c>
      <c r="BH255">
        <f t="shared" si="192"/>
        <v>0</v>
      </c>
      <c r="BI255">
        <f t="shared" si="193"/>
        <v>0</v>
      </c>
      <c r="BJ255">
        <f t="shared" si="194"/>
        <v>0</v>
      </c>
      <c r="BK255">
        <f t="shared" si="195"/>
        <v>0</v>
      </c>
      <c r="BL255">
        <v>0</v>
      </c>
      <c r="BM255" t="str">
        <f t="shared" si="202"/>
        <v>Huge Win</v>
      </c>
      <c r="BN255" s="32" t="str">
        <f t="shared" si="203"/>
        <v>Free Plays A</v>
      </c>
      <c r="BO255">
        <f>(D255/Summary!$C$4-Summary!$C$8)^2*E255</f>
        <v>39045.893400000001</v>
      </c>
      <c r="BP255">
        <f t="shared" si="196"/>
        <v>0</v>
      </c>
      <c r="BQ255">
        <f t="shared" si="197"/>
        <v>0</v>
      </c>
      <c r="BR255">
        <f t="shared" si="198"/>
        <v>0</v>
      </c>
      <c r="BS255">
        <f t="shared" si="199"/>
        <v>0</v>
      </c>
    </row>
    <row r="256" spans="2:71">
      <c r="B256" s="16">
        <f>Tiers!B257</f>
        <v>254</v>
      </c>
      <c r="C256" s="17" t="str">
        <f>Tiers!Y257</f>
        <v>freeplayA-30||||||||| x 1</v>
      </c>
      <c r="D256" s="18">
        <f>Tiers!C257</f>
        <v>46.9</v>
      </c>
      <c r="E256" s="19">
        <f>Frequency!E258</f>
        <v>100</v>
      </c>
      <c r="F256" s="19">
        <f t="shared" si="153"/>
        <v>4690</v>
      </c>
      <c r="G256" s="19">
        <f>IF(Tiers!D257&gt;1,'Data Analysis'!E256,0)</f>
        <v>0</v>
      </c>
      <c r="H256" s="19">
        <f t="shared" si="154"/>
        <v>0</v>
      </c>
      <c r="I256" s="19">
        <f>IF(AND(D256/Summary!$C$4&gt;0, D256/Summary!$C$4&lt;5),E256,0) * D256</f>
        <v>0</v>
      </c>
      <c r="J256" s="19">
        <f>IF(AND(D256/Summary!$C$4&gt;= 5, D256/Summary!$C$4&lt;10),E256,0) * D256</f>
        <v>0</v>
      </c>
      <c r="K256" s="19">
        <f>IF(AND(D256/Summary!$C$4&gt;=10, D256/Summary!$C$4&lt;25),E256,0)*D256</f>
        <v>0</v>
      </c>
      <c r="L256" s="19">
        <f>IF(D256/Summary!$C$4&gt;=25,E256,0)*D256</f>
        <v>4690</v>
      </c>
      <c r="M256" s="27">
        <f>IF(AND(D256/Summary!$C$4&gt;0, D256/Summary!$C$4&lt;1),E256,0)</f>
        <v>0</v>
      </c>
      <c r="N256" s="27">
        <f t="shared" si="155"/>
        <v>0</v>
      </c>
      <c r="O256" s="27">
        <f>IF(D256/Summary!$C$4=1,1,0)*E256</f>
        <v>0</v>
      </c>
      <c r="P256" s="27">
        <f t="shared" si="156"/>
        <v>0</v>
      </c>
      <c r="Q256" s="27">
        <f>IF(AND(D256/Summary!$C$4&gt;1, D256/Summary!$C$4&lt;=2),1,0)*E256</f>
        <v>0</v>
      </c>
      <c r="R256" s="27">
        <f t="shared" si="157"/>
        <v>0</v>
      </c>
      <c r="S256" s="27">
        <f>IF(AND(D256/Summary!$C$4&gt;2,D256/Summary!$C$4&lt;=5),1,0)*E256</f>
        <v>0</v>
      </c>
      <c r="T256" s="27">
        <f t="shared" si="158"/>
        <v>0</v>
      </c>
      <c r="U256" s="27">
        <f>IF(AND(D256/Summary!$C$4&gt;5, D256/Summary!$C$4&lt;=10),1,0)*E256</f>
        <v>0</v>
      </c>
      <c r="V256" s="27">
        <f t="shared" si="159"/>
        <v>0</v>
      </c>
      <c r="W256" s="27">
        <f>IF(AND(D256/Summary!$C$4&gt;10, D256/Summary!$C$4&lt;=20),1,0)*E256</f>
        <v>0</v>
      </c>
      <c r="X256" s="27">
        <f t="shared" si="160"/>
        <v>0</v>
      </c>
      <c r="Y256" s="27">
        <f>IF(AND(D256/Summary!$C$4&gt;20, D256/Summary!$C$4&lt;=30),1,0)*E256</f>
        <v>0</v>
      </c>
      <c r="Z256" s="27">
        <f t="shared" si="161"/>
        <v>0</v>
      </c>
      <c r="AA256" s="27">
        <f>IF(AND(D256/Summary!$C$4&gt;30, D256/Summary!$C$4&lt;=50),1,0)*E256</f>
        <v>100</v>
      </c>
      <c r="AB256" s="27">
        <f t="shared" si="162"/>
        <v>4690</v>
      </c>
      <c r="AC256" s="27">
        <f>IF(AND(D256/Summary!$C$4&gt;50, D256/Summary!$C$4&lt;=100),1,0)*E256</f>
        <v>0</v>
      </c>
      <c r="AD256" s="27">
        <f t="shared" si="163"/>
        <v>0</v>
      </c>
      <c r="AE256" s="27">
        <f>IF(D256/Summary!$C$4&gt;100,1,0)*E256</f>
        <v>0</v>
      </c>
      <c r="AF256" s="27">
        <f t="shared" si="164"/>
        <v>0</v>
      </c>
      <c r="AG256" s="19">
        <f t="shared" si="165"/>
        <v>100</v>
      </c>
      <c r="AH256" s="19">
        <f t="shared" si="166"/>
        <v>0</v>
      </c>
      <c r="AI256" s="19">
        <f t="shared" si="167"/>
        <v>0</v>
      </c>
      <c r="AJ256" s="27">
        <f t="shared" si="168"/>
        <v>0</v>
      </c>
      <c r="AK256" s="27">
        <f t="shared" si="169"/>
        <v>0</v>
      </c>
      <c r="AL256" s="27">
        <f t="shared" si="170"/>
        <v>0</v>
      </c>
      <c r="AM256">
        <f t="shared" si="171"/>
        <v>0</v>
      </c>
      <c r="AN256">
        <f t="shared" si="172"/>
        <v>0</v>
      </c>
      <c r="AO256">
        <f t="shared" si="173"/>
        <v>0</v>
      </c>
      <c r="AP256">
        <f t="shared" si="174"/>
        <v>0</v>
      </c>
      <c r="AQ256">
        <f t="shared" si="175"/>
        <v>0</v>
      </c>
      <c r="AR256">
        <f t="shared" si="176"/>
        <v>0</v>
      </c>
      <c r="AS256">
        <f t="shared" si="177"/>
        <v>0</v>
      </c>
      <c r="AT256">
        <f t="shared" si="178"/>
        <v>0</v>
      </c>
      <c r="AU256">
        <f t="shared" si="179"/>
        <v>0</v>
      </c>
      <c r="AV256">
        <f t="shared" si="180"/>
        <v>100</v>
      </c>
      <c r="AW256">
        <f t="shared" si="181"/>
        <v>4690</v>
      </c>
      <c r="AX256">
        <f t="shared" si="182"/>
        <v>0</v>
      </c>
      <c r="AY256">
        <f t="shared" si="183"/>
        <v>0</v>
      </c>
      <c r="AZ256">
        <f t="shared" si="184"/>
        <v>0</v>
      </c>
      <c r="BA256">
        <f t="shared" si="185"/>
        <v>0</v>
      </c>
      <c r="BB256">
        <f t="shared" si="186"/>
        <v>0</v>
      </c>
      <c r="BC256">
        <f t="shared" si="187"/>
        <v>0</v>
      </c>
      <c r="BD256">
        <f t="shared" si="188"/>
        <v>0</v>
      </c>
      <c r="BE256">
        <f t="shared" si="189"/>
        <v>0</v>
      </c>
      <c r="BF256">
        <f t="shared" si="190"/>
        <v>0</v>
      </c>
      <c r="BG256">
        <f t="shared" si="191"/>
        <v>0</v>
      </c>
      <c r="BH256">
        <f t="shared" si="192"/>
        <v>0</v>
      </c>
      <c r="BI256">
        <f t="shared" si="193"/>
        <v>0</v>
      </c>
      <c r="BJ256">
        <f t="shared" si="194"/>
        <v>0</v>
      </c>
      <c r="BK256">
        <f t="shared" si="195"/>
        <v>0</v>
      </c>
      <c r="BL256">
        <v>0</v>
      </c>
      <c r="BM256" t="str">
        <f t="shared" si="202"/>
        <v>Big Win</v>
      </c>
      <c r="BN256" s="32" t="str">
        <f t="shared" si="203"/>
        <v>Free Plays A</v>
      </c>
      <c r="BO256">
        <f>(D256/Summary!$C$4-Summary!$C$8)^2*E256</f>
        <v>212244.49</v>
      </c>
      <c r="BP256">
        <f t="shared" si="196"/>
        <v>0</v>
      </c>
      <c r="BQ256">
        <f t="shared" si="197"/>
        <v>0</v>
      </c>
      <c r="BR256">
        <f t="shared" si="198"/>
        <v>0</v>
      </c>
      <c r="BS256">
        <f t="shared" si="199"/>
        <v>0</v>
      </c>
    </row>
    <row r="257" spans="2:71">
      <c r="B257" s="16">
        <f>Tiers!B258</f>
        <v>255</v>
      </c>
      <c r="C257" s="17" t="str">
        <f>Tiers!Y258</f>
        <v>main-10|freeplayA-2|||||||| x 1</v>
      </c>
      <c r="D257" s="18">
        <f>Tiers!C258</f>
        <v>12.399999999999999</v>
      </c>
      <c r="E257" s="19">
        <f>Frequency!E259</f>
        <v>100</v>
      </c>
      <c r="F257" s="19">
        <f t="shared" si="153"/>
        <v>1239.9999999999998</v>
      </c>
      <c r="G257" s="19">
        <f>IF(Tiers!D258&gt;1,'Data Analysis'!E257,0)</f>
        <v>0</v>
      </c>
      <c r="H257" s="19">
        <f t="shared" si="154"/>
        <v>0</v>
      </c>
      <c r="I257" s="19">
        <f>IF(AND(D257/Summary!$C$4&gt;0, D257/Summary!$C$4&lt;5),E257,0) * D257</f>
        <v>0</v>
      </c>
      <c r="J257" s="19">
        <f>IF(AND(D257/Summary!$C$4&gt;= 5, D257/Summary!$C$4&lt;10),E257,0) * D257</f>
        <v>0</v>
      </c>
      <c r="K257" s="19">
        <f>IF(AND(D257/Summary!$C$4&gt;=10, D257/Summary!$C$4&lt;25),E257,0)*D257</f>
        <v>1239.9999999999998</v>
      </c>
      <c r="L257" s="19">
        <f>IF(D257/Summary!$C$4&gt;=25,E257,0)*D257</f>
        <v>0</v>
      </c>
      <c r="M257" s="27">
        <f>IF(AND(D257/Summary!$C$4&gt;0, D257/Summary!$C$4&lt;1),E257,0)</f>
        <v>0</v>
      </c>
      <c r="N257" s="27">
        <f t="shared" si="155"/>
        <v>0</v>
      </c>
      <c r="O257" s="27">
        <f>IF(D257/Summary!$C$4=1,1,0)*E257</f>
        <v>0</v>
      </c>
      <c r="P257" s="27">
        <f t="shared" si="156"/>
        <v>0</v>
      </c>
      <c r="Q257" s="27">
        <f>IF(AND(D257/Summary!$C$4&gt;1, D257/Summary!$C$4&lt;=2),1,0)*E257</f>
        <v>0</v>
      </c>
      <c r="R257" s="27">
        <f t="shared" si="157"/>
        <v>0</v>
      </c>
      <c r="S257" s="27">
        <f>IF(AND(D257/Summary!$C$4&gt;2,D257/Summary!$C$4&lt;=5),1,0)*E257</f>
        <v>0</v>
      </c>
      <c r="T257" s="27">
        <f t="shared" si="158"/>
        <v>0</v>
      </c>
      <c r="U257" s="27">
        <f>IF(AND(D257/Summary!$C$4&gt;5, D257/Summary!$C$4&lt;=10),1,0)*E257</f>
        <v>0</v>
      </c>
      <c r="V257" s="27">
        <f t="shared" si="159"/>
        <v>0</v>
      </c>
      <c r="W257" s="27">
        <f>IF(AND(D257/Summary!$C$4&gt;10, D257/Summary!$C$4&lt;=20),1,0)*E257</f>
        <v>100</v>
      </c>
      <c r="X257" s="27">
        <f t="shared" si="160"/>
        <v>1239.9999999999998</v>
      </c>
      <c r="Y257" s="27">
        <f>IF(AND(D257/Summary!$C$4&gt;20, D257/Summary!$C$4&lt;=30),1,0)*E257</f>
        <v>0</v>
      </c>
      <c r="Z257" s="27">
        <f t="shared" si="161"/>
        <v>0</v>
      </c>
      <c r="AA257" s="27">
        <f>IF(AND(D257/Summary!$C$4&gt;30, D257/Summary!$C$4&lt;=50),1,0)*E257</f>
        <v>0</v>
      </c>
      <c r="AB257" s="27">
        <f t="shared" si="162"/>
        <v>0</v>
      </c>
      <c r="AC257" s="27">
        <f>IF(AND(D257/Summary!$C$4&gt;50, D257/Summary!$C$4&lt;=100),1,0)*E257</f>
        <v>0</v>
      </c>
      <c r="AD257" s="27">
        <f t="shared" si="163"/>
        <v>0</v>
      </c>
      <c r="AE257" s="27">
        <f>IF(D257/Summary!$C$4&gt;100,1,0)*E257</f>
        <v>0</v>
      </c>
      <c r="AF257" s="27">
        <f t="shared" si="164"/>
        <v>0</v>
      </c>
      <c r="AG257" s="19">
        <f t="shared" si="165"/>
        <v>100</v>
      </c>
      <c r="AH257" s="19">
        <f t="shared" si="166"/>
        <v>0</v>
      </c>
      <c r="AI257" s="19">
        <f t="shared" si="167"/>
        <v>0</v>
      </c>
      <c r="AJ257" s="27">
        <f t="shared" si="168"/>
        <v>1</v>
      </c>
      <c r="AK257" s="27">
        <f t="shared" si="169"/>
        <v>100</v>
      </c>
      <c r="AL257" s="27">
        <f t="shared" si="170"/>
        <v>1239.9999999999998</v>
      </c>
      <c r="AM257">
        <f t="shared" si="171"/>
        <v>0</v>
      </c>
      <c r="AN257">
        <f t="shared" si="172"/>
        <v>0</v>
      </c>
      <c r="AO257">
        <f t="shared" si="173"/>
        <v>0</v>
      </c>
      <c r="AP257">
        <f t="shared" si="174"/>
        <v>0</v>
      </c>
      <c r="AQ257">
        <f t="shared" si="175"/>
        <v>0</v>
      </c>
      <c r="AR257">
        <f t="shared" si="176"/>
        <v>0</v>
      </c>
      <c r="AS257">
        <f t="shared" si="177"/>
        <v>0</v>
      </c>
      <c r="AT257">
        <f t="shared" si="178"/>
        <v>0</v>
      </c>
      <c r="AU257">
        <f t="shared" si="179"/>
        <v>0</v>
      </c>
      <c r="AV257">
        <f t="shared" si="180"/>
        <v>100</v>
      </c>
      <c r="AW257">
        <f t="shared" si="181"/>
        <v>1239.9999999999998</v>
      </c>
      <c r="AX257">
        <f t="shared" si="182"/>
        <v>0</v>
      </c>
      <c r="AY257">
        <f t="shared" si="183"/>
        <v>0</v>
      </c>
      <c r="AZ257">
        <f t="shared" si="184"/>
        <v>0</v>
      </c>
      <c r="BA257">
        <f t="shared" si="185"/>
        <v>0</v>
      </c>
      <c r="BB257">
        <f t="shared" si="186"/>
        <v>0</v>
      </c>
      <c r="BC257">
        <f t="shared" si="187"/>
        <v>0</v>
      </c>
      <c r="BD257">
        <f t="shared" si="188"/>
        <v>0</v>
      </c>
      <c r="BE257">
        <f t="shared" si="189"/>
        <v>0</v>
      </c>
      <c r="BF257">
        <f t="shared" si="190"/>
        <v>0</v>
      </c>
      <c r="BG257">
        <f t="shared" si="191"/>
        <v>0</v>
      </c>
      <c r="BH257">
        <f t="shared" si="192"/>
        <v>0</v>
      </c>
      <c r="BI257">
        <f t="shared" si="193"/>
        <v>0</v>
      </c>
      <c r="BJ257">
        <f t="shared" si="194"/>
        <v>0</v>
      </c>
      <c r="BK257">
        <f t="shared" si="195"/>
        <v>0</v>
      </c>
      <c r="BL257">
        <v>0</v>
      </c>
      <c r="BM257" t="str">
        <f t="shared" si="202"/>
        <v>Big Win</v>
      </c>
      <c r="BN257" s="32" t="str">
        <f t="shared" si="203"/>
        <v>Free Plays A</v>
      </c>
      <c r="BO257">
        <f>(D257/Summary!$C$4-Summary!$C$8)^2*E257</f>
        <v>13386.489999999998</v>
      </c>
      <c r="BP257">
        <f t="shared" si="196"/>
        <v>0</v>
      </c>
      <c r="BQ257">
        <f t="shared" si="197"/>
        <v>0</v>
      </c>
      <c r="BR257">
        <f t="shared" si="198"/>
        <v>0</v>
      </c>
      <c r="BS257">
        <f t="shared" si="199"/>
        <v>0</v>
      </c>
    </row>
    <row r="258" spans="2:71">
      <c r="B258" s="16">
        <f>Tiers!B259</f>
        <v>256</v>
      </c>
      <c r="C258" s="17" t="str">
        <f>Tiers!Y259</f>
        <v>main-0|freeplayA-3|||||||| x 1</v>
      </c>
      <c r="D258" s="18">
        <f>Tiers!C259</f>
        <v>35.1</v>
      </c>
      <c r="E258" s="19">
        <f>Frequency!E260</f>
        <v>100</v>
      </c>
      <c r="F258" s="19">
        <f t="shared" ref="F258:F321" si="204">E258*D258</f>
        <v>3510</v>
      </c>
      <c r="G258" s="19">
        <f>IF(Tiers!D259&gt;1,'Data Analysis'!E258,0)</f>
        <v>0</v>
      </c>
      <c r="H258" s="19">
        <f t="shared" ref="H258:H321" si="205">G258*D258</f>
        <v>0</v>
      </c>
      <c r="I258" s="19">
        <f>IF(AND(D258/Summary!$C$4&gt;0, D258/Summary!$C$4&lt;5),E258,0) * D258</f>
        <v>0</v>
      </c>
      <c r="J258" s="19">
        <f>IF(AND(D258/Summary!$C$4&gt;= 5, D258/Summary!$C$4&lt;10),E258,0) * D258</f>
        <v>0</v>
      </c>
      <c r="K258" s="19">
        <f>IF(AND(D258/Summary!$C$4&gt;=10, D258/Summary!$C$4&lt;25),E258,0)*D258</f>
        <v>0</v>
      </c>
      <c r="L258" s="19">
        <f>IF(D258/Summary!$C$4&gt;=25,E258,0)*D258</f>
        <v>3510</v>
      </c>
      <c r="M258" s="27">
        <f>IF(AND(D258/Summary!$C$4&gt;0, D258/Summary!$C$4&lt;1),E258,0)</f>
        <v>0</v>
      </c>
      <c r="N258" s="27">
        <f t="shared" ref="N258:N321" si="206">IF(M258&gt;0,D258*E258,0)</f>
        <v>0</v>
      </c>
      <c r="O258" s="27">
        <f>IF(D258/Summary!$C$4=1,1,0)*E258</f>
        <v>0</v>
      </c>
      <c r="P258" s="27">
        <f t="shared" ref="P258:P321" si="207">IF(O258&gt;0,D258*E258,0)</f>
        <v>0</v>
      </c>
      <c r="Q258" s="27">
        <f>IF(AND(D258/Summary!$C$4&gt;1, D258/Summary!$C$4&lt;=2),1,0)*E258</f>
        <v>0</v>
      </c>
      <c r="R258" s="27">
        <f t="shared" ref="R258:R321" si="208">IF(Q258&gt;0,D258*E258,0)</f>
        <v>0</v>
      </c>
      <c r="S258" s="27">
        <f>IF(AND(D258/Summary!$C$4&gt;2,D258/Summary!$C$4&lt;=5),1,0)*E258</f>
        <v>0</v>
      </c>
      <c r="T258" s="27">
        <f t="shared" ref="T258:T321" si="209">IF(S258&gt;0,D258*E258,0)</f>
        <v>0</v>
      </c>
      <c r="U258" s="27">
        <f>IF(AND(D258/Summary!$C$4&gt;5, D258/Summary!$C$4&lt;=10),1,0)*E258</f>
        <v>0</v>
      </c>
      <c r="V258" s="27">
        <f t="shared" ref="V258:V321" si="210">IF(U258&gt;0,D258*E258,0)</f>
        <v>0</v>
      </c>
      <c r="W258" s="27">
        <f>IF(AND(D258/Summary!$C$4&gt;10, D258/Summary!$C$4&lt;=20),1,0)*E258</f>
        <v>0</v>
      </c>
      <c r="X258" s="27">
        <f t="shared" ref="X258:X321" si="211">IF(W258&gt;0,D258*E258,0)</f>
        <v>0</v>
      </c>
      <c r="Y258" s="27">
        <f>IF(AND(D258/Summary!$C$4&gt;20, D258/Summary!$C$4&lt;=30),1,0)*E258</f>
        <v>0</v>
      </c>
      <c r="Z258" s="27">
        <f t="shared" ref="Z258:Z321" si="212">IF(Y258&gt;0,D258*E258,0)</f>
        <v>0</v>
      </c>
      <c r="AA258" s="27">
        <f>IF(AND(D258/Summary!$C$4&gt;30, D258/Summary!$C$4&lt;=50),1,0)*E258</f>
        <v>100</v>
      </c>
      <c r="AB258" s="27">
        <f t="shared" ref="AB258:AB321" si="213">IF(AA258&gt;0,D258*E258,0)</f>
        <v>3510</v>
      </c>
      <c r="AC258" s="27">
        <f>IF(AND(D258/Summary!$C$4&gt;50, D258/Summary!$C$4&lt;=100),1,0)*E258</f>
        <v>0</v>
      </c>
      <c r="AD258" s="27">
        <f t="shared" ref="AD258:AD321" si="214">IF(AC258&gt;0,D258*E258,0)</f>
        <v>0</v>
      </c>
      <c r="AE258" s="27">
        <f>IF(D258/Summary!$C$4&gt;100,1,0)*E258</f>
        <v>0</v>
      </c>
      <c r="AF258" s="27">
        <f t="shared" ref="AF258:AF321" si="215">IF(AE258&gt;0,D258*E258,0)</f>
        <v>0</v>
      </c>
      <c r="AG258" s="19">
        <f t="shared" ref="AG258:AG321" si="216">IF(AV258&gt;0,E258,0)</f>
        <v>100</v>
      </c>
      <c r="AH258" s="19">
        <f t="shared" ref="AH258:AH321" si="217">IF(BD258&gt;0,E258,0)</f>
        <v>0</v>
      </c>
      <c r="AI258" s="19">
        <f t="shared" ref="AI258:AI321" si="218">IF(BJ258&gt;0,E258,0)</f>
        <v>0</v>
      </c>
      <c r="AJ258" s="27">
        <f t="shared" ref="AJ258:AJ321" si="219">IF(ISNUMBER(SEARCH("|||||||||",C258)),0,1)</f>
        <v>1</v>
      </c>
      <c r="AK258" s="27">
        <f t="shared" ref="AK258:AK321" si="220">IF(AJ258=1, E258,0)</f>
        <v>100</v>
      </c>
      <c r="AL258" s="27">
        <f t="shared" ref="AL258:AL321" si="221">IF(AK258&gt;0,D258*E258,0)</f>
        <v>3510</v>
      </c>
      <c r="AM258">
        <f t="shared" ref="AM258:AM321" si="222">IF(ISNUMBER(SEARCH("Wild",C258)),1,0)</f>
        <v>0</v>
      </c>
      <c r="AN258">
        <f t="shared" ref="AN258:AN321" si="223">IF(AM258=1, E258,0)</f>
        <v>0</v>
      </c>
      <c r="AO258">
        <f t="shared" ref="AO258:AO321" si="224">IF(AN258&gt;0,D258*E258,0)</f>
        <v>0</v>
      </c>
      <c r="AP258">
        <f t="shared" ref="AP258:AP321" si="225">IF(ISNUMBER(SEARCH("Wild-",C258)),1,0)</f>
        <v>0</v>
      </c>
      <c r="AQ258">
        <f t="shared" ref="AQ258:AQ321" si="226">IF(AP258=1, E258,0)</f>
        <v>0</v>
      </c>
      <c r="AR258">
        <f t="shared" ref="AR258:AR321" si="227">IF(AQ258&gt;0,D258*E258,0)</f>
        <v>0</v>
      </c>
      <c r="AS258">
        <f t="shared" ref="AS258:AS321" si="228">IF(ISNUMBER(SEARCH("WildX",C258)),1,0)</f>
        <v>0</v>
      </c>
      <c r="AT258">
        <f t="shared" ref="AT258:AT321" si="229">IF(AS258=1, E258,0)</f>
        <v>0</v>
      </c>
      <c r="AU258">
        <f t="shared" ref="AU258:AU321" si="230">IF(AT258&gt;0,D258*E258,0)</f>
        <v>0</v>
      </c>
      <c r="AV258">
        <f t="shared" ref="AV258:AV321" si="231">IF(ISNUMBER(SEARCH("freeplayA",C258)),E258,0)</f>
        <v>100</v>
      </c>
      <c r="AW258">
        <f t="shared" ref="AW258:AW321" si="232">AV258*D258</f>
        <v>3510</v>
      </c>
      <c r="AX258">
        <f t="shared" ref="AX258:AX321" si="233">IF(ISNUMBER(SEARCH("FreePlayB",C258)),E258,0)</f>
        <v>0</v>
      </c>
      <c r="AY258">
        <f t="shared" ref="AY258:AY321" si="234">AX258*D258</f>
        <v>0</v>
      </c>
      <c r="AZ258">
        <f t="shared" ref="AZ258:AZ321" si="235">IF(ISNUMBER(SEARCH("FreePlayC",C258)),E258,0)</f>
        <v>0</v>
      </c>
      <c r="BA258">
        <f t="shared" ref="BA258:BA321" si="236">AZ258*D258</f>
        <v>0</v>
      </c>
      <c r="BB258">
        <f t="shared" ref="BB258:BB321" si="237">IF(ISNUMBER(SEARCH("FreePlayD",C258)),E258,0)</f>
        <v>0</v>
      </c>
      <c r="BC258">
        <f t="shared" ref="BC258:BC321" si="238">BB258*D258</f>
        <v>0</v>
      </c>
      <c r="BD258">
        <f t="shared" ref="BD258:BD321" si="239">IF(ISNUMBER(SEARCH("bonusA",C258)),E258,0)</f>
        <v>0</v>
      </c>
      <c r="BE258">
        <f t="shared" ref="BE258:BE321" si="240">BD258*D258</f>
        <v>0</v>
      </c>
      <c r="BF258">
        <f t="shared" ref="BF258:BF321" si="241">IF(ISNUMBER(SEARCH("BonusB",C258)),E258,0)</f>
        <v>0</v>
      </c>
      <c r="BG258">
        <f t="shared" ref="BG258:BG321" si="242">BF258*D258</f>
        <v>0</v>
      </c>
      <c r="BH258">
        <f t="shared" ref="BH258:BH321" si="243">IF(ISNUMBER(SEARCH("BonusC",C258)),E258,0)</f>
        <v>0</v>
      </c>
      <c r="BI258">
        <f t="shared" ref="BI258:BI321" si="244">BH258*D258</f>
        <v>0</v>
      </c>
      <c r="BJ258">
        <f t="shared" ref="BJ258:BJ321" si="245">IF(ISNUMBER(SEARCH("Instant",C258)),E258,0)</f>
        <v>0</v>
      </c>
      <c r="BK258">
        <f t="shared" ref="BK258:BK321" si="246">BJ258*D258</f>
        <v>0</v>
      </c>
      <c r="BL258">
        <v>0</v>
      </c>
      <c r="BM258" t="str">
        <f>IF(D258 &lt; $D$367, $C$367,
      IF(D258 = $D$368, $C$368,
          IF(D258 &lt; $D$369, $C$369,
              IF(D258 &lt; $D$370, $C$370,
                 IF(D258 &lt; $D$371, $C$371, $C$372)))))</f>
        <v>Big Win</v>
      </c>
      <c r="BN258" s="32" t="str">
        <f>IF(AV258 &gt; 0,$C$376,
      IF(AX258 &gt; 0,$C$377,
          IF(AZ258 &gt; 0,$C$378,
             IF(BB258 &gt; 0,$C$379,
              IF(BD258 &gt; 0,$C$380,
                  IF(BF258 &gt; 0,$C$381,
                     IF(BH258 &gt; 0,$C$382,
                        IF(BJ258 &gt; 0,$C$383,
                           IF(ISNUMBER(SEARCH("|||||||||",C258)), $C$384,$C$385)))))))))</f>
        <v>Free Plays A</v>
      </c>
      <c r="BO258">
        <f>(D258/Summary!$C$4-Summary!$C$8)^2*E258</f>
        <v>117443.29000000002</v>
      </c>
      <c r="BP258">
        <f t="shared" ref="BP258:BP321" si="247">IF(AV258=1, E258*D258,0)</f>
        <v>0</v>
      </c>
      <c r="BQ258">
        <f t="shared" ref="BQ258:BQ321" si="248">IF(BD258=1, E258*D258,0)</f>
        <v>0</v>
      </c>
      <c r="BR258">
        <f t="shared" ref="BR258:BR321" si="249">IF(BJ258=1, D258*E258,0)</f>
        <v>0</v>
      </c>
      <c r="BS258">
        <f t="shared" ref="BS258:BS321" si="250">IF(BL258&gt;0,BL258*E258,0)</f>
        <v>0</v>
      </c>
    </row>
    <row r="259" spans="2:71">
      <c r="B259" s="16">
        <f>Tiers!B260</f>
        <v>257</v>
      </c>
      <c r="C259" s="17" t="str">
        <f>Tiers!Y260</f>
        <v>main-11|freeplayA-4|||||||| x 1</v>
      </c>
      <c r="D259" s="18">
        <f>Tiers!C260</f>
        <v>20.100000000000001</v>
      </c>
      <c r="E259" s="19">
        <f>Frequency!E261</f>
        <v>100</v>
      </c>
      <c r="F259" s="19">
        <f t="shared" si="204"/>
        <v>2010.0000000000002</v>
      </c>
      <c r="G259" s="19">
        <f>IF(Tiers!D260&gt;1,'Data Analysis'!E259,0)</f>
        <v>0</v>
      </c>
      <c r="H259" s="19">
        <f t="shared" si="205"/>
        <v>0</v>
      </c>
      <c r="I259" s="19">
        <f>IF(AND(D259/Summary!$C$4&gt;0, D259/Summary!$C$4&lt;5),E259,0) * D259</f>
        <v>0</v>
      </c>
      <c r="J259" s="19">
        <f>IF(AND(D259/Summary!$C$4&gt;= 5, D259/Summary!$C$4&lt;10),E259,0) * D259</f>
        <v>0</v>
      </c>
      <c r="K259" s="19">
        <f>IF(AND(D259/Summary!$C$4&gt;=10, D259/Summary!$C$4&lt;25),E259,0)*D259</f>
        <v>2010.0000000000002</v>
      </c>
      <c r="L259" s="19">
        <f>IF(D259/Summary!$C$4&gt;=25,E259,0)*D259</f>
        <v>0</v>
      </c>
      <c r="M259" s="27">
        <f>IF(AND(D259/Summary!$C$4&gt;0, D259/Summary!$C$4&lt;1),E259,0)</f>
        <v>0</v>
      </c>
      <c r="N259" s="27">
        <f t="shared" si="206"/>
        <v>0</v>
      </c>
      <c r="O259" s="27">
        <f>IF(D259/Summary!$C$4=1,1,0)*E259</f>
        <v>0</v>
      </c>
      <c r="P259" s="27">
        <f t="shared" si="207"/>
        <v>0</v>
      </c>
      <c r="Q259" s="27">
        <f>IF(AND(D259/Summary!$C$4&gt;1, D259/Summary!$C$4&lt;=2),1,0)*E259</f>
        <v>0</v>
      </c>
      <c r="R259" s="27">
        <f t="shared" si="208"/>
        <v>0</v>
      </c>
      <c r="S259" s="27">
        <f>IF(AND(D259/Summary!$C$4&gt;2,D259/Summary!$C$4&lt;=5),1,0)*E259</f>
        <v>0</v>
      </c>
      <c r="T259" s="27">
        <f t="shared" si="209"/>
        <v>0</v>
      </c>
      <c r="U259" s="27">
        <f>IF(AND(D259/Summary!$C$4&gt;5, D259/Summary!$C$4&lt;=10),1,0)*E259</f>
        <v>0</v>
      </c>
      <c r="V259" s="27">
        <f t="shared" si="210"/>
        <v>0</v>
      </c>
      <c r="W259" s="27">
        <f>IF(AND(D259/Summary!$C$4&gt;10, D259/Summary!$C$4&lt;=20),1,0)*E259</f>
        <v>0</v>
      </c>
      <c r="X259" s="27">
        <f t="shared" si="211"/>
        <v>0</v>
      </c>
      <c r="Y259" s="27">
        <f>IF(AND(D259/Summary!$C$4&gt;20, D259/Summary!$C$4&lt;=30),1,0)*E259</f>
        <v>100</v>
      </c>
      <c r="Z259" s="27">
        <f t="shared" si="212"/>
        <v>2010.0000000000002</v>
      </c>
      <c r="AA259" s="27">
        <f>IF(AND(D259/Summary!$C$4&gt;30, D259/Summary!$C$4&lt;=50),1,0)*E259</f>
        <v>0</v>
      </c>
      <c r="AB259" s="27">
        <f t="shared" si="213"/>
        <v>0</v>
      </c>
      <c r="AC259" s="27">
        <f>IF(AND(D259/Summary!$C$4&gt;50, D259/Summary!$C$4&lt;=100),1,0)*E259</f>
        <v>0</v>
      </c>
      <c r="AD259" s="27">
        <f t="shared" si="214"/>
        <v>0</v>
      </c>
      <c r="AE259" s="27">
        <f>IF(D259/Summary!$C$4&gt;100,1,0)*E259</f>
        <v>0</v>
      </c>
      <c r="AF259" s="27">
        <f t="shared" si="215"/>
        <v>0</v>
      </c>
      <c r="AG259" s="19">
        <f t="shared" si="216"/>
        <v>100</v>
      </c>
      <c r="AH259" s="19">
        <f t="shared" si="217"/>
        <v>0</v>
      </c>
      <c r="AI259" s="19">
        <f t="shared" si="218"/>
        <v>0</v>
      </c>
      <c r="AJ259" s="27">
        <f t="shared" si="219"/>
        <v>1</v>
      </c>
      <c r="AK259" s="27">
        <f t="shared" si="220"/>
        <v>100</v>
      </c>
      <c r="AL259" s="27">
        <f t="shared" si="221"/>
        <v>2010.0000000000002</v>
      </c>
      <c r="AM259">
        <f t="shared" si="222"/>
        <v>0</v>
      </c>
      <c r="AN259">
        <f t="shared" si="223"/>
        <v>0</v>
      </c>
      <c r="AO259">
        <f t="shared" si="224"/>
        <v>0</v>
      </c>
      <c r="AP259">
        <f t="shared" si="225"/>
        <v>0</v>
      </c>
      <c r="AQ259">
        <f t="shared" si="226"/>
        <v>0</v>
      </c>
      <c r="AR259">
        <f t="shared" si="227"/>
        <v>0</v>
      </c>
      <c r="AS259">
        <f t="shared" si="228"/>
        <v>0</v>
      </c>
      <c r="AT259">
        <f t="shared" si="229"/>
        <v>0</v>
      </c>
      <c r="AU259">
        <f t="shared" si="230"/>
        <v>0</v>
      </c>
      <c r="AV259">
        <f t="shared" si="231"/>
        <v>100</v>
      </c>
      <c r="AW259">
        <f t="shared" si="232"/>
        <v>2010.0000000000002</v>
      </c>
      <c r="AX259">
        <f t="shared" si="233"/>
        <v>0</v>
      </c>
      <c r="AY259">
        <f t="shared" si="234"/>
        <v>0</v>
      </c>
      <c r="AZ259">
        <f t="shared" si="235"/>
        <v>0</v>
      </c>
      <c r="BA259">
        <f t="shared" si="236"/>
        <v>0</v>
      </c>
      <c r="BB259">
        <f t="shared" si="237"/>
        <v>0</v>
      </c>
      <c r="BC259">
        <f t="shared" si="238"/>
        <v>0</v>
      </c>
      <c r="BD259">
        <f t="shared" si="239"/>
        <v>0</v>
      </c>
      <c r="BE259">
        <f t="shared" si="240"/>
        <v>0</v>
      </c>
      <c r="BF259">
        <f t="shared" si="241"/>
        <v>0</v>
      </c>
      <c r="BG259">
        <f t="shared" si="242"/>
        <v>0</v>
      </c>
      <c r="BH259">
        <f t="shared" si="243"/>
        <v>0</v>
      </c>
      <c r="BI259">
        <f t="shared" si="244"/>
        <v>0</v>
      </c>
      <c r="BJ259">
        <f t="shared" si="245"/>
        <v>0</v>
      </c>
      <c r="BK259">
        <f t="shared" si="246"/>
        <v>0</v>
      </c>
      <c r="BL259">
        <v>0</v>
      </c>
      <c r="BM259" t="str">
        <f t="shared" ref="BM259:BM290" si="251">IF(D259 &lt; $D$367, $C$367,
IF(D259 = $D$368, $C$368,
IF(D259 &lt; $D$369, $C$369,
IF(D259 &lt; $D$370, $C$370,
IF(D259 &lt; $D$371, $C$371, $C$372)))))</f>
        <v>Big Win</v>
      </c>
      <c r="BN259" s="32" t="str">
        <f t="shared" ref="BN259:BN290" si="252">IF(AV259 &gt; 0,$C$376,
IF(AX259 &gt; 0,$C$377,
IF(AZ259 &gt; 0,$C$378,
IF(BB259 &gt; 0,$C$379,
IF(BD259 &gt; 0,$C$380,
IF(BF259 &gt; 0,$C$381,
IF(BH259 &gt; 0,$C$382,
IF(BJ259 &gt; 0,$C$383,
IF(ISNUMBER(SEARCH("|||||||||",C259)), $C$384,$C$385)))))))))</f>
        <v>Free Plays A</v>
      </c>
      <c r="BO259">
        <f>(D259/Summary!$C$4-Summary!$C$8)^2*E259</f>
        <v>37133.290000000008</v>
      </c>
      <c r="BP259">
        <f t="shared" si="247"/>
        <v>0</v>
      </c>
      <c r="BQ259">
        <f t="shared" si="248"/>
        <v>0</v>
      </c>
      <c r="BR259">
        <f t="shared" si="249"/>
        <v>0</v>
      </c>
      <c r="BS259">
        <f t="shared" si="250"/>
        <v>0</v>
      </c>
    </row>
    <row r="260" spans="2:71">
      <c r="B260" s="16">
        <f>Tiers!B261</f>
        <v>258</v>
      </c>
      <c r="C260" s="17" t="str">
        <f>Tiers!Y261</f>
        <v>main-30|freeplayA-5|||||||| x 1</v>
      </c>
      <c r="D260" s="18">
        <f>Tiers!C261</f>
        <v>27.299999999999997</v>
      </c>
      <c r="E260" s="19">
        <f>Frequency!E262</f>
        <v>100</v>
      </c>
      <c r="F260" s="19">
        <f t="shared" si="204"/>
        <v>2729.9999999999995</v>
      </c>
      <c r="G260" s="19">
        <f>IF(Tiers!D261&gt;1,'Data Analysis'!E260,0)</f>
        <v>0</v>
      </c>
      <c r="H260" s="19">
        <f t="shared" si="205"/>
        <v>0</v>
      </c>
      <c r="I260" s="19">
        <f>IF(AND(D260/Summary!$C$4&gt;0, D260/Summary!$C$4&lt;5),E260,0) * D260</f>
        <v>0</v>
      </c>
      <c r="J260" s="19">
        <f>IF(AND(D260/Summary!$C$4&gt;= 5, D260/Summary!$C$4&lt;10),E260,0) * D260</f>
        <v>0</v>
      </c>
      <c r="K260" s="19">
        <f>IF(AND(D260/Summary!$C$4&gt;=10, D260/Summary!$C$4&lt;25),E260,0)*D260</f>
        <v>0</v>
      </c>
      <c r="L260" s="19">
        <f>IF(D260/Summary!$C$4&gt;=25,E260,0)*D260</f>
        <v>2729.9999999999995</v>
      </c>
      <c r="M260" s="27">
        <f>IF(AND(D260/Summary!$C$4&gt;0, D260/Summary!$C$4&lt;1),E260,0)</f>
        <v>0</v>
      </c>
      <c r="N260" s="27">
        <f t="shared" si="206"/>
        <v>0</v>
      </c>
      <c r="O260" s="27">
        <f>IF(D260/Summary!$C$4=1,1,0)*E260</f>
        <v>0</v>
      </c>
      <c r="P260" s="27">
        <f t="shared" si="207"/>
        <v>0</v>
      </c>
      <c r="Q260" s="27">
        <f>IF(AND(D260/Summary!$C$4&gt;1, D260/Summary!$C$4&lt;=2),1,0)*E260</f>
        <v>0</v>
      </c>
      <c r="R260" s="27">
        <f t="shared" si="208"/>
        <v>0</v>
      </c>
      <c r="S260" s="27">
        <f>IF(AND(D260/Summary!$C$4&gt;2,D260/Summary!$C$4&lt;=5),1,0)*E260</f>
        <v>0</v>
      </c>
      <c r="T260" s="27">
        <f t="shared" si="209"/>
        <v>0</v>
      </c>
      <c r="U260" s="27">
        <f>IF(AND(D260/Summary!$C$4&gt;5, D260/Summary!$C$4&lt;=10),1,0)*E260</f>
        <v>0</v>
      </c>
      <c r="V260" s="27">
        <f t="shared" si="210"/>
        <v>0</v>
      </c>
      <c r="W260" s="27">
        <f>IF(AND(D260/Summary!$C$4&gt;10, D260/Summary!$C$4&lt;=20),1,0)*E260</f>
        <v>0</v>
      </c>
      <c r="X260" s="27">
        <f t="shared" si="211"/>
        <v>0</v>
      </c>
      <c r="Y260" s="27">
        <f>IF(AND(D260/Summary!$C$4&gt;20, D260/Summary!$C$4&lt;=30),1,0)*E260</f>
        <v>100</v>
      </c>
      <c r="Z260" s="27">
        <f t="shared" si="212"/>
        <v>2729.9999999999995</v>
      </c>
      <c r="AA260" s="27">
        <f>IF(AND(D260/Summary!$C$4&gt;30, D260/Summary!$C$4&lt;=50),1,0)*E260</f>
        <v>0</v>
      </c>
      <c r="AB260" s="27">
        <f t="shared" si="213"/>
        <v>0</v>
      </c>
      <c r="AC260" s="27">
        <f>IF(AND(D260/Summary!$C$4&gt;50, D260/Summary!$C$4&lt;=100),1,0)*E260</f>
        <v>0</v>
      </c>
      <c r="AD260" s="27">
        <f t="shared" si="214"/>
        <v>0</v>
      </c>
      <c r="AE260" s="27">
        <f>IF(D260/Summary!$C$4&gt;100,1,0)*E260</f>
        <v>0</v>
      </c>
      <c r="AF260" s="27">
        <f t="shared" si="215"/>
        <v>0</v>
      </c>
      <c r="AG260" s="19">
        <f t="shared" si="216"/>
        <v>100</v>
      </c>
      <c r="AH260" s="19">
        <f t="shared" si="217"/>
        <v>0</v>
      </c>
      <c r="AI260" s="19">
        <f t="shared" si="218"/>
        <v>0</v>
      </c>
      <c r="AJ260" s="27">
        <f t="shared" si="219"/>
        <v>1</v>
      </c>
      <c r="AK260" s="27">
        <f t="shared" si="220"/>
        <v>100</v>
      </c>
      <c r="AL260" s="27">
        <f t="shared" si="221"/>
        <v>2729.9999999999995</v>
      </c>
      <c r="AM260">
        <f t="shared" si="222"/>
        <v>0</v>
      </c>
      <c r="AN260">
        <f t="shared" si="223"/>
        <v>0</v>
      </c>
      <c r="AO260">
        <f t="shared" si="224"/>
        <v>0</v>
      </c>
      <c r="AP260">
        <f t="shared" si="225"/>
        <v>0</v>
      </c>
      <c r="AQ260">
        <f t="shared" si="226"/>
        <v>0</v>
      </c>
      <c r="AR260">
        <f t="shared" si="227"/>
        <v>0</v>
      </c>
      <c r="AS260">
        <f t="shared" si="228"/>
        <v>0</v>
      </c>
      <c r="AT260">
        <f t="shared" si="229"/>
        <v>0</v>
      </c>
      <c r="AU260">
        <f t="shared" si="230"/>
        <v>0</v>
      </c>
      <c r="AV260">
        <f t="shared" si="231"/>
        <v>100</v>
      </c>
      <c r="AW260">
        <f t="shared" si="232"/>
        <v>2729.9999999999995</v>
      </c>
      <c r="AX260">
        <f t="shared" si="233"/>
        <v>0</v>
      </c>
      <c r="AY260">
        <f t="shared" si="234"/>
        <v>0</v>
      </c>
      <c r="AZ260">
        <f t="shared" si="235"/>
        <v>0</v>
      </c>
      <c r="BA260">
        <f t="shared" si="236"/>
        <v>0</v>
      </c>
      <c r="BB260">
        <f t="shared" si="237"/>
        <v>0</v>
      </c>
      <c r="BC260">
        <f t="shared" si="238"/>
        <v>0</v>
      </c>
      <c r="BD260">
        <f t="shared" si="239"/>
        <v>0</v>
      </c>
      <c r="BE260">
        <f t="shared" si="240"/>
        <v>0</v>
      </c>
      <c r="BF260">
        <f t="shared" si="241"/>
        <v>0</v>
      </c>
      <c r="BG260">
        <f t="shared" si="242"/>
        <v>0</v>
      </c>
      <c r="BH260">
        <f t="shared" si="243"/>
        <v>0</v>
      </c>
      <c r="BI260">
        <f t="shared" si="244"/>
        <v>0</v>
      </c>
      <c r="BJ260">
        <f t="shared" si="245"/>
        <v>0</v>
      </c>
      <c r="BK260">
        <f t="shared" si="246"/>
        <v>0</v>
      </c>
      <c r="BL260">
        <v>0</v>
      </c>
      <c r="BM260" t="str">
        <f t="shared" si="251"/>
        <v>Big Win</v>
      </c>
      <c r="BN260" s="32" t="str">
        <f t="shared" si="252"/>
        <v>Free Plays A</v>
      </c>
      <c r="BO260">
        <f>(D260/Summary!$C$4-Summary!$C$8)^2*E260</f>
        <v>70066.09</v>
      </c>
      <c r="BP260">
        <f t="shared" si="247"/>
        <v>0</v>
      </c>
      <c r="BQ260">
        <f t="shared" si="248"/>
        <v>0</v>
      </c>
      <c r="BR260">
        <f t="shared" si="249"/>
        <v>0</v>
      </c>
      <c r="BS260">
        <f t="shared" si="250"/>
        <v>0</v>
      </c>
    </row>
    <row r="261" spans="2:71">
      <c r="B261" s="16">
        <f>Tiers!B262</f>
        <v>259</v>
      </c>
      <c r="C261" s="17" t="str">
        <f>Tiers!Y262</f>
        <v>main-1|freeplayA-6|||||||| x 1</v>
      </c>
      <c r="D261" s="18">
        <f>Tiers!C262</f>
        <v>29.2</v>
      </c>
      <c r="E261" s="19">
        <f>Frequency!E263</f>
        <v>100</v>
      </c>
      <c r="F261" s="19">
        <f t="shared" si="204"/>
        <v>2920</v>
      </c>
      <c r="G261" s="19">
        <f>IF(Tiers!D262&gt;1,'Data Analysis'!E261,0)</f>
        <v>0</v>
      </c>
      <c r="H261" s="19">
        <f t="shared" si="205"/>
        <v>0</v>
      </c>
      <c r="I261" s="19">
        <f>IF(AND(D261/Summary!$C$4&gt;0, D261/Summary!$C$4&lt;5),E261,0) * D261</f>
        <v>0</v>
      </c>
      <c r="J261" s="19">
        <f>IF(AND(D261/Summary!$C$4&gt;= 5, D261/Summary!$C$4&lt;10),E261,0) * D261</f>
        <v>0</v>
      </c>
      <c r="K261" s="19">
        <f>IF(AND(D261/Summary!$C$4&gt;=10, D261/Summary!$C$4&lt;25),E261,0)*D261</f>
        <v>0</v>
      </c>
      <c r="L261" s="19">
        <f>IF(D261/Summary!$C$4&gt;=25,E261,0)*D261</f>
        <v>2920</v>
      </c>
      <c r="M261" s="27">
        <f>IF(AND(D261/Summary!$C$4&gt;0, D261/Summary!$C$4&lt;1),E261,0)</f>
        <v>0</v>
      </c>
      <c r="N261" s="27">
        <f t="shared" si="206"/>
        <v>0</v>
      </c>
      <c r="O261" s="27">
        <f>IF(D261/Summary!$C$4=1,1,0)*E261</f>
        <v>0</v>
      </c>
      <c r="P261" s="27">
        <f t="shared" si="207"/>
        <v>0</v>
      </c>
      <c r="Q261" s="27">
        <f>IF(AND(D261/Summary!$C$4&gt;1, D261/Summary!$C$4&lt;=2),1,0)*E261</f>
        <v>0</v>
      </c>
      <c r="R261" s="27">
        <f t="shared" si="208"/>
        <v>0</v>
      </c>
      <c r="S261" s="27">
        <f>IF(AND(D261/Summary!$C$4&gt;2,D261/Summary!$C$4&lt;=5),1,0)*E261</f>
        <v>0</v>
      </c>
      <c r="T261" s="27">
        <f t="shared" si="209"/>
        <v>0</v>
      </c>
      <c r="U261" s="27">
        <f>IF(AND(D261/Summary!$C$4&gt;5, D261/Summary!$C$4&lt;=10),1,0)*E261</f>
        <v>0</v>
      </c>
      <c r="V261" s="27">
        <f t="shared" si="210"/>
        <v>0</v>
      </c>
      <c r="W261" s="27">
        <f>IF(AND(D261/Summary!$C$4&gt;10, D261/Summary!$C$4&lt;=20),1,0)*E261</f>
        <v>0</v>
      </c>
      <c r="X261" s="27">
        <f t="shared" si="211"/>
        <v>0</v>
      </c>
      <c r="Y261" s="27">
        <f>IF(AND(D261/Summary!$C$4&gt;20, D261/Summary!$C$4&lt;=30),1,0)*E261</f>
        <v>100</v>
      </c>
      <c r="Z261" s="27">
        <f t="shared" si="212"/>
        <v>2920</v>
      </c>
      <c r="AA261" s="27">
        <f>IF(AND(D261/Summary!$C$4&gt;30, D261/Summary!$C$4&lt;=50),1,0)*E261</f>
        <v>0</v>
      </c>
      <c r="AB261" s="27">
        <f t="shared" si="213"/>
        <v>0</v>
      </c>
      <c r="AC261" s="27">
        <f>IF(AND(D261/Summary!$C$4&gt;50, D261/Summary!$C$4&lt;=100),1,0)*E261</f>
        <v>0</v>
      </c>
      <c r="AD261" s="27">
        <f t="shared" si="214"/>
        <v>0</v>
      </c>
      <c r="AE261" s="27">
        <f>IF(D261/Summary!$C$4&gt;100,1,0)*E261</f>
        <v>0</v>
      </c>
      <c r="AF261" s="27">
        <f t="shared" si="215"/>
        <v>0</v>
      </c>
      <c r="AG261" s="19">
        <f t="shared" si="216"/>
        <v>100</v>
      </c>
      <c r="AH261" s="19">
        <f t="shared" si="217"/>
        <v>0</v>
      </c>
      <c r="AI261" s="19">
        <f t="shared" si="218"/>
        <v>0</v>
      </c>
      <c r="AJ261" s="27">
        <f t="shared" si="219"/>
        <v>1</v>
      </c>
      <c r="AK261" s="27">
        <f t="shared" si="220"/>
        <v>100</v>
      </c>
      <c r="AL261" s="27">
        <f t="shared" si="221"/>
        <v>2920</v>
      </c>
      <c r="AM261">
        <f t="shared" si="222"/>
        <v>0</v>
      </c>
      <c r="AN261">
        <f t="shared" si="223"/>
        <v>0</v>
      </c>
      <c r="AO261">
        <f t="shared" si="224"/>
        <v>0</v>
      </c>
      <c r="AP261">
        <f t="shared" si="225"/>
        <v>0</v>
      </c>
      <c r="AQ261">
        <f t="shared" si="226"/>
        <v>0</v>
      </c>
      <c r="AR261">
        <f t="shared" si="227"/>
        <v>0</v>
      </c>
      <c r="AS261">
        <f t="shared" si="228"/>
        <v>0</v>
      </c>
      <c r="AT261">
        <f t="shared" si="229"/>
        <v>0</v>
      </c>
      <c r="AU261">
        <f t="shared" si="230"/>
        <v>0</v>
      </c>
      <c r="AV261">
        <f t="shared" si="231"/>
        <v>100</v>
      </c>
      <c r="AW261">
        <f t="shared" si="232"/>
        <v>2920</v>
      </c>
      <c r="AX261">
        <f t="shared" si="233"/>
        <v>0</v>
      </c>
      <c r="AY261">
        <f t="shared" si="234"/>
        <v>0</v>
      </c>
      <c r="AZ261">
        <f t="shared" si="235"/>
        <v>0</v>
      </c>
      <c r="BA261">
        <f t="shared" si="236"/>
        <v>0</v>
      </c>
      <c r="BB261">
        <f t="shared" si="237"/>
        <v>0</v>
      </c>
      <c r="BC261">
        <f t="shared" si="238"/>
        <v>0</v>
      </c>
      <c r="BD261">
        <f t="shared" si="239"/>
        <v>0</v>
      </c>
      <c r="BE261">
        <f t="shared" si="240"/>
        <v>0</v>
      </c>
      <c r="BF261">
        <f t="shared" si="241"/>
        <v>0</v>
      </c>
      <c r="BG261">
        <f t="shared" si="242"/>
        <v>0</v>
      </c>
      <c r="BH261">
        <f t="shared" si="243"/>
        <v>0</v>
      </c>
      <c r="BI261">
        <f t="shared" si="244"/>
        <v>0</v>
      </c>
      <c r="BJ261">
        <f t="shared" si="245"/>
        <v>0</v>
      </c>
      <c r="BK261">
        <f t="shared" si="246"/>
        <v>0</v>
      </c>
      <c r="BL261">
        <v>0</v>
      </c>
      <c r="BM261" t="str">
        <f t="shared" si="251"/>
        <v>Big Win</v>
      </c>
      <c r="BN261" s="32" t="str">
        <f t="shared" si="252"/>
        <v>Free Plays A</v>
      </c>
      <c r="BO261">
        <f>(D261/Summary!$C$4-Summary!$C$8)^2*E261</f>
        <v>80485.690000000017</v>
      </c>
      <c r="BP261">
        <f t="shared" si="247"/>
        <v>0</v>
      </c>
      <c r="BQ261">
        <f t="shared" si="248"/>
        <v>0</v>
      </c>
      <c r="BR261">
        <f t="shared" si="249"/>
        <v>0</v>
      </c>
      <c r="BS261">
        <f t="shared" si="250"/>
        <v>0</v>
      </c>
    </row>
    <row r="262" spans="2:71">
      <c r="B262" s="16">
        <f>Tiers!B263</f>
        <v>260</v>
      </c>
      <c r="C262" s="17" t="str">
        <f>Tiers!Y263</f>
        <v>main-4|freeplayA-7|||||||| x 1</v>
      </c>
      <c r="D262" s="18">
        <f>Tiers!C263</f>
        <v>43.4</v>
      </c>
      <c r="E262" s="19">
        <f>Frequency!E264</f>
        <v>11</v>
      </c>
      <c r="F262" s="19">
        <f t="shared" si="204"/>
        <v>477.4</v>
      </c>
      <c r="G262" s="19">
        <f>IF(Tiers!D263&gt;1,'Data Analysis'!E262,0)</f>
        <v>0</v>
      </c>
      <c r="H262" s="19">
        <f t="shared" si="205"/>
        <v>0</v>
      </c>
      <c r="I262" s="19">
        <f>IF(AND(D262/Summary!$C$4&gt;0, D262/Summary!$C$4&lt;5),E262,0) * D262</f>
        <v>0</v>
      </c>
      <c r="J262" s="19">
        <f>IF(AND(D262/Summary!$C$4&gt;= 5, D262/Summary!$C$4&lt;10),E262,0) * D262</f>
        <v>0</v>
      </c>
      <c r="K262" s="19">
        <f>IF(AND(D262/Summary!$C$4&gt;=10, D262/Summary!$C$4&lt;25),E262,0)*D262</f>
        <v>0</v>
      </c>
      <c r="L262" s="19">
        <f>IF(D262/Summary!$C$4&gt;=25,E262,0)*D262</f>
        <v>477.4</v>
      </c>
      <c r="M262" s="27">
        <f>IF(AND(D262/Summary!$C$4&gt;0, D262/Summary!$C$4&lt;1),E262,0)</f>
        <v>0</v>
      </c>
      <c r="N262" s="27">
        <f t="shared" si="206"/>
        <v>0</v>
      </c>
      <c r="O262" s="27">
        <f>IF(D262/Summary!$C$4=1,1,0)*E262</f>
        <v>0</v>
      </c>
      <c r="P262" s="27">
        <f t="shared" si="207"/>
        <v>0</v>
      </c>
      <c r="Q262" s="27">
        <f>IF(AND(D262/Summary!$C$4&gt;1, D262/Summary!$C$4&lt;=2),1,0)*E262</f>
        <v>0</v>
      </c>
      <c r="R262" s="27">
        <f t="shared" si="208"/>
        <v>0</v>
      </c>
      <c r="S262" s="27">
        <f>IF(AND(D262/Summary!$C$4&gt;2,D262/Summary!$C$4&lt;=5),1,0)*E262</f>
        <v>0</v>
      </c>
      <c r="T262" s="27">
        <f t="shared" si="209"/>
        <v>0</v>
      </c>
      <c r="U262" s="27">
        <f>IF(AND(D262/Summary!$C$4&gt;5, D262/Summary!$C$4&lt;=10),1,0)*E262</f>
        <v>0</v>
      </c>
      <c r="V262" s="27">
        <f t="shared" si="210"/>
        <v>0</v>
      </c>
      <c r="W262" s="27">
        <f>IF(AND(D262/Summary!$C$4&gt;10, D262/Summary!$C$4&lt;=20),1,0)*E262</f>
        <v>0</v>
      </c>
      <c r="X262" s="27">
        <f t="shared" si="211"/>
        <v>0</v>
      </c>
      <c r="Y262" s="27">
        <f>IF(AND(D262/Summary!$C$4&gt;20, D262/Summary!$C$4&lt;=30),1,0)*E262</f>
        <v>0</v>
      </c>
      <c r="Z262" s="27">
        <f t="shared" si="212"/>
        <v>0</v>
      </c>
      <c r="AA262" s="27">
        <f>IF(AND(D262/Summary!$C$4&gt;30, D262/Summary!$C$4&lt;=50),1,0)*E262</f>
        <v>11</v>
      </c>
      <c r="AB262" s="27">
        <f t="shared" si="213"/>
        <v>477.4</v>
      </c>
      <c r="AC262" s="27">
        <f>IF(AND(D262/Summary!$C$4&gt;50, D262/Summary!$C$4&lt;=100),1,0)*E262</f>
        <v>0</v>
      </c>
      <c r="AD262" s="27">
        <f t="shared" si="214"/>
        <v>0</v>
      </c>
      <c r="AE262" s="27">
        <f>IF(D262/Summary!$C$4&gt;100,1,0)*E262</f>
        <v>0</v>
      </c>
      <c r="AF262" s="27">
        <f t="shared" si="215"/>
        <v>0</v>
      </c>
      <c r="AG262" s="19">
        <f t="shared" si="216"/>
        <v>11</v>
      </c>
      <c r="AH262" s="19">
        <f t="shared" si="217"/>
        <v>0</v>
      </c>
      <c r="AI262" s="19">
        <f t="shared" si="218"/>
        <v>0</v>
      </c>
      <c r="AJ262" s="27">
        <f t="shared" si="219"/>
        <v>1</v>
      </c>
      <c r="AK262" s="27">
        <f t="shared" si="220"/>
        <v>11</v>
      </c>
      <c r="AL262" s="27">
        <f t="shared" si="221"/>
        <v>477.4</v>
      </c>
      <c r="AM262">
        <f t="shared" si="222"/>
        <v>0</v>
      </c>
      <c r="AN262">
        <f t="shared" si="223"/>
        <v>0</v>
      </c>
      <c r="AO262">
        <f t="shared" si="224"/>
        <v>0</v>
      </c>
      <c r="AP262">
        <f t="shared" si="225"/>
        <v>0</v>
      </c>
      <c r="AQ262">
        <f t="shared" si="226"/>
        <v>0</v>
      </c>
      <c r="AR262">
        <f t="shared" si="227"/>
        <v>0</v>
      </c>
      <c r="AS262">
        <f t="shared" si="228"/>
        <v>0</v>
      </c>
      <c r="AT262">
        <f t="shared" si="229"/>
        <v>0</v>
      </c>
      <c r="AU262">
        <f t="shared" si="230"/>
        <v>0</v>
      </c>
      <c r="AV262">
        <f t="shared" si="231"/>
        <v>11</v>
      </c>
      <c r="AW262">
        <f t="shared" si="232"/>
        <v>477.4</v>
      </c>
      <c r="AX262">
        <f t="shared" si="233"/>
        <v>0</v>
      </c>
      <c r="AY262">
        <f t="shared" si="234"/>
        <v>0</v>
      </c>
      <c r="AZ262">
        <f t="shared" si="235"/>
        <v>0</v>
      </c>
      <c r="BA262">
        <f t="shared" si="236"/>
        <v>0</v>
      </c>
      <c r="BB262">
        <f t="shared" si="237"/>
        <v>0</v>
      </c>
      <c r="BC262">
        <f t="shared" si="238"/>
        <v>0</v>
      </c>
      <c r="BD262">
        <f t="shared" si="239"/>
        <v>0</v>
      </c>
      <c r="BE262">
        <f t="shared" si="240"/>
        <v>0</v>
      </c>
      <c r="BF262">
        <f t="shared" si="241"/>
        <v>0</v>
      </c>
      <c r="BG262">
        <f t="shared" si="242"/>
        <v>0</v>
      </c>
      <c r="BH262">
        <f t="shared" si="243"/>
        <v>0</v>
      </c>
      <c r="BI262">
        <f t="shared" si="244"/>
        <v>0</v>
      </c>
      <c r="BJ262">
        <f t="shared" si="245"/>
        <v>0</v>
      </c>
      <c r="BK262">
        <f t="shared" si="246"/>
        <v>0</v>
      </c>
      <c r="BL262">
        <v>0</v>
      </c>
      <c r="BM262" t="str">
        <f t="shared" si="251"/>
        <v>Big Win</v>
      </c>
      <c r="BN262" s="32" t="str">
        <f t="shared" si="252"/>
        <v>Free Plays A</v>
      </c>
      <c r="BO262">
        <f>(D262/Summary!$C$4-Summary!$C$8)^2*E262</f>
        <v>19934.2539</v>
      </c>
      <c r="BP262">
        <f t="shared" si="247"/>
        <v>0</v>
      </c>
      <c r="BQ262">
        <f t="shared" si="248"/>
        <v>0</v>
      </c>
      <c r="BR262">
        <f t="shared" si="249"/>
        <v>0</v>
      </c>
      <c r="BS262">
        <f t="shared" si="250"/>
        <v>0</v>
      </c>
    </row>
    <row r="263" spans="2:71">
      <c r="B263" s="16">
        <f>Tiers!B264</f>
        <v>261</v>
      </c>
      <c r="C263" s="17" t="str">
        <f>Tiers!Y264</f>
        <v>main-12|freeplayA-8|||||||| x 1</v>
      </c>
      <c r="D263" s="18">
        <f>Tiers!C264</f>
        <v>29</v>
      </c>
      <c r="E263" s="19">
        <f>Frequency!E265</f>
        <v>167</v>
      </c>
      <c r="F263" s="19">
        <f t="shared" si="204"/>
        <v>4843</v>
      </c>
      <c r="G263" s="19">
        <f>IF(Tiers!D264&gt;1,'Data Analysis'!E263,0)</f>
        <v>0</v>
      </c>
      <c r="H263" s="19">
        <f t="shared" si="205"/>
        <v>0</v>
      </c>
      <c r="I263" s="19">
        <f>IF(AND(D263/Summary!$C$4&gt;0, D263/Summary!$C$4&lt;5),E263,0) * D263</f>
        <v>0</v>
      </c>
      <c r="J263" s="19">
        <f>IF(AND(D263/Summary!$C$4&gt;= 5, D263/Summary!$C$4&lt;10),E263,0) * D263</f>
        <v>0</v>
      </c>
      <c r="K263" s="19">
        <f>IF(AND(D263/Summary!$C$4&gt;=10, D263/Summary!$C$4&lt;25),E263,0)*D263</f>
        <v>0</v>
      </c>
      <c r="L263" s="19">
        <f>IF(D263/Summary!$C$4&gt;=25,E263,0)*D263</f>
        <v>4843</v>
      </c>
      <c r="M263" s="27">
        <f>IF(AND(D263/Summary!$C$4&gt;0, D263/Summary!$C$4&lt;1),E263,0)</f>
        <v>0</v>
      </c>
      <c r="N263" s="27">
        <f t="shared" si="206"/>
        <v>0</v>
      </c>
      <c r="O263" s="27">
        <f>IF(D263/Summary!$C$4=1,1,0)*E263</f>
        <v>0</v>
      </c>
      <c r="P263" s="27">
        <f t="shared" si="207"/>
        <v>0</v>
      </c>
      <c r="Q263" s="27">
        <f>IF(AND(D263/Summary!$C$4&gt;1, D263/Summary!$C$4&lt;=2),1,0)*E263</f>
        <v>0</v>
      </c>
      <c r="R263" s="27">
        <f t="shared" si="208"/>
        <v>0</v>
      </c>
      <c r="S263" s="27">
        <f>IF(AND(D263/Summary!$C$4&gt;2,D263/Summary!$C$4&lt;=5),1,0)*E263</f>
        <v>0</v>
      </c>
      <c r="T263" s="27">
        <f t="shared" si="209"/>
        <v>0</v>
      </c>
      <c r="U263" s="27">
        <f>IF(AND(D263/Summary!$C$4&gt;5, D263/Summary!$C$4&lt;=10),1,0)*E263</f>
        <v>0</v>
      </c>
      <c r="V263" s="27">
        <f t="shared" si="210"/>
        <v>0</v>
      </c>
      <c r="W263" s="27">
        <f>IF(AND(D263/Summary!$C$4&gt;10, D263/Summary!$C$4&lt;=20),1,0)*E263</f>
        <v>0</v>
      </c>
      <c r="X263" s="27">
        <f t="shared" si="211"/>
        <v>0</v>
      </c>
      <c r="Y263" s="27">
        <f>IF(AND(D263/Summary!$C$4&gt;20, D263/Summary!$C$4&lt;=30),1,0)*E263</f>
        <v>167</v>
      </c>
      <c r="Z263" s="27">
        <f t="shared" si="212"/>
        <v>4843</v>
      </c>
      <c r="AA263" s="27">
        <f>IF(AND(D263/Summary!$C$4&gt;30, D263/Summary!$C$4&lt;=50),1,0)*E263</f>
        <v>0</v>
      </c>
      <c r="AB263" s="27">
        <f t="shared" si="213"/>
        <v>0</v>
      </c>
      <c r="AC263" s="27">
        <f>IF(AND(D263/Summary!$C$4&gt;50, D263/Summary!$C$4&lt;=100),1,0)*E263</f>
        <v>0</v>
      </c>
      <c r="AD263" s="27">
        <f t="shared" si="214"/>
        <v>0</v>
      </c>
      <c r="AE263" s="27">
        <f>IF(D263/Summary!$C$4&gt;100,1,0)*E263</f>
        <v>0</v>
      </c>
      <c r="AF263" s="27">
        <f t="shared" si="215"/>
        <v>0</v>
      </c>
      <c r="AG263" s="19">
        <f t="shared" si="216"/>
        <v>167</v>
      </c>
      <c r="AH263" s="19">
        <f t="shared" si="217"/>
        <v>0</v>
      </c>
      <c r="AI263" s="19">
        <f t="shared" si="218"/>
        <v>0</v>
      </c>
      <c r="AJ263" s="27">
        <f t="shared" si="219"/>
        <v>1</v>
      </c>
      <c r="AK263" s="27">
        <f t="shared" si="220"/>
        <v>167</v>
      </c>
      <c r="AL263" s="27">
        <f t="shared" si="221"/>
        <v>4843</v>
      </c>
      <c r="AM263">
        <f t="shared" si="222"/>
        <v>0</v>
      </c>
      <c r="AN263">
        <f t="shared" si="223"/>
        <v>0</v>
      </c>
      <c r="AO263">
        <f t="shared" si="224"/>
        <v>0</v>
      </c>
      <c r="AP263">
        <f t="shared" si="225"/>
        <v>0</v>
      </c>
      <c r="AQ263">
        <f t="shared" si="226"/>
        <v>0</v>
      </c>
      <c r="AR263">
        <f t="shared" si="227"/>
        <v>0</v>
      </c>
      <c r="AS263">
        <f t="shared" si="228"/>
        <v>0</v>
      </c>
      <c r="AT263">
        <f t="shared" si="229"/>
        <v>0</v>
      </c>
      <c r="AU263">
        <f t="shared" si="230"/>
        <v>0</v>
      </c>
      <c r="AV263">
        <f t="shared" si="231"/>
        <v>167</v>
      </c>
      <c r="AW263">
        <f t="shared" si="232"/>
        <v>4843</v>
      </c>
      <c r="AX263">
        <f t="shared" si="233"/>
        <v>0</v>
      </c>
      <c r="AY263">
        <f t="shared" si="234"/>
        <v>0</v>
      </c>
      <c r="AZ263">
        <f t="shared" si="235"/>
        <v>0</v>
      </c>
      <c r="BA263">
        <f t="shared" si="236"/>
        <v>0</v>
      </c>
      <c r="BB263">
        <f t="shared" si="237"/>
        <v>0</v>
      </c>
      <c r="BC263">
        <f t="shared" si="238"/>
        <v>0</v>
      </c>
      <c r="BD263">
        <f t="shared" si="239"/>
        <v>0</v>
      </c>
      <c r="BE263">
        <f t="shared" si="240"/>
        <v>0</v>
      </c>
      <c r="BF263">
        <f t="shared" si="241"/>
        <v>0</v>
      </c>
      <c r="BG263">
        <f t="shared" si="242"/>
        <v>0</v>
      </c>
      <c r="BH263">
        <f t="shared" si="243"/>
        <v>0</v>
      </c>
      <c r="BI263">
        <f t="shared" si="244"/>
        <v>0</v>
      </c>
      <c r="BJ263">
        <f t="shared" si="245"/>
        <v>0</v>
      </c>
      <c r="BK263">
        <f t="shared" si="246"/>
        <v>0</v>
      </c>
      <c r="BL263">
        <v>0</v>
      </c>
      <c r="BM263" t="str">
        <f t="shared" si="251"/>
        <v>Big Win</v>
      </c>
      <c r="BN263" s="32" t="str">
        <f t="shared" si="252"/>
        <v>Free Plays A</v>
      </c>
      <c r="BO263">
        <f>(D263/Summary!$C$4-Summary!$C$8)^2*E263</f>
        <v>132522.66630000001</v>
      </c>
      <c r="BP263">
        <f t="shared" si="247"/>
        <v>0</v>
      </c>
      <c r="BQ263">
        <f t="shared" si="248"/>
        <v>0</v>
      </c>
      <c r="BR263">
        <f t="shared" si="249"/>
        <v>0</v>
      </c>
      <c r="BS263">
        <f t="shared" si="250"/>
        <v>0</v>
      </c>
    </row>
    <row r="264" spans="2:71">
      <c r="B264" s="16">
        <f>Tiers!B265</f>
        <v>262</v>
      </c>
      <c r="C264" s="17" t="str">
        <f>Tiers!Y265</f>
        <v>main-8|freeplayA-9|||||||| x 1</v>
      </c>
      <c r="D264" s="18">
        <f>Tiers!C265</f>
        <v>49.099999999999994</v>
      </c>
      <c r="E264" s="19">
        <f>Frequency!E266</f>
        <v>9</v>
      </c>
      <c r="F264" s="19">
        <f t="shared" si="204"/>
        <v>441.9</v>
      </c>
      <c r="G264" s="19">
        <f>IF(Tiers!D265&gt;1,'Data Analysis'!E264,0)</f>
        <v>0</v>
      </c>
      <c r="H264" s="19">
        <f t="shared" si="205"/>
        <v>0</v>
      </c>
      <c r="I264" s="19">
        <f>IF(AND(D264/Summary!$C$4&gt;0, D264/Summary!$C$4&lt;5),E264,0) * D264</f>
        <v>0</v>
      </c>
      <c r="J264" s="19">
        <f>IF(AND(D264/Summary!$C$4&gt;= 5, D264/Summary!$C$4&lt;10),E264,0) * D264</f>
        <v>0</v>
      </c>
      <c r="K264" s="19">
        <f>IF(AND(D264/Summary!$C$4&gt;=10, D264/Summary!$C$4&lt;25),E264,0)*D264</f>
        <v>0</v>
      </c>
      <c r="L264" s="19">
        <f>IF(D264/Summary!$C$4&gt;=25,E264,0)*D264</f>
        <v>441.9</v>
      </c>
      <c r="M264" s="27">
        <f>IF(AND(D264/Summary!$C$4&gt;0, D264/Summary!$C$4&lt;1),E264,0)</f>
        <v>0</v>
      </c>
      <c r="N264" s="27">
        <f t="shared" si="206"/>
        <v>0</v>
      </c>
      <c r="O264" s="27">
        <f>IF(D264/Summary!$C$4=1,1,0)*E264</f>
        <v>0</v>
      </c>
      <c r="P264" s="27">
        <f t="shared" si="207"/>
        <v>0</v>
      </c>
      <c r="Q264" s="27">
        <f>IF(AND(D264/Summary!$C$4&gt;1, D264/Summary!$C$4&lt;=2),1,0)*E264</f>
        <v>0</v>
      </c>
      <c r="R264" s="27">
        <f t="shared" si="208"/>
        <v>0</v>
      </c>
      <c r="S264" s="27">
        <f>IF(AND(D264/Summary!$C$4&gt;2,D264/Summary!$C$4&lt;=5),1,0)*E264</f>
        <v>0</v>
      </c>
      <c r="T264" s="27">
        <f t="shared" si="209"/>
        <v>0</v>
      </c>
      <c r="U264" s="27">
        <f>IF(AND(D264/Summary!$C$4&gt;5, D264/Summary!$C$4&lt;=10),1,0)*E264</f>
        <v>0</v>
      </c>
      <c r="V264" s="27">
        <f t="shared" si="210"/>
        <v>0</v>
      </c>
      <c r="W264" s="27">
        <f>IF(AND(D264/Summary!$C$4&gt;10, D264/Summary!$C$4&lt;=20),1,0)*E264</f>
        <v>0</v>
      </c>
      <c r="X264" s="27">
        <f t="shared" si="211"/>
        <v>0</v>
      </c>
      <c r="Y264" s="27">
        <f>IF(AND(D264/Summary!$C$4&gt;20, D264/Summary!$C$4&lt;=30),1,0)*E264</f>
        <v>0</v>
      </c>
      <c r="Z264" s="27">
        <f t="shared" si="212"/>
        <v>0</v>
      </c>
      <c r="AA264" s="27">
        <f>IF(AND(D264/Summary!$C$4&gt;30, D264/Summary!$C$4&lt;=50),1,0)*E264</f>
        <v>9</v>
      </c>
      <c r="AB264" s="27">
        <f t="shared" si="213"/>
        <v>441.9</v>
      </c>
      <c r="AC264" s="27">
        <f>IF(AND(D264/Summary!$C$4&gt;50, D264/Summary!$C$4&lt;=100),1,0)*E264</f>
        <v>0</v>
      </c>
      <c r="AD264" s="27">
        <f t="shared" si="214"/>
        <v>0</v>
      </c>
      <c r="AE264" s="27">
        <f>IF(D264/Summary!$C$4&gt;100,1,0)*E264</f>
        <v>0</v>
      </c>
      <c r="AF264" s="27">
        <f t="shared" si="215"/>
        <v>0</v>
      </c>
      <c r="AG264" s="19">
        <f t="shared" si="216"/>
        <v>9</v>
      </c>
      <c r="AH264" s="19">
        <f t="shared" si="217"/>
        <v>0</v>
      </c>
      <c r="AI264" s="19">
        <f t="shared" si="218"/>
        <v>0</v>
      </c>
      <c r="AJ264" s="27">
        <f t="shared" si="219"/>
        <v>1</v>
      </c>
      <c r="AK264" s="27">
        <f t="shared" si="220"/>
        <v>9</v>
      </c>
      <c r="AL264" s="27">
        <f t="shared" si="221"/>
        <v>441.9</v>
      </c>
      <c r="AM264">
        <f t="shared" si="222"/>
        <v>0</v>
      </c>
      <c r="AN264">
        <f t="shared" si="223"/>
        <v>0</v>
      </c>
      <c r="AO264">
        <f t="shared" si="224"/>
        <v>0</v>
      </c>
      <c r="AP264">
        <f t="shared" si="225"/>
        <v>0</v>
      </c>
      <c r="AQ264">
        <f t="shared" si="226"/>
        <v>0</v>
      </c>
      <c r="AR264">
        <f t="shared" si="227"/>
        <v>0</v>
      </c>
      <c r="AS264">
        <f t="shared" si="228"/>
        <v>0</v>
      </c>
      <c r="AT264">
        <f t="shared" si="229"/>
        <v>0</v>
      </c>
      <c r="AU264">
        <f t="shared" si="230"/>
        <v>0</v>
      </c>
      <c r="AV264">
        <f t="shared" si="231"/>
        <v>9</v>
      </c>
      <c r="AW264">
        <f t="shared" si="232"/>
        <v>441.9</v>
      </c>
      <c r="AX264">
        <f t="shared" si="233"/>
        <v>0</v>
      </c>
      <c r="AY264">
        <f t="shared" si="234"/>
        <v>0</v>
      </c>
      <c r="AZ264">
        <f t="shared" si="235"/>
        <v>0</v>
      </c>
      <c r="BA264">
        <f t="shared" si="236"/>
        <v>0</v>
      </c>
      <c r="BB264">
        <f t="shared" si="237"/>
        <v>0</v>
      </c>
      <c r="BC264">
        <f t="shared" si="238"/>
        <v>0</v>
      </c>
      <c r="BD264">
        <f t="shared" si="239"/>
        <v>0</v>
      </c>
      <c r="BE264">
        <f t="shared" si="240"/>
        <v>0</v>
      </c>
      <c r="BF264">
        <f t="shared" si="241"/>
        <v>0</v>
      </c>
      <c r="BG264">
        <f t="shared" si="242"/>
        <v>0</v>
      </c>
      <c r="BH264">
        <f t="shared" si="243"/>
        <v>0</v>
      </c>
      <c r="BI264">
        <f t="shared" si="244"/>
        <v>0</v>
      </c>
      <c r="BJ264">
        <f t="shared" si="245"/>
        <v>0</v>
      </c>
      <c r="BK264">
        <f t="shared" si="246"/>
        <v>0</v>
      </c>
      <c r="BL264">
        <v>0</v>
      </c>
      <c r="BM264" t="str">
        <f t="shared" si="251"/>
        <v>Big Win</v>
      </c>
      <c r="BN264" s="32" t="str">
        <f t="shared" si="252"/>
        <v>Free Plays A</v>
      </c>
      <c r="BO264">
        <f>(D264/Summary!$C$4-Summary!$C$8)^2*E264</f>
        <v>20969.936099999999</v>
      </c>
      <c r="BP264">
        <f t="shared" si="247"/>
        <v>0</v>
      </c>
      <c r="BQ264">
        <f t="shared" si="248"/>
        <v>0</v>
      </c>
      <c r="BR264">
        <f t="shared" si="249"/>
        <v>0</v>
      </c>
      <c r="BS264">
        <f t="shared" si="250"/>
        <v>0</v>
      </c>
    </row>
    <row r="265" spans="2:71">
      <c r="B265" s="16">
        <f>Tiers!B266</f>
        <v>263</v>
      </c>
      <c r="C265" s="17" t="str">
        <f>Tiers!Y266</f>
        <v>main-22|freeplayA-10|||||||| x 1</v>
      </c>
      <c r="D265" s="18">
        <f>Tiers!C266</f>
        <v>21</v>
      </c>
      <c r="E265" s="19">
        <f>Frequency!E267</f>
        <v>300</v>
      </c>
      <c r="F265" s="19">
        <f t="shared" si="204"/>
        <v>6300</v>
      </c>
      <c r="G265" s="19">
        <f>IF(Tiers!D266&gt;1,'Data Analysis'!E265,0)</f>
        <v>0</v>
      </c>
      <c r="H265" s="19">
        <f t="shared" si="205"/>
        <v>0</v>
      </c>
      <c r="I265" s="19">
        <f>IF(AND(D265/Summary!$C$4&gt;0, D265/Summary!$C$4&lt;5),E265,0) * D265</f>
        <v>0</v>
      </c>
      <c r="J265" s="19">
        <f>IF(AND(D265/Summary!$C$4&gt;= 5, D265/Summary!$C$4&lt;10),E265,0) * D265</f>
        <v>0</v>
      </c>
      <c r="K265" s="19">
        <f>IF(AND(D265/Summary!$C$4&gt;=10, D265/Summary!$C$4&lt;25),E265,0)*D265</f>
        <v>6300</v>
      </c>
      <c r="L265" s="19">
        <f>IF(D265/Summary!$C$4&gt;=25,E265,0)*D265</f>
        <v>0</v>
      </c>
      <c r="M265" s="27">
        <f>IF(AND(D265/Summary!$C$4&gt;0, D265/Summary!$C$4&lt;1),E265,0)</f>
        <v>0</v>
      </c>
      <c r="N265" s="27">
        <f t="shared" si="206"/>
        <v>0</v>
      </c>
      <c r="O265" s="27">
        <f>IF(D265/Summary!$C$4=1,1,0)*E265</f>
        <v>0</v>
      </c>
      <c r="P265" s="27">
        <f t="shared" si="207"/>
        <v>0</v>
      </c>
      <c r="Q265" s="27">
        <f>IF(AND(D265/Summary!$C$4&gt;1, D265/Summary!$C$4&lt;=2),1,0)*E265</f>
        <v>0</v>
      </c>
      <c r="R265" s="27">
        <f t="shared" si="208"/>
        <v>0</v>
      </c>
      <c r="S265" s="27">
        <f>IF(AND(D265/Summary!$C$4&gt;2,D265/Summary!$C$4&lt;=5),1,0)*E265</f>
        <v>0</v>
      </c>
      <c r="T265" s="27">
        <f t="shared" si="209"/>
        <v>0</v>
      </c>
      <c r="U265" s="27">
        <f>IF(AND(D265/Summary!$C$4&gt;5, D265/Summary!$C$4&lt;=10),1,0)*E265</f>
        <v>0</v>
      </c>
      <c r="V265" s="27">
        <f t="shared" si="210"/>
        <v>0</v>
      </c>
      <c r="W265" s="27">
        <f>IF(AND(D265/Summary!$C$4&gt;10, D265/Summary!$C$4&lt;=20),1,0)*E265</f>
        <v>0</v>
      </c>
      <c r="X265" s="27">
        <f t="shared" si="211"/>
        <v>0</v>
      </c>
      <c r="Y265" s="27">
        <f>IF(AND(D265/Summary!$C$4&gt;20, D265/Summary!$C$4&lt;=30),1,0)*E265</f>
        <v>300</v>
      </c>
      <c r="Z265" s="27">
        <f t="shared" si="212"/>
        <v>6300</v>
      </c>
      <c r="AA265" s="27">
        <f>IF(AND(D265/Summary!$C$4&gt;30, D265/Summary!$C$4&lt;=50),1,0)*E265</f>
        <v>0</v>
      </c>
      <c r="AB265" s="27">
        <f t="shared" si="213"/>
        <v>0</v>
      </c>
      <c r="AC265" s="27">
        <f>IF(AND(D265/Summary!$C$4&gt;50, D265/Summary!$C$4&lt;=100),1,0)*E265</f>
        <v>0</v>
      </c>
      <c r="AD265" s="27">
        <f t="shared" si="214"/>
        <v>0</v>
      </c>
      <c r="AE265" s="27">
        <f>IF(D265/Summary!$C$4&gt;100,1,0)*E265</f>
        <v>0</v>
      </c>
      <c r="AF265" s="27">
        <f t="shared" si="215"/>
        <v>0</v>
      </c>
      <c r="AG265" s="19">
        <f t="shared" si="216"/>
        <v>300</v>
      </c>
      <c r="AH265" s="19">
        <f t="shared" si="217"/>
        <v>0</v>
      </c>
      <c r="AI265" s="19">
        <f t="shared" si="218"/>
        <v>0</v>
      </c>
      <c r="AJ265" s="27">
        <f t="shared" si="219"/>
        <v>1</v>
      </c>
      <c r="AK265" s="27">
        <f t="shared" si="220"/>
        <v>300</v>
      </c>
      <c r="AL265" s="27">
        <f t="shared" si="221"/>
        <v>6300</v>
      </c>
      <c r="AM265">
        <f t="shared" si="222"/>
        <v>0</v>
      </c>
      <c r="AN265">
        <f t="shared" si="223"/>
        <v>0</v>
      </c>
      <c r="AO265">
        <f t="shared" si="224"/>
        <v>0</v>
      </c>
      <c r="AP265">
        <f t="shared" si="225"/>
        <v>0</v>
      </c>
      <c r="AQ265">
        <f t="shared" si="226"/>
        <v>0</v>
      </c>
      <c r="AR265">
        <f t="shared" si="227"/>
        <v>0</v>
      </c>
      <c r="AS265">
        <f t="shared" si="228"/>
        <v>0</v>
      </c>
      <c r="AT265">
        <f t="shared" si="229"/>
        <v>0</v>
      </c>
      <c r="AU265">
        <f t="shared" si="230"/>
        <v>0</v>
      </c>
      <c r="AV265">
        <f t="shared" si="231"/>
        <v>300</v>
      </c>
      <c r="AW265">
        <f t="shared" si="232"/>
        <v>6300</v>
      </c>
      <c r="AX265">
        <f t="shared" si="233"/>
        <v>0</v>
      </c>
      <c r="AY265">
        <f t="shared" si="234"/>
        <v>0</v>
      </c>
      <c r="AZ265">
        <f t="shared" si="235"/>
        <v>0</v>
      </c>
      <c r="BA265">
        <f t="shared" si="236"/>
        <v>0</v>
      </c>
      <c r="BB265">
        <f t="shared" si="237"/>
        <v>0</v>
      </c>
      <c r="BC265">
        <f t="shared" si="238"/>
        <v>0</v>
      </c>
      <c r="BD265">
        <f t="shared" si="239"/>
        <v>0</v>
      </c>
      <c r="BE265">
        <f t="shared" si="240"/>
        <v>0</v>
      </c>
      <c r="BF265">
        <f t="shared" si="241"/>
        <v>0</v>
      </c>
      <c r="BG265">
        <f t="shared" si="242"/>
        <v>0</v>
      </c>
      <c r="BH265">
        <f t="shared" si="243"/>
        <v>0</v>
      </c>
      <c r="BI265">
        <f t="shared" si="244"/>
        <v>0</v>
      </c>
      <c r="BJ265">
        <f t="shared" si="245"/>
        <v>0</v>
      </c>
      <c r="BK265">
        <f t="shared" si="246"/>
        <v>0</v>
      </c>
      <c r="BL265">
        <v>0</v>
      </c>
      <c r="BM265" t="str">
        <f t="shared" si="251"/>
        <v>Big Win</v>
      </c>
      <c r="BN265" s="32" t="str">
        <f t="shared" si="252"/>
        <v>Free Plays A</v>
      </c>
      <c r="BO265">
        <f>(D265/Summary!$C$4-Summary!$C$8)^2*E265</f>
        <v>122048.67000000003</v>
      </c>
      <c r="BP265">
        <f t="shared" si="247"/>
        <v>0</v>
      </c>
      <c r="BQ265">
        <f t="shared" si="248"/>
        <v>0</v>
      </c>
      <c r="BR265">
        <f t="shared" si="249"/>
        <v>0</v>
      </c>
      <c r="BS265">
        <f t="shared" si="250"/>
        <v>0</v>
      </c>
    </row>
    <row r="266" spans="2:71">
      <c r="B266" s="16">
        <f>Tiers!B267</f>
        <v>264</v>
      </c>
      <c r="C266" s="17" t="str">
        <f>Tiers!Y267</f>
        <v>main-31|freeplayA-11|||||||| x 1</v>
      </c>
      <c r="D266" s="18">
        <f>Tiers!C267</f>
        <v>30.400000000000002</v>
      </c>
      <c r="E266" s="19">
        <f>Frequency!E268</f>
        <v>50</v>
      </c>
      <c r="F266" s="19">
        <f t="shared" si="204"/>
        <v>1520</v>
      </c>
      <c r="G266" s="19">
        <f>IF(Tiers!D267&gt;1,'Data Analysis'!E266,0)</f>
        <v>0</v>
      </c>
      <c r="H266" s="19">
        <f t="shared" si="205"/>
        <v>0</v>
      </c>
      <c r="I266" s="19">
        <f>IF(AND(D266/Summary!$C$4&gt;0, D266/Summary!$C$4&lt;5),E266,0) * D266</f>
        <v>0</v>
      </c>
      <c r="J266" s="19">
        <f>IF(AND(D266/Summary!$C$4&gt;= 5, D266/Summary!$C$4&lt;10),E266,0) * D266</f>
        <v>0</v>
      </c>
      <c r="K266" s="19">
        <f>IF(AND(D266/Summary!$C$4&gt;=10, D266/Summary!$C$4&lt;25),E266,0)*D266</f>
        <v>0</v>
      </c>
      <c r="L266" s="19">
        <f>IF(D266/Summary!$C$4&gt;=25,E266,0)*D266</f>
        <v>1520</v>
      </c>
      <c r="M266" s="27">
        <f>IF(AND(D266/Summary!$C$4&gt;0, D266/Summary!$C$4&lt;1),E266,0)</f>
        <v>0</v>
      </c>
      <c r="N266" s="27">
        <f t="shared" si="206"/>
        <v>0</v>
      </c>
      <c r="O266" s="27">
        <f>IF(D266/Summary!$C$4=1,1,0)*E266</f>
        <v>0</v>
      </c>
      <c r="P266" s="27">
        <f t="shared" si="207"/>
        <v>0</v>
      </c>
      <c r="Q266" s="27">
        <f>IF(AND(D266/Summary!$C$4&gt;1, D266/Summary!$C$4&lt;=2),1,0)*E266</f>
        <v>0</v>
      </c>
      <c r="R266" s="27">
        <f t="shared" si="208"/>
        <v>0</v>
      </c>
      <c r="S266" s="27">
        <f>IF(AND(D266/Summary!$C$4&gt;2,D266/Summary!$C$4&lt;=5),1,0)*E266</f>
        <v>0</v>
      </c>
      <c r="T266" s="27">
        <f t="shared" si="209"/>
        <v>0</v>
      </c>
      <c r="U266" s="27">
        <f>IF(AND(D266/Summary!$C$4&gt;5, D266/Summary!$C$4&lt;=10),1,0)*E266</f>
        <v>0</v>
      </c>
      <c r="V266" s="27">
        <f t="shared" si="210"/>
        <v>0</v>
      </c>
      <c r="W266" s="27">
        <f>IF(AND(D266/Summary!$C$4&gt;10, D266/Summary!$C$4&lt;=20),1,0)*E266</f>
        <v>0</v>
      </c>
      <c r="X266" s="27">
        <f t="shared" si="211"/>
        <v>0</v>
      </c>
      <c r="Y266" s="27">
        <f>IF(AND(D266/Summary!$C$4&gt;20, D266/Summary!$C$4&lt;=30),1,0)*E266</f>
        <v>0</v>
      </c>
      <c r="Z266" s="27">
        <f t="shared" si="212"/>
        <v>0</v>
      </c>
      <c r="AA266" s="27">
        <f>IF(AND(D266/Summary!$C$4&gt;30, D266/Summary!$C$4&lt;=50),1,0)*E266</f>
        <v>50</v>
      </c>
      <c r="AB266" s="27">
        <f t="shared" si="213"/>
        <v>1520</v>
      </c>
      <c r="AC266" s="27">
        <f>IF(AND(D266/Summary!$C$4&gt;50, D266/Summary!$C$4&lt;=100),1,0)*E266</f>
        <v>0</v>
      </c>
      <c r="AD266" s="27">
        <f t="shared" si="214"/>
        <v>0</v>
      </c>
      <c r="AE266" s="27">
        <f>IF(D266/Summary!$C$4&gt;100,1,0)*E266</f>
        <v>0</v>
      </c>
      <c r="AF266" s="27">
        <f t="shared" si="215"/>
        <v>0</v>
      </c>
      <c r="AG266" s="19">
        <f t="shared" si="216"/>
        <v>50</v>
      </c>
      <c r="AH266" s="19">
        <f t="shared" si="217"/>
        <v>0</v>
      </c>
      <c r="AI266" s="19">
        <f t="shared" si="218"/>
        <v>0</v>
      </c>
      <c r="AJ266" s="27">
        <f t="shared" si="219"/>
        <v>1</v>
      </c>
      <c r="AK266" s="27">
        <f t="shared" si="220"/>
        <v>50</v>
      </c>
      <c r="AL266" s="27">
        <f t="shared" si="221"/>
        <v>1520</v>
      </c>
      <c r="AM266">
        <f t="shared" si="222"/>
        <v>0</v>
      </c>
      <c r="AN266">
        <f t="shared" si="223"/>
        <v>0</v>
      </c>
      <c r="AO266">
        <f t="shared" si="224"/>
        <v>0</v>
      </c>
      <c r="AP266">
        <f t="shared" si="225"/>
        <v>0</v>
      </c>
      <c r="AQ266">
        <f t="shared" si="226"/>
        <v>0</v>
      </c>
      <c r="AR266">
        <f t="shared" si="227"/>
        <v>0</v>
      </c>
      <c r="AS266">
        <f t="shared" si="228"/>
        <v>0</v>
      </c>
      <c r="AT266">
        <f t="shared" si="229"/>
        <v>0</v>
      </c>
      <c r="AU266">
        <f t="shared" si="230"/>
        <v>0</v>
      </c>
      <c r="AV266">
        <f t="shared" si="231"/>
        <v>50</v>
      </c>
      <c r="AW266">
        <f t="shared" si="232"/>
        <v>1520</v>
      </c>
      <c r="AX266">
        <f t="shared" si="233"/>
        <v>0</v>
      </c>
      <c r="AY266">
        <f t="shared" si="234"/>
        <v>0</v>
      </c>
      <c r="AZ266">
        <f t="shared" si="235"/>
        <v>0</v>
      </c>
      <c r="BA266">
        <f t="shared" si="236"/>
        <v>0</v>
      </c>
      <c r="BB266">
        <f t="shared" si="237"/>
        <v>0</v>
      </c>
      <c r="BC266">
        <f t="shared" si="238"/>
        <v>0</v>
      </c>
      <c r="BD266">
        <f t="shared" si="239"/>
        <v>0</v>
      </c>
      <c r="BE266">
        <f t="shared" si="240"/>
        <v>0</v>
      </c>
      <c r="BF266">
        <f t="shared" si="241"/>
        <v>0</v>
      </c>
      <c r="BG266">
        <f t="shared" si="242"/>
        <v>0</v>
      </c>
      <c r="BH266">
        <f t="shared" si="243"/>
        <v>0</v>
      </c>
      <c r="BI266">
        <f t="shared" si="244"/>
        <v>0</v>
      </c>
      <c r="BJ266">
        <f t="shared" si="245"/>
        <v>0</v>
      </c>
      <c r="BK266">
        <f t="shared" si="246"/>
        <v>0</v>
      </c>
      <c r="BL266">
        <v>0</v>
      </c>
      <c r="BM266" t="str">
        <f t="shared" si="251"/>
        <v>Big Win</v>
      </c>
      <c r="BN266" s="32" t="str">
        <f t="shared" si="252"/>
        <v>Free Plays A</v>
      </c>
      <c r="BO266">
        <f>(D266/Summary!$C$4-Summary!$C$8)^2*E266</f>
        <v>43719.24500000001</v>
      </c>
      <c r="BP266">
        <f t="shared" si="247"/>
        <v>0</v>
      </c>
      <c r="BQ266">
        <f t="shared" si="248"/>
        <v>0</v>
      </c>
      <c r="BR266">
        <f t="shared" si="249"/>
        <v>0</v>
      </c>
      <c r="BS266">
        <f t="shared" si="250"/>
        <v>0</v>
      </c>
    </row>
    <row r="267" spans="2:71">
      <c r="B267" s="16">
        <f>Tiers!B268</f>
        <v>265</v>
      </c>
      <c r="C267" s="17" t="str">
        <f>Tiers!Y268</f>
        <v>main-2|freeplayA-12|||||||| x 1</v>
      </c>
      <c r="D267" s="18">
        <f>Tiers!C268</f>
        <v>35.400000000000006</v>
      </c>
      <c r="E267" s="19">
        <f>Frequency!E269</f>
        <v>100</v>
      </c>
      <c r="F267" s="19">
        <f t="shared" si="204"/>
        <v>3540.0000000000005</v>
      </c>
      <c r="G267" s="19">
        <f>IF(Tiers!D268&gt;1,'Data Analysis'!E267,0)</f>
        <v>0</v>
      </c>
      <c r="H267" s="19">
        <f t="shared" si="205"/>
        <v>0</v>
      </c>
      <c r="I267" s="19">
        <f>IF(AND(D267/Summary!$C$4&gt;0, D267/Summary!$C$4&lt;5),E267,0) * D267</f>
        <v>0</v>
      </c>
      <c r="J267" s="19">
        <f>IF(AND(D267/Summary!$C$4&gt;= 5, D267/Summary!$C$4&lt;10),E267,0) * D267</f>
        <v>0</v>
      </c>
      <c r="K267" s="19">
        <f>IF(AND(D267/Summary!$C$4&gt;=10, D267/Summary!$C$4&lt;25),E267,0)*D267</f>
        <v>0</v>
      </c>
      <c r="L267" s="19">
        <f>IF(D267/Summary!$C$4&gt;=25,E267,0)*D267</f>
        <v>3540.0000000000005</v>
      </c>
      <c r="M267" s="27">
        <f>IF(AND(D267/Summary!$C$4&gt;0, D267/Summary!$C$4&lt;1),E267,0)</f>
        <v>0</v>
      </c>
      <c r="N267" s="27">
        <f t="shared" si="206"/>
        <v>0</v>
      </c>
      <c r="O267" s="27">
        <f>IF(D267/Summary!$C$4=1,1,0)*E267</f>
        <v>0</v>
      </c>
      <c r="P267" s="27">
        <f t="shared" si="207"/>
        <v>0</v>
      </c>
      <c r="Q267" s="27">
        <f>IF(AND(D267/Summary!$C$4&gt;1, D267/Summary!$C$4&lt;=2),1,0)*E267</f>
        <v>0</v>
      </c>
      <c r="R267" s="27">
        <f t="shared" si="208"/>
        <v>0</v>
      </c>
      <c r="S267" s="27">
        <f>IF(AND(D267/Summary!$C$4&gt;2,D267/Summary!$C$4&lt;=5),1,0)*E267</f>
        <v>0</v>
      </c>
      <c r="T267" s="27">
        <f t="shared" si="209"/>
        <v>0</v>
      </c>
      <c r="U267" s="27">
        <f>IF(AND(D267/Summary!$C$4&gt;5, D267/Summary!$C$4&lt;=10),1,0)*E267</f>
        <v>0</v>
      </c>
      <c r="V267" s="27">
        <f t="shared" si="210"/>
        <v>0</v>
      </c>
      <c r="W267" s="27">
        <f>IF(AND(D267/Summary!$C$4&gt;10, D267/Summary!$C$4&lt;=20),1,0)*E267</f>
        <v>0</v>
      </c>
      <c r="X267" s="27">
        <f t="shared" si="211"/>
        <v>0</v>
      </c>
      <c r="Y267" s="27">
        <f>IF(AND(D267/Summary!$C$4&gt;20, D267/Summary!$C$4&lt;=30),1,0)*E267</f>
        <v>0</v>
      </c>
      <c r="Z267" s="27">
        <f t="shared" si="212"/>
        <v>0</v>
      </c>
      <c r="AA267" s="27">
        <f>IF(AND(D267/Summary!$C$4&gt;30, D267/Summary!$C$4&lt;=50),1,0)*E267</f>
        <v>100</v>
      </c>
      <c r="AB267" s="27">
        <f t="shared" si="213"/>
        <v>3540.0000000000005</v>
      </c>
      <c r="AC267" s="27">
        <f>IF(AND(D267/Summary!$C$4&gt;50, D267/Summary!$C$4&lt;=100),1,0)*E267</f>
        <v>0</v>
      </c>
      <c r="AD267" s="27">
        <f t="shared" si="214"/>
        <v>0</v>
      </c>
      <c r="AE267" s="27">
        <f>IF(D267/Summary!$C$4&gt;100,1,0)*E267</f>
        <v>0</v>
      </c>
      <c r="AF267" s="27">
        <f t="shared" si="215"/>
        <v>0</v>
      </c>
      <c r="AG267" s="19">
        <f t="shared" si="216"/>
        <v>100</v>
      </c>
      <c r="AH267" s="19">
        <f t="shared" si="217"/>
        <v>0</v>
      </c>
      <c r="AI267" s="19">
        <f t="shared" si="218"/>
        <v>0</v>
      </c>
      <c r="AJ267" s="27">
        <f t="shared" si="219"/>
        <v>1</v>
      </c>
      <c r="AK267" s="27">
        <f t="shared" si="220"/>
        <v>100</v>
      </c>
      <c r="AL267" s="27">
        <f t="shared" si="221"/>
        <v>3540.0000000000005</v>
      </c>
      <c r="AM267">
        <f t="shared" si="222"/>
        <v>0</v>
      </c>
      <c r="AN267">
        <f t="shared" si="223"/>
        <v>0</v>
      </c>
      <c r="AO267">
        <f t="shared" si="224"/>
        <v>0</v>
      </c>
      <c r="AP267">
        <f t="shared" si="225"/>
        <v>0</v>
      </c>
      <c r="AQ267">
        <f t="shared" si="226"/>
        <v>0</v>
      </c>
      <c r="AR267">
        <f t="shared" si="227"/>
        <v>0</v>
      </c>
      <c r="AS267">
        <f t="shared" si="228"/>
        <v>0</v>
      </c>
      <c r="AT267">
        <f t="shared" si="229"/>
        <v>0</v>
      </c>
      <c r="AU267">
        <f t="shared" si="230"/>
        <v>0</v>
      </c>
      <c r="AV267">
        <f t="shared" si="231"/>
        <v>100</v>
      </c>
      <c r="AW267">
        <f t="shared" si="232"/>
        <v>3540.0000000000005</v>
      </c>
      <c r="AX267">
        <f t="shared" si="233"/>
        <v>0</v>
      </c>
      <c r="AY267">
        <f t="shared" si="234"/>
        <v>0</v>
      </c>
      <c r="AZ267">
        <f t="shared" si="235"/>
        <v>0</v>
      </c>
      <c r="BA267">
        <f t="shared" si="236"/>
        <v>0</v>
      </c>
      <c r="BB267">
        <f t="shared" si="237"/>
        <v>0</v>
      </c>
      <c r="BC267">
        <f t="shared" si="238"/>
        <v>0</v>
      </c>
      <c r="BD267">
        <f t="shared" si="239"/>
        <v>0</v>
      </c>
      <c r="BE267">
        <f t="shared" si="240"/>
        <v>0</v>
      </c>
      <c r="BF267">
        <f t="shared" si="241"/>
        <v>0</v>
      </c>
      <c r="BG267">
        <f t="shared" si="242"/>
        <v>0</v>
      </c>
      <c r="BH267">
        <f t="shared" si="243"/>
        <v>0</v>
      </c>
      <c r="BI267">
        <f t="shared" si="244"/>
        <v>0</v>
      </c>
      <c r="BJ267">
        <f t="shared" si="245"/>
        <v>0</v>
      </c>
      <c r="BK267">
        <f t="shared" si="246"/>
        <v>0</v>
      </c>
      <c r="BL267">
        <v>0</v>
      </c>
      <c r="BM267" t="str">
        <f t="shared" si="251"/>
        <v>Big Win</v>
      </c>
      <c r="BN267" s="32" t="str">
        <f t="shared" si="252"/>
        <v>Free Plays A</v>
      </c>
      <c r="BO267">
        <f>(D267/Summary!$C$4-Summary!$C$8)^2*E267</f>
        <v>119508.49000000005</v>
      </c>
      <c r="BP267">
        <f t="shared" si="247"/>
        <v>0</v>
      </c>
      <c r="BQ267">
        <f t="shared" si="248"/>
        <v>0</v>
      </c>
      <c r="BR267">
        <f t="shared" si="249"/>
        <v>0</v>
      </c>
      <c r="BS267">
        <f t="shared" si="250"/>
        <v>0</v>
      </c>
    </row>
    <row r="268" spans="2:71">
      <c r="B268" s="16">
        <f>Tiers!B269</f>
        <v>266</v>
      </c>
      <c r="C268" s="17" t="str">
        <f>Tiers!Y269</f>
        <v>main-21|freeplayA-13|||||||| x 1</v>
      </c>
      <c r="D268" s="18">
        <f>Tiers!C269</f>
        <v>25.3</v>
      </c>
      <c r="E268" s="19">
        <f>Frequency!E270</f>
        <v>100</v>
      </c>
      <c r="F268" s="19">
        <f t="shared" si="204"/>
        <v>2530</v>
      </c>
      <c r="G268" s="19">
        <f>IF(Tiers!D269&gt;1,'Data Analysis'!E268,0)</f>
        <v>0</v>
      </c>
      <c r="H268" s="19">
        <f t="shared" si="205"/>
        <v>0</v>
      </c>
      <c r="I268" s="19">
        <f>IF(AND(D268/Summary!$C$4&gt;0, D268/Summary!$C$4&lt;5),E268,0) * D268</f>
        <v>0</v>
      </c>
      <c r="J268" s="19">
        <f>IF(AND(D268/Summary!$C$4&gt;= 5, D268/Summary!$C$4&lt;10),E268,0) * D268</f>
        <v>0</v>
      </c>
      <c r="K268" s="19">
        <f>IF(AND(D268/Summary!$C$4&gt;=10, D268/Summary!$C$4&lt;25),E268,0)*D268</f>
        <v>0</v>
      </c>
      <c r="L268" s="19">
        <f>IF(D268/Summary!$C$4&gt;=25,E268,0)*D268</f>
        <v>2530</v>
      </c>
      <c r="M268" s="27">
        <f>IF(AND(D268/Summary!$C$4&gt;0, D268/Summary!$C$4&lt;1),E268,0)</f>
        <v>0</v>
      </c>
      <c r="N268" s="27">
        <f t="shared" si="206"/>
        <v>0</v>
      </c>
      <c r="O268" s="27">
        <f>IF(D268/Summary!$C$4=1,1,0)*E268</f>
        <v>0</v>
      </c>
      <c r="P268" s="27">
        <f t="shared" si="207"/>
        <v>0</v>
      </c>
      <c r="Q268" s="27">
        <f>IF(AND(D268/Summary!$C$4&gt;1, D268/Summary!$C$4&lt;=2),1,0)*E268</f>
        <v>0</v>
      </c>
      <c r="R268" s="27">
        <f t="shared" si="208"/>
        <v>0</v>
      </c>
      <c r="S268" s="27">
        <f>IF(AND(D268/Summary!$C$4&gt;2,D268/Summary!$C$4&lt;=5),1,0)*E268</f>
        <v>0</v>
      </c>
      <c r="T268" s="27">
        <f t="shared" si="209"/>
        <v>0</v>
      </c>
      <c r="U268" s="27">
        <f>IF(AND(D268/Summary!$C$4&gt;5, D268/Summary!$C$4&lt;=10),1,0)*E268</f>
        <v>0</v>
      </c>
      <c r="V268" s="27">
        <f t="shared" si="210"/>
        <v>0</v>
      </c>
      <c r="W268" s="27">
        <f>IF(AND(D268/Summary!$C$4&gt;10, D268/Summary!$C$4&lt;=20),1,0)*E268</f>
        <v>0</v>
      </c>
      <c r="X268" s="27">
        <f t="shared" si="211"/>
        <v>0</v>
      </c>
      <c r="Y268" s="27">
        <f>IF(AND(D268/Summary!$C$4&gt;20, D268/Summary!$C$4&lt;=30),1,0)*E268</f>
        <v>100</v>
      </c>
      <c r="Z268" s="27">
        <f t="shared" si="212"/>
        <v>2530</v>
      </c>
      <c r="AA268" s="27">
        <f>IF(AND(D268/Summary!$C$4&gt;30, D268/Summary!$C$4&lt;=50),1,0)*E268</f>
        <v>0</v>
      </c>
      <c r="AB268" s="27">
        <f t="shared" si="213"/>
        <v>0</v>
      </c>
      <c r="AC268" s="27">
        <f>IF(AND(D268/Summary!$C$4&gt;50, D268/Summary!$C$4&lt;=100),1,0)*E268</f>
        <v>0</v>
      </c>
      <c r="AD268" s="27">
        <f t="shared" si="214"/>
        <v>0</v>
      </c>
      <c r="AE268" s="27">
        <f>IF(D268/Summary!$C$4&gt;100,1,0)*E268</f>
        <v>0</v>
      </c>
      <c r="AF268" s="27">
        <f t="shared" si="215"/>
        <v>0</v>
      </c>
      <c r="AG268" s="19">
        <f t="shared" si="216"/>
        <v>100</v>
      </c>
      <c r="AH268" s="19">
        <f t="shared" si="217"/>
        <v>0</v>
      </c>
      <c r="AI268" s="19">
        <f t="shared" si="218"/>
        <v>0</v>
      </c>
      <c r="AJ268" s="27">
        <f t="shared" si="219"/>
        <v>1</v>
      </c>
      <c r="AK268" s="27">
        <f t="shared" si="220"/>
        <v>100</v>
      </c>
      <c r="AL268" s="27">
        <f t="shared" si="221"/>
        <v>2530</v>
      </c>
      <c r="AM268">
        <f t="shared" si="222"/>
        <v>0</v>
      </c>
      <c r="AN268">
        <f t="shared" si="223"/>
        <v>0</v>
      </c>
      <c r="AO268">
        <f t="shared" si="224"/>
        <v>0</v>
      </c>
      <c r="AP268">
        <f t="shared" si="225"/>
        <v>0</v>
      </c>
      <c r="AQ268">
        <f t="shared" si="226"/>
        <v>0</v>
      </c>
      <c r="AR268">
        <f t="shared" si="227"/>
        <v>0</v>
      </c>
      <c r="AS268">
        <f t="shared" si="228"/>
        <v>0</v>
      </c>
      <c r="AT268">
        <f t="shared" si="229"/>
        <v>0</v>
      </c>
      <c r="AU268">
        <f t="shared" si="230"/>
        <v>0</v>
      </c>
      <c r="AV268">
        <f t="shared" si="231"/>
        <v>100</v>
      </c>
      <c r="AW268">
        <f t="shared" si="232"/>
        <v>2530</v>
      </c>
      <c r="AX268">
        <f t="shared" si="233"/>
        <v>0</v>
      </c>
      <c r="AY268">
        <f t="shared" si="234"/>
        <v>0</v>
      </c>
      <c r="AZ268">
        <f t="shared" si="235"/>
        <v>0</v>
      </c>
      <c r="BA268">
        <f t="shared" si="236"/>
        <v>0</v>
      </c>
      <c r="BB268">
        <f t="shared" si="237"/>
        <v>0</v>
      </c>
      <c r="BC268">
        <f t="shared" si="238"/>
        <v>0</v>
      </c>
      <c r="BD268">
        <f t="shared" si="239"/>
        <v>0</v>
      </c>
      <c r="BE268">
        <f t="shared" si="240"/>
        <v>0</v>
      </c>
      <c r="BF268">
        <f t="shared" si="241"/>
        <v>0</v>
      </c>
      <c r="BG268">
        <f t="shared" si="242"/>
        <v>0</v>
      </c>
      <c r="BH268">
        <f t="shared" si="243"/>
        <v>0</v>
      </c>
      <c r="BI268">
        <f t="shared" si="244"/>
        <v>0</v>
      </c>
      <c r="BJ268">
        <f t="shared" si="245"/>
        <v>0</v>
      </c>
      <c r="BK268">
        <f t="shared" si="246"/>
        <v>0</v>
      </c>
      <c r="BL268">
        <v>0</v>
      </c>
      <c r="BM268" t="str">
        <f t="shared" si="251"/>
        <v>Big Win</v>
      </c>
      <c r="BN268" s="32" t="str">
        <f t="shared" si="252"/>
        <v>Free Plays A</v>
      </c>
      <c r="BO268">
        <f>(D268/Summary!$C$4-Summary!$C$8)^2*E268</f>
        <v>59878.090000000011</v>
      </c>
      <c r="BP268">
        <f t="shared" si="247"/>
        <v>0</v>
      </c>
      <c r="BQ268">
        <f t="shared" si="248"/>
        <v>0</v>
      </c>
      <c r="BR268">
        <f t="shared" si="249"/>
        <v>0</v>
      </c>
      <c r="BS268">
        <f t="shared" si="250"/>
        <v>0</v>
      </c>
    </row>
    <row r="269" spans="2:71">
      <c r="B269" s="16">
        <f>Tiers!B270</f>
        <v>267</v>
      </c>
      <c r="C269" s="17" t="str">
        <f>Tiers!Y270</f>
        <v>main-7|freeplayA-0|||||||| x 1</v>
      </c>
      <c r="D269" s="18">
        <f>Tiers!C270</f>
        <v>19.3</v>
      </c>
      <c r="E269" s="19">
        <f>Frequency!E271</f>
        <v>25</v>
      </c>
      <c r="F269" s="19">
        <f t="shared" si="204"/>
        <v>482.5</v>
      </c>
      <c r="G269" s="19">
        <f>IF(Tiers!D270&gt;1,'Data Analysis'!E269,0)</f>
        <v>0</v>
      </c>
      <c r="H269" s="19">
        <f t="shared" si="205"/>
        <v>0</v>
      </c>
      <c r="I269" s="19">
        <f>IF(AND(D269/Summary!$C$4&gt;0, D269/Summary!$C$4&lt;5),E269,0) * D269</f>
        <v>0</v>
      </c>
      <c r="J269" s="19">
        <f>IF(AND(D269/Summary!$C$4&gt;= 5, D269/Summary!$C$4&lt;10),E269,0) * D269</f>
        <v>0</v>
      </c>
      <c r="K269" s="19">
        <f>IF(AND(D269/Summary!$C$4&gt;=10, D269/Summary!$C$4&lt;25),E269,0)*D269</f>
        <v>482.5</v>
      </c>
      <c r="L269" s="19">
        <f>IF(D269/Summary!$C$4&gt;=25,E269,0)*D269</f>
        <v>0</v>
      </c>
      <c r="M269" s="27">
        <f>IF(AND(D269/Summary!$C$4&gt;0, D269/Summary!$C$4&lt;1),E269,0)</f>
        <v>0</v>
      </c>
      <c r="N269" s="27">
        <f t="shared" si="206"/>
        <v>0</v>
      </c>
      <c r="O269" s="27">
        <f>IF(D269/Summary!$C$4=1,1,0)*E269</f>
        <v>0</v>
      </c>
      <c r="P269" s="27">
        <f t="shared" si="207"/>
        <v>0</v>
      </c>
      <c r="Q269" s="27">
        <f>IF(AND(D269/Summary!$C$4&gt;1, D269/Summary!$C$4&lt;=2),1,0)*E269</f>
        <v>0</v>
      </c>
      <c r="R269" s="27">
        <f t="shared" si="208"/>
        <v>0</v>
      </c>
      <c r="S269" s="27">
        <f>IF(AND(D269/Summary!$C$4&gt;2,D269/Summary!$C$4&lt;=5),1,0)*E269</f>
        <v>0</v>
      </c>
      <c r="T269" s="27">
        <f t="shared" si="209"/>
        <v>0</v>
      </c>
      <c r="U269" s="27">
        <f>IF(AND(D269/Summary!$C$4&gt;5, D269/Summary!$C$4&lt;=10),1,0)*E269</f>
        <v>0</v>
      </c>
      <c r="V269" s="27">
        <f t="shared" si="210"/>
        <v>0</v>
      </c>
      <c r="W269" s="27">
        <f>IF(AND(D269/Summary!$C$4&gt;10, D269/Summary!$C$4&lt;=20),1,0)*E269</f>
        <v>25</v>
      </c>
      <c r="X269" s="27">
        <f t="shared" si="211"/>
        <v>482.5</v>
      </c>
      <c r="Y269" s="27">
        <f>IF(AND(D269/Summary!$C$4&gt;20, D269/Summary!$C$4&lt;=30),1,0)*E269</f>
        <v>0</v>
      </c>
      <c r="Z269" s="27">
        <f t="shared" si="212"/>
        <v>0</v>
      </c>
      <c r="AA269" s="27">
        <f>IF(AND(D269/Summary!$C$4&gt;30, D269/Summary!$C$4&lt;=50),1,0)*E269</f>
        <v>0</v>
      </c>
      <c r="AB269" s="27">
        <f t="shared" si="213"/>
        <v>0</v>
      </c>
      <c r="AC269" s="27">
        <f>IF(AND(D269/Summary!$C$4&gt;50, D269/Summary!$C$4&lt;=100),1,0)*E269</f>
        <v>0</v>
      </c>
      <c r="AD269" s="27">
        <f t="shared" si="214"/>
        <v>0</v>
      </c>
      <c r="AE269" s="27">
        <f>IF(D269/Summary!$C$4&gt;100,1,0)*E269</f>
        <v>0</v>
      </c>
      <c r="AF269" s="27">
        <f t="shared" si="215"/>
        <v>0</v>
      </c>
      <c r="AG269" s="19">
        <f t="shared" si="216"/>
        <v>25</v>
      </c>
      <c r="AH269" s="19">
        <f t="shared" si="217"/>
        <v>0</v>
      </c>
      <c r="AI269" s="19">
        <f t="shared" si="218"/>
        <v>0</v>
      </c>
      <c r="AJ269" s="27">
        <f t="shared" si="219"/>
        <v>1</v>
      </c>
      <c r="AK269" s="27">
        <f t="shared" si="220"/>
        <v>25</v>
      </c>
      <c r="AL269" s="27">
        <f t="shared" si="221"/>
        <v>482.5</v>
      </c>
      <c r="AM269">
        <f t="shared" si="222"/>
        <v>0</v>
      </c>
      <c r="AN269">
        <f t="shared" si="223"/>
        <v>0</v>
      </c>
      <c r="AO269">
        <f t="shared" si="224"/>
        <v>0</v>
      </c>
      <c r="AP269">
        <f t="shared" si="225"/>
        <v>0</v>
      </c>
      <c r="AQ269">
        <f t="shared" si="226"/>
        <v>0</v>
      </c>
      <c r="AR269">
        <f t="shared" si="227"/>
        <v>0</v>
      </c>
      <c r="AS269">
        <f t="shared" si="228"/>
        <v>0</v>
      </c>
      <c r="AT269">
        <f t="shared" si="229"/>
        <v>0</v>
      </c>
      <c r="AU269">
        <f t="shared" si="230"/>
        <v>0</v>
      </c>
      <c r="AV269">
        <f t="shared" si="231"/>
        <v>25</v>
      </c>
      <c r="AW269">
        <f t="shared" si="232"/>
        <v>482.5</v>
      </c>
      <c r="AX269">
        <f t="shared" si="233"/>
        <v>0</v>
      </c>
      <c r="AY269">
        <f t="shared" si="234"/>
        <v>0</v>
      </c>
      <c r="AZ269">
        <f t="shared" si="235"/>
        <v>0</v>
      </c>
      <c r="BA269">
        <f t="shared" si="236"/>
        <v>0</v>
      </c>
      <c r="BB269">
        <f t="shared" si="237"/>
        <v>0</v>
      </c>
      <c r="BC269">
        <f t="shared" si="238"/>
        <v>0</v>
      </c>
      <c r="BD269">
        <f t="shared" si="239"/>
        <v>0</v>
      </c>
      <c r="BE269">
        <f t="shared" si="240"/>
        <v>0</v>
      </c>
      <c r="BF269">
        <f t="shared" si="241"/>
        <v>0</v>
      </c>
      <c r="BG269">
        <f t="shared" si="242"/>
        <v>0</v>
      </c>
      <c r="BH269">
        <f t="shared" si="243"/>
        <v>0</v>
      </c>
      <c r="BI269">
        <f t="shared" si="244"/>
        <v>0</v>
      </c>
      <c r="BJ269">
        <f t="shared" si="245"/>
        <v>0</v>
      </c>
      <c r="BK269">
        <f t="shared" si="246"/>
        <v>0</v>
      </c>
      <c r="BL269">
        <v>0</v>
      </c>
      <c r="BM269" t="str">
        <f t="shared" si="251"/>
        <v>Big Win</v>
      </c>
      <c r="BN269" s="32" t="str">
        <f t="shared" si="252"/>
        <v>Free Plays A</v>
      </c>
      <c r="BO269">
        <f>(D269/Summary!$C$4-Summary!$C$8)^2*E269</f>
        <v>8528.5225000000028</v>
      </c>
      <c r="BP269">
        <f t="shared" si="247"/>
        <v>0</v>
      </c>
      <c r="BQ269">
        <f t="shared" si="248"/>
        <v>0</v>
      </c>
      <c r="BR269">
        <f t="shared" si="249"/>
        <v>0</v>
      </c>
      <c r="BS269">
        <f t="shared" si="250"/>
        <v>0</v>
      </c>
    </row>
    <row r="270" spans="2:71">
      <c r="B270" s="16">
        <f>Tiers!B271</f>
        <v>268</v>
      </c>
      <c r="C270" s="17" t="str">
        <f>Tiers!Y271</f>
        <v>main-9|freeplayA-1|||||||| x 1</v>
      </c>
      <c r="D270" s="18">
        <f>Tiers!C271</f>
        <v>34.700000000000003</v>
      </c>
      <c r="E270" s="19">
        <f>Frequency!E272</f>
        <v>50</v>
      </c>
      <c r="F270" s="19">
        <f t="shared" si="204"/>
        <v>1735.0000000000002</v>
      </c>
      <c r="G270" s="19">
        <f>IF(Tiers!D271&gt;1,'Data Analysis'!E270,0)</f>
        <v>0</v>
      </c>
      <c r="H270" s="19">
        <f t="shared" si="205"/>
        <v>0</v>
      </c>
      <c r="I270" s="19">
        <f>IF(AND(D270/Summary!$C$4&gt;0, D270/Summary!$C$4&lt;5),E270,0) * D270</f>
        <v>0</v>
      </c>
      <c r="J270" s="19">
        <f>IF(AND(D270/Summary!$C$4&gt;= 5, D270/Summary!$C$4&lt;10),E270,0) * D270</f>
        <v>0</v>
      </c>
      <c r="K270" s="19">
        <f>IF(AND(D270/Summary!$C$4&gt;=10, D270/Summary!$C$4&lt;25),E270,0)*D270</f>
        <v>0</v>
      </c>
      <c r="L270" s="19">
        <f>IF(D270/Summary!$C$4&gt;=25,E270,0)*D270</f>
        <v>1735.0000000000002</v>
      </c>
      <c r="M270" s="27">
        <f>IF(AND(D270/Summary!$C$4&gt;0, D270/Summary!$C$4&lt;1),E270,0)</f>
        <v>0</v>
      </c>
      <c r="N270" s="27">
        <f t="shared" si="206"/>
        <v>0</v>
      </c>
      <c r="O270" s="27">
        <f>IF(D270/Summary!$C$4=1,1,0)*E270</f>
        <v>0</v>
      </c>
      <c r="P270" s="27">
        <f t="shared" si="207"/>
        <v>0</v>
      </c>
      <c r="Q270" s="27">
        <f>IF(AND(D270/Summary!$C$4&gt;1, D270/Summary!$C$4&lt;=2),1,0)*E270</f>
        <v>0</v>
      </c>
      <c r="R270" s="27">
        <f t="shared" si="208"/>
        <v>0</v>
      </c>
      <c r="S270" s="27">
        <f>IF(AND(D270/Summary!$C$4&gt;2,D270/Summary!$C$4&lt;=5),1,0)*E270</f>
        <v>0</v>
      </c>
      <c r="T270" s="27">
        <f t="shared" si="209"/>
        <v>0</v>
      </c>
      <c r="U270" s="27">
        <f>IF(AND(D270/Summary!$C$4&gt;5, D270/Summary!$C$4&lt;=10),1,0)*E270</f>
        <v>0</v>
      </c>
      <c r="V270" s="27">
        <f t="shared" si="210"/>
        <v>0</v>
      </c>
      <c r="W270" s="27">
        <f>IF(AND(D270/Summary!$C$4&gt;10, D270/Summary!$C$4&lt;=20),1,0)*E270</f>
        <v>0</v>
      </c>
      <c r="X270" s="27">
        <f t="shared" si="211"/>
        <v>0</v>
      </c>
      <c r="Y270" s="27">
        <f>IF(AND(D270/Summary!$C$4&gt;20, D270/Summary!$C$4&lt;=30),1,0)*E270</f>
        <v>0</v>
      </c>
      <c r="Z270" s="27">
        <f t="shared" si="212"/>
        <v>0</v>
      </c>
      <c r="AA270" s="27">
        <f>IF(AND(D270/Summary!$C$4&gt;30, D270/Summary!$C$4&lt;=50),1,0)*E270</f>
        <v>50</v>
      </c>
      <c r="AB270" s="27">
        <f t="shared" si="213"/>
        <v>1735.0000000000002</v>
      </c>
      <c r="AC270" s="27">
        <f>IF(AND(D270/Summary!$C$4&gt;50, D270/Summary!$C$4&lt;=100),1,0)*E270</f>
        <v>0</v>
      </c>
      <c r="AD270" s="27">
        <f t="shared" si="214"/>
        <v>0</v>
      </c>
      <c r="AE270" s="27">
        <f>IF(D270/Summary!$C$4&gt;100,1,0)*E270</f>
        <v>0</v>
      </c>
      <c r="AF270" s="27">
        <f t="shared" si="215"/>
        <v>0</v>
      </c>
      <c r="AG270" s="19">
        <f t="shared" si="216"/>
        <v>50</v>
      </c>
      <c r="AH270" s="19">
        <f t="shared" si="217"/>
        <v>0</v>
      </c>
      <c r="AI270" s="19">
        <f t="shared" si="218"/>
        <v>0</v>
      </c>
      <c r="AJ270" s="27">
        <f t="shared" si="219"/>
        <v>1</v>
      </c>
      <c r="AK270" s="27">
        <f t="shared" si="220"/>
        <v>50</v>
      </c>
      <c r="AL270" s="27">
        <f t="shared" si="221"/>
        <v>1735.0000000000002</v>
      </c>
      <c r="AM270">
        <f t="shared" si="222"/>
        <v>0</v>
      </c>
      <c r="AN270">
        <f t="shared" si="223"/>
        <v>0</v>
      </c>
      <c r="AO270">
        <f t="shared" si="224"/>
        <v>0</v>
      </c>
      <c r="AP270">
        <f t="shared" si="225"/>
        <v>0</v>
      </c>
      <c r="AQ270">
        <f t="shared" si="226"/>
        <v>0</v>
      </c>
      <c r="AR270">
        <f t="shared" si="227"/>
        <v>0</v>
      </c>
      <c r="AS270">
        <f t="shared" si="228"/>
        <v>0</v>
      </c>
      <c r="AT270">
        <f t="shared" si="229"/>
        <v>0</v>
      </c>
      <c r="AU270">
        <f t="shared" si="230"/>
        <v>0</v>
      </c>
      <c r="AV270">
        <f t="shared" si="231"/>
        <v>50</v>
      </c>
      <c r="AW270">
        <f t="shared" si="232"/>
        <v>1735.0000000000002</v>
      </c>
      <c r="AX270">
        <f t="shared" si="233"/>
        <v>0</v>
      </c>
      <c r="AY270">
        <f t="shared" si="234"/>
        <v>0</v>
      </c>
      <c r="AZ270">
        <f t="shared" si="235"/>
        <v>0</v>
      </c>
      <c r="BA270">
        <f t="shared" si="236"/>
        <v>0</v>
      </c>
      <c r="BB270">
        <f t="shared" si="237"/>
        <v>0</v>
      </c>
      <c r="BC270">
        <f t="shared" si="238"/>
        <v>0</v>
      </c>
      <c r="BD270">
        <f t="shared" si="239"/>
        <v>0</v>
      </c>
      <c r="BE270">
        <f t="shared" si="240"/>
        <v>0</v>
      </c>
      <c r="BF270">
        <f t="shared" si="241"/>
        <v>0</v>
      </c>
      <c r="BG270">
        <f t="shared" si="242"/>
        <v>0</v>
      </c>
      <c r="BH270">
        <f t="shared" si="243"/>
        <v>0</v>
      </c>
      <c r="BI270">
        <f t="shared" si="244"/>
        <v>0</v>
      </c>
      <c r="BJ270">
        <f t="shared" si="245"/>
        <v>0</v>
      </c>
      <c r="BK270">
        <f t="shared" si="246"/>
        <v>0</v>
      </c>
      <c r="BL270">
        <v>0</v>
      </c>
      <c r="BM270" t="str">
        <f t="shared" si="251"/>
        <v>Big Win</v>
      </c>
      <c r="BN270" s="32" t="str">
        <f t="shared" si="252"/>
        <v>Free Plays A</v>
      </c>
      <c r="BO270">
        <f>(D270/Summary!$C$4-Summary!$C$8)^2*E270</f>
        <v>57358.845000000016</v>
      </c>
      <c r="BP270">
        <f t="shared" si="247"/>
        <v>0</v>
      </c>
      <c r="BQ270">
        <f t="shared" si="248"/>
        <v>0</v>
      </c>
      <c r="BR270">
        <f t="shared" si="249"/>
        <v>0</v>
      </c>
      <c r="BS270">
        <f t="shared" si="250"/>
        <v>0</v>
      </c>
    </row>
    <row r="271" spans="2:71">
      <c r="B271" s="16">
        <f>Tiers!B272</f>
        <v>269</v>
      </c>
      <c r="C271" s="17" t="str">
        <f>Tiers!Y272</f>
        <v>main-23|freeplayA-2|||||||| x 1</v>
      </c>
      <c r="D271" s="18">
        <f>Tiers!C272</f>
        <v>21.4</v>
      </c>
      <c r="E271" s="19">
        <f>Frequency!E273</f>
        <v>100</v>
      </c>
      <c r="F271" s="19">
        <f t="shared" si="204"/>
        <v>2140</v>
      </c>
      <c r="G271" s="19">
        <f>IF(Tiers!D272&gt;1,'Data Analysis'!E271,0)</f>
        <v>0</v>
      </c>
      <c r="H271" s="19">
        <f t="shared" si="205"/>
        <v>0</v>
      </c>
      <c r="I271" s="19">
        <f>IF(AND(D271/Summary!$C$4&gt;0, D271/Summary!$C$4&lt;5),E271,0) * D271</f>
        <v>0</v>
      </c>
      <c r="J271" s="19">
        <f>IF(AND(D271/Summary!$C$4&gt;= 5, D271/Summary!$C$4&lt;10),E271,0) * D271</f>
        <v>0</v>
      </c>
      <c r="K271" s="19">
        <f>IF(AND(D271/Summary!$C$4&gt;=10, D271/Summary!$C$4&lt;25),E271,0)*D271</f>
        <v>2140</v>
      </c>
      <c r="L271" s="19">
        <f>IF(D271/Summary!$C$4&gt;=25,E271,0)*D271</f>
        <v>0</v>
      </c>
      <c r="M271" s="27">
        <f>IF(AND(D271/Summary!$C$4&gt;0, D271/Summary!$C$4&lt;1),E271,0)</f>
        <v>0</v>
      </c>
      <c r="N271" s="27">
        <f t="shared" si="206"/>
        <v>0</v>
      </c>
      <c r="O271" s="27">
        <f>IF(D271/Summary!$C$4=1,1,0)*E271</f>
        <v>0</v>
      </c>
      <c r="P271" s="27">
        <f t="shared" si="207"/>
        <v>0</v>
      </c>
      <c r="Q271" s="27">
        <f>IF(AND(D271/Summary!$C$4&gt;1, D271/Summary!$C$4&lt;=2),1,0)*E271</f>
        <v>0</v>
      </c>
      <c r="R271" s="27">
        <f t="shared" si="208"/>
        <v>0</v>
      </c>
      <c r="S271" s="27">
        <f>IF(AND(D271/Summary!$C$4&gt;2,D271/Summary!$C$4&lt;=5),1,0)*E271</f>
        <v>0</v>
      </c>
      <c r="T271" s="27">
        <f t="shared" si="209"/>
        <v>0</v>
      </c>
      <c r="U271" s="27">
        <f>IF(AND(D271/Summary!$C$4&gt;5, D271/Summary!$C$4&lt;=10),1,0)*E271</f>
        <v>0</v>
      </c>
      <c r="V271" s="27">
        <f t="shared" si="210"/>
        <v>0</v>
      </c>
      <c r="W271" s="27">
        <f>IF(AND(D271/Summary!$C$4&gt;10, D271/Summary!$C$4&lt;=20),1,0)*E271</f>
        <v>0</v>
      </c>
      <c r="X271" s="27">
        <f t="shared" si="211"/>
        <v>0</v>
      </c>
      <c r="Y271" s="27">
        <f>IF(AND(D271/Summary!$C$4&gt;20, D271/Summary!$C$4&lt;=30),1,0)*E271</f>
        <v>100</v>
      </c>
      <c r="Z271" s="27">
        <f t="shared" si="212"/>
        <v>2140</v>
      </c>
      <c r="AA271" s="27">
        <f>IF(AND(D271/Summary!$C$4&gt;30, D271/Summary!$C$4&lt;=50),1,0)*E271</f>
        <v>0</v>
      </c>
      <c r="AB271" s="27">
        <f t="shared" si="213"/>
        <v>0</v>
      </c>
      <c r="AC271" s="27">
        <f>IF(AND(D271/Summary!$C$4&gt;50, D271/Summary!$C$4&lt;=100),1,0)*E271</f>
        <v>0</v>
      </c>
      <c r="AD271" s="27">
        <f t="shared" si="214"/>
        <v>0</v>
      </c>
      <c r="AE271" s="27">
        <f>IF(D271/Summary!$C$4&gt;100,1,0)*E271</f>
        <v>0</v>
      </c>
      <c r="AF271" s="27">
        <f t="shared" si="215"/>
        <v>0</v>
      </c>
      <c r="AG271" s="19">
        <f t="shared" si="216"/>
        <v>100</v>
      </c>
      <c r="AH271" s="19">
        <f t="shared" si="217"/>
        <v>0</v>
      </c>
      <c r="AI271" s="19">
        <f t="shared" si="218"/>
        <v>0</v>
      </c>
      <c r="AJ271" s="27">
        <f t="shared" si="219"/>
        <v>1</v>
      </c>
      <c r="AK271" s="27">
        <f t="shared" si="220"/>
        <v>100</v>
      </c>
      <c r="AL271" s="27">
        <f t="shared" si="221"/>
        <v>2140</v>
      </c>
      <c r="AM271">
        <f t="shared" si="222"/>
        <v>0</v>
      </c>
      <c r="AN271">
        <f t="shared" si="223"/>
        <v>0</v>
      </c>
      <c r="AO271">
        <f t="shared" si="224"/>
        <v>0</v>
      </c>
      <c r="AP271">
        <f t="shared" si="225"/>
        <v>0</v>
      </c>
      <c r="AQ271">
        <f t="shared" si="226"/>
        <v>0</v>
      </c>
      <c r="AR271">
        <f t="shared" si="227"/>
        <v>0</v>
      </c>
      <c r="AS271">
        <f t="shared" si="228"/>
        <v>0</v>
      </c>
      <c r="AT271">
        <f t="shared" si="229"/>
        <v>0</v>
      </c>
      <c r="AU271">
        <f t="shared" si="230"/>
        <v>0</v>
      </c>
      <c r="AV271">
        <f t="shared" si="231"/>
        <v>100</v>
      </c>
      <c r="AW271">
        <f t="shared" si="232"/>
        <v>2140</v>
      </c>
      <c r="AX271">
        <f t="shared" si="233"/>
        <v>0</v>
      </c>
      <c r="AY271">
        <f t="shared" si="234"/>
        <v>0</v>
      </c>
      <c r="AZ271">
        <f t="shared" si="235"/>
        <v>0</v>
      </c>
      <c r="BA271">
        <f t="shared" si="236"/>
        <v>0</v>
      </c>
      <c r="BB271">
        <f t="shared" si="237"/>
        <v>0</v>
      </c>
      <c r="BC271">
        <f t="shared" si="238"/>
        <v>0</v>
      </c>
      <c r="BD271">
        <f t="shared" si="239"/>
        <v>0</v>
      </c>
      <c r="BE271">
        <f t="shared" si="240"/>
        <v>0</v>
      </c>
      <c r="BF271">
        <f t="shared" si="241"/>
        <v>0</v>
      </c>
      <c r="BG271">
        <f t="shared" si="242"/>
        <v>0</v>
      </c>
      <c r="BH271">
        <f t="shared" si="243"/>
        <v>0</v>
      </c>
      <c r="BI271">
        <f t="shared" si="244"/>
        <v>0</v>
      </c>
      <c r="BJ271">
        <f t="shared" si="245"/>
        <v>0</v>
      </c>
      <c r="BK271">
        <f t="shared" si="246"/>
        <v>0</v>
      </c>
      <c r="BL271">
        <v>0</v>
      </c>
      <c r="BM271" t="str">
        <f t="shared" si="251"/>
        <v>Big Win</v>
      </c>
      <c r="BN271" s="32" t="str">
        <f t="shared" si="252"/>
        <v>Free Plays A</v>
      </c>
      <c r="BO271">
        <f>(D271/Summary!$C$4-Summary!$C$8)^2*E271</f>
        <v>42312.490000000005</v>
      </c>
      <c r="BP271">
        <f t="shared" si="247"/>
        <v>0</v>
      </c>
      <c r="BQ271">
        <f t="shared" si="248"/>
        <v>0</v>
      </c>
      <c r="BR271">
        <f t="shared" si="249"/>
        <v>0</v>
      </c>
      <c r="BS271">
        <f t="shared" si="250"/>
        <v>0</v>
      </c>
    </row>
    <row r="272" spans="2:71">
      <c r="B272" s="16">
        <f>Tiers!B273</f>
        <v>270</v>
      </c>
      <c r="C272" s="17" t="str">
        <f>Tiers!Y273</f>
        <v>main-13|freeplayA-3|||||||| x 1</v>
      </c>
      <c r="D272" s="18">
        <f>Tiers!C273</f>
        <v>40</v>
      </c>
      <c r="E272" s="19">
        <f>Frequency!E274</f>
        <v>50</v>
      </c>
      <c r="F272" s="19">
        <f t="shared" si="204"/>
        <v>2000</v>
      </c>
      <c r="G272" s="19">
        <f>IF(Tiers!D273&gt;1,'Data Analysis'!E272,0)</f>
        <v>0</v>
      </c>
      <c r="H272" s="19">
        <f t="shared" si="205"/>
        <v>0</v>
      </c>
      <c r="I272" s="19">
        <f>IF(AND(D272/Summary!$C$4&gt;0, D272/Summary!$C$4&lt;5),E272,0) * D272</f>
        <v>0</v>
      </c>
      <c r="J272" s="19">
        <f>IF(AND(D272/Summary!$C$4&gt;= 5, D272/Summary!$C$4&lt;10),E272,0) * D272</f>
        <v>0</v>
      </c>
      <c r="K272" s="19">
        <f>IF(AND(D272/Summary!$C$4&gt;=10, D272/Summary!$C$4&lt;25),E272,0)*D272</f>
        <v>0</v>
      </c>
      <c r="L272" s="19">
        <f>IF(D272/Summary!$C$4&gt;=25,E272,0)*D272</f>
        <v>2000</v>
      </c>
      <c r="M272" s="27">
        <f>IF(AND(D272/Summary!$C$4&gt;0, D272/Summary!$C$4&lt;1),E272,0)</f>
        <v>0</v>
      </c>
      <c r="N272" s="27">
        <f t="shared" si="206"/>
        <v>0</v>
      </c>
      <c r="O272" s="27">
        <f>IF(D272/Summary!$C$4=1,1,0)*E272</f>
        <v>0</v>
      </c>
      <c r="P272" s="27">
        <f t="shared" si="207"/>
        <v>0</v>
      </c>
      <c r="Q272" s="27">
        <f>IF(AND(D272/Summary!$C$4&gt;1, D272/Summary!$C$4&lt;=2),1,0)*E272</f>
        <v>0</v>
      </c>
      <c r="R272" s="27">
        <f t="shared" si="208"/>
        <v>0</v>
      </c>
      <c r="S272" s="27">
        <f>IF(AND(D272/Summary!$C$4&gt;2,D272/Summary!$C$4&lt;=5),1,0)*E272</f>
        <v>0</v>
      </c>
      <c r="T272" s="27">
        <f t="shared" si="209"/>
        <v>0</v>
      </c>
      <c r="U272" s="27">
        <f>IF(AND(D272/Summary!$C$4&gt;5, D272/Summary!$C$4&lt;=10),1,0)*E272</f>
        <v>0</v>
      </c>
      <c r="V272" s="27">
        <f t="shared" si="210"/>
        <v>0</v>
      </c>
      <c r="W272" s="27">
        <f>IF(AND(D272/Summary!$C$4&gt;10, D272/Summary!$C$4&lt;=20),1,0)*E272</f>
        <v>0</v>
      </c>
      <c r="X272" s="27">
        <f t="shared" si="211"/>
        <v>0</v>
      </c>
      <c r="Y272" s="27">
        <f>IF(AND(D272/Summary!$C$4&gt;20, D272/Summary!$C$4&lt;=30),1,0)*E272</f>
        <v>0</v>
      </c>
      <c r="Z272" s="27">
        <f t="shared" si="212"/>
        <v>0</v>
      </c>
      <c r="AA272" s="27">
        <f>IF(AND(D272/Summary!$C$4&gt;30, D272/Summary!$C$4&lt;=50),1,0)*E272</f>
        <v>50</v>
      </c>
      <c r="AB272" s="27">
        <f t="shared" si="213"/>
        <v>2000</v>
      </c>
      <c r="AC272" s="27">
        <f>IF(AND(D272/Summary!$C$4&gt;50, D272/Summary!$C$4&lt;=100),1,0)*E272</f>
        <v>0</v>
      </c>
      <c r="AD272" s="27">
        <f t="shared" si="214"/>
        <v>0</v>
      </c>
      <c r="AE272" s="27">
        <f>IF(D272/Summary!$C$4&gt;100,1,0)*E272</f>
        <v>0</v>
      </c>
      <c r="AF272" s="27">
        <f t="shared" si="215"/>
        <v>0</v>
      </c>
      <c r="AG272" s="19">
        <f t="shared" si="216"/>
        <v>50</v>
      </c>
      <c r="AH272" s="19">
        <f t="shared" si="217"/>
        <v>0</v>
      </c>
      <c r="AI272" s="19">
        <f t="shared" si="218"/>
        <v>0</v>
      </c>
      <c r="AJ272" s="27">
        <f t="shared" si="219"/>
        <v>1</v>
      </c>
      <c r="AK272" s="27">
        <f t="shared" si="220"/>
        <v>50</v>
      </c>
      <c r="AL272" s="27">
        <f t="shared" si="221"/>
        <v>2000</v>
      </c>
      <c r="AM272">
        <f t="shared" si="222"/>
        <v>0</v>
      </c>
      <c r="AN272">
        <f t="shared" si="223"/>
        <v>0</v>
      </c>
      <c r="AO272">
        <f t="shared" si="224"/>
        <v>0</v>
      </c>
      <c r="AP272">
        <f t="shared" si="225"/>
        <v>0</v>
      </c>
      <c r="AQ272">
        <f t="shared" si="226"/>
        <v>0</v>
      </c>
      <c r="AR272">
        <f t="shared" si="227"/>
        <v>0</v>
      </c>
      <c r="AS272">
        <f t="shared" si="228"/>
        <v>0</v>
      </c>
      <c r="AT272">
        <f t="shared" si="229"/>
        <v>0</v>
      </c>
      <c r="AU272">
        <f t="shared" si="230"/>
        <v>0</v>
      </c>
      <c r="AV272">
        <f t="shared" si="231"/>
        <v>50</v>
      </c>
      <c r="AW272">
        <f t="shared" si="232"/>
        <v>2000</v>
      </c>
      <c r="AX272">
        <f t="shared" si="233"/>
        <v>0</v>
      </c>
      <c r="AY272">
        <f t="shared" si="234"/>
        <v>0</v>
      </c>
      <c r="AZ272">
        <f t="shared" si="235"/>
        <v>0</v>
      </c>
      <c r="BA272">
        <f t="shared" si="236"/>
        <v>0</v>
      </c>
      <c r="BB272">
        <f t="shared" si="237"/>
        <v>0</v>
      </c>
      <c r="BC272">
        <f t="shared" si="238"/>
        <v>0</v>
      </c>
      <c r="BD272">
        <f t="shared" si="239"/>
        <v>0</v>
      </c>
      <c r="BE272">
        <f t="shared" si="240"/>
        <v>0</v>
      </c>
      <c r="BF272">
        <f t="shared" si="241"/>
        <v>0</v>
      </c>
      <c r="BG272">
        <f t="shared" si="242"/>
        <v>0</v>
      </c>
      <c r="BH272">
        <f t="shared" si="243"/>
        <v>0</v>
      </c>
      <c r="BI272">
        <f t="shared" si="244"/>
        <v>0</v>
      </c>
      <c r="BJ272">
        <f t="shared" si="245"/>
        <v>0</v>
      </c>
      <c r="BK272">
        <f t="shared" si="246"/>
        <v>0</v>
      </c>
      <c r="BL272">
        <v>0</v>
      </c>
      <c r="BM272" t="str">
        <f t="shared" si="251"/>
        <v>Big Win</v>
      </c>
      <c r="BN272" s="32" t="str">
        <f t="shared" si="252"/>
        <v>Free Plays A</v>
      </c>
      <c r="BO272">
        <f>(D272/Summary!$C$4-Summary!$C$8)^2*E272</f>
        <v>76714.445000000007</v>
      </c>
      <c r="BP272">
        <f t="shared" si="247"/>
        <v>0</v>
      </c>
      <c r="BQ272">
        <f t="shared" si="248"/>
        <v>0</v>
      </c>
      <c r="BR272">
        <f t="shared" si="249"/>
        <v>0</v>
      </c>
      <c r="BS272">
        <f t="shared" si="250"/>
        <v>0</v>
      </c>
    </row>
    <row r="273" spans="2:71">
      <c r="B273" s="16">
        <f>Tiers!B274</f>
        <v>271</v>
      </c>
      <c r="C273" s="17" t="str">
        <f>Tiers!Y274</f>
        <v>main-24|freeplayA-4|||||||| x 1</v>
      </c>
      <c r="D273" s="18">
        <f>Tiers!C274</f>
        <v>33.6</v>
      </c>
      <c r="E273" s="19">
        <f>Frequency!E275</f>
        <v>50</v>
      </c>
      <c r="F273" s="19">
        <f t="shared" si="204"/>
        <v>1680</v>
      </c>
      <c r="G273" s="19">
        <f>IF(Tiers!D274&gt;1,'Data Analysis'!E273,0)</f>
        <v>0</v>
      </c>
      <c r="H273" s="19">
        <f t="shared" si="205"/>
        <v>0</v>
      </c>
      <c r="I273" s="19">
        <f>IF(AND(D273/Summary!$C$4&gt;0, D273/Summary!$C$4&lt;5),E273,0) * D273</f>
        <v>0</v>
      </c>
      <c r="J273" s="19">
        <f>IF(AND(D273/Summary!$C$4&gt;= 5, D273/Summary!$C$4&lt;10),E273,0) * D273</f>
        <v>0</v>
      </c>
      <c r="K273" s="19">
        <f>IF(AND(D273/Summary!$C$4&gt;=10, D273/Summary!$C$4&lt;25),E273,0)*D273</f>
        <v>0</v>
      </c>
      <c r="L273" s="19">
        <f>IF(D273/Summary!$C$4&gt;=25,E273,0)*D273</f>
        <v>1680</v>
      </c>
      <c r="M273" s="27">
        <f>IF(AND(D273/Summary!$C$4&gt;0, D273/Summary!$C$4&lt;1),E273,0)</f>
        <v>0</v>
      </c>
      <c r="N273" s="27">
        <f t="shared" si="206"/>
        <v>0</v>
      </c>
      <c r="O273" s="27">
        <f>IF(D273/Summary!$C$4=1,1,0)*E273</f>
        <v>0</v>
      </c>
      <c r="P273" s="27">
        <f t="shared" si="207"/>
        <v>0</v>
      </c>
      <c r="Q273" s="27">
        <f>IF(AND(D273/Summary!$C$4&gt;1, D273/Summary!$C$4&lt;=2),1,0)*E273</f>
        <v>0</v>
      </c>
      <c r="R273" s="27">
        <f t="shared" si="208"/>
        <v>0</v>
      </c>
      <c r="S273" s="27">
        <f>IF(AND(D273/Summary!$C$4&gt;2,D273/Summary!$C$4&lt;=5),1,0)*E273</f>
        <v>0</v>
      </c>
      <c r="T273" s="27">
        <f t="shared" si="209"/>
        <v>0</v>
      </c>
      <c r="U273" s="27">
        <f>IF(AND(D273/Summary!$C$4&gt;5, D273/Summary!$C$4&lt;=10),1,0)*E273</f>
        <v>0</v>
      </c>
      <c r="V273" s="27">
        <f t="shared" si="210"/>
        <v>0</v>
      </c>
      <c r="W273" s="27">
        <f>IF(AND(D273/Summary!$C$4&gt;10, D273/Summary!$C$4&lt;=20),1,0)*E273</f>
        <v>0</v>
      </c>
      <c r="X273" s="27">
        <f t="shared" si="211"/>
        <v>0</v>
      </c>
      <c r="Y273" s="27">
        <f>IF(AND(D273/Summary!$C$4&gt;20, D273/Summary!$C$4&lt;=30),1,0)*E273</f>
        <v>0</v>
      </c>
      <c r="Z273" s="27">
        <f t="shared" si="212"/>
        <v>0</v>
      </c>
      <c r="AA273" s="27">
        <f>IF(AND(D273/Summary!$C$4&gt;30, D273/Summary!$C$4&lt;=50),1,0)*E273</f>
        <v>50</v>
      </c>
      <c r="AB273" s="27">
        <f t="shared" si="213"/>
        <v>1680</v>
      </c>
      <c r="AC273" s="27">
        <f>IF(AND(D273/Summary!$C$4&gt;50, D273/Summary!$C$4&lt;=100),1,0)*E273</f>
        <v>0</v>
      </c>
      <c r="AD273" s="27">
        <f t="shared" si="214"/>
        <v>0</v>
      </c>
      <c r="AE273" s="27">
        <f>IF(D273/Summary!$C$4&gt;100,1,0)*E273</f>
        <v>0</v>
      </c>
      <c r="AF273" s="27">
        <f t="shared" si="215"/>
        <v>0</v>
      </c>
      <c r="AG273" s="19">
        <f t="shared" si="216"/>
        <v>50</v>
      </c>
      <c r="AH273" s="19">
        <f t="shared" si="217"/>
        <v>0</v>
      </c>
      <c r="AI273" s="19">
        <f t="shared" si="218"/>
        <v>0</v>
      </c>
      <c r="AJ273" s="27">
        <f t="shared" si="219"/>
        <v>1</v>
      </c>
      <c r="AK273" s="27">
        <f t="shared" si="220"/>
        <v>50</v>
      </c>
      <c r="AL273" s="27">
        <f t="shared" si="221"/>
        <v>1680</v>
      </c>
      <c r="AM273">
        <f t="shared" si="222"/>
        <v>0</v>
      </c>
      <c r="AN273">
        <f t="shared" si="223"/>
        <v>0</v>
      </c>
      <c r="AO273">
        <f t="shared" si="224"/>
        <v>0</v>
      </c>
      <c r="AP273">
        <f t="shared" si="225"/>
        <v>0</v>
      </c>
      <c r="AQ273">
        <f t="shared" si="226"/>
        <v>0</v>
      </c>
      <c r="AR273">
        <f t="shared" si="227"/>
        <v>0</v>
      </c>
      <c r="AS273">
        <f t="shared" si="228"/>
        <v>0</v>
      </c>
      <c r="AT273">
        <f t="shared" si="229"/>
        <v>0</v>
      </c>
      <c r="AU273">
        <f t="shared" si="230"/>
        <v>0</v>
      </c>
      <c r="AV273">
        <f t="shared" si="231"/>
        <v>50</v>
      </c>
      <c r="AW273">
        <f t="shared" si="232"/>
        <v>1680</v>
      </c>
      <c r="AX273">
        <f t="shared" si="233"/>
        <v>0</v>
      </c>
      <c r="AY273">
        <f t="shared" si="234"/>
        <v>0</v>
      </c>
      <c r="AZ273">
        <f t="shared" si="235"/>
        <v>0</v>
      </c>
      <c r="BA273">
        <f t="shared" si="236"/>
        <v>0</v>
      </c>
      <c r="BB273">
        <f t="shared" si="237"/>
        <v>0</v>
      </c>
      <c r="BC273">
        <f t="shared" si="238"/>
        <v>0</v>
      </c>
      <c r="BD273">
        <f t="shared" si="239"/>
        <v>0</v>
      </c>
      <c r="BE273">
        <f t="shared" si="240"/>
        <v>0</v>
      </c>
      <c r="BF273">
        <f t="shared" si="241"/>
        <v>0</v>
      </c>
      <c r="BG273">
        <f t="shared" si="242"/>
        <v>0</v>
      </c>
      <c r="BH273">
        <f t="shared" si="243"/>
        <v>0</v>
      </c>
      <c r="BI273">
        <f t="shared" si="244"/>
        <v>0</v>
      </c>
      <c r="BJ273">
        <f t="shared" si="245"/>
        <v>0</v>
      </c>
      <c r="BK273">
        <f t="shared" si="246"/>
        <v>0</v>
      </c>
      <c r="BL273">
        <v>0</v>
      </c>
      <c r="BM273" t="str">
        <f t="shared" si="251"/>
        <v>Big Win</v>
      </c>
      <c r="BN273" s="32" t="str">
        <f t="shared" si="252"/>
        <v>Free Plays A</v>
      </c>
      <c r="BO273">
        <f>(D273/Summary!$C$4-Summary!$C$8)^2*E273</f>
        <v>53693.645000000019</v>
      </c>
      <c r="BP273">
        <f t="shared" si="247"/>
        <v>0</v>
      </c>
      <c r="BQ273">
        <f t="shared" si="248"/>
        <v>0</v>
      </c>
      <c r="BR273">
        <f t="shared" si="249"/>
        <v>0</v>
      </c>
      <c r="BS273">
        <f t="shared" si="250"/>
        <v>0</v>
      </c>
    </row>
    <row r="274" spans="2:71">
      <c r="B274" s="16">
        <f>Tiers!B275</f>
        <v>272</v>
      </c>
      <c r="C274" s="17" t="str">
        <f>Tiers!Y275</f>
        <v>main-20|freeplayA-5|||||||| x 1</v>
      </c>
      <c r="D274" s="18">
        <f>Tiers!C275</f>
        <v>26.799999999999997</v>
      </c>
      <c r="E274" s="19">
        <f>Frequency!E276</f>
        <v>50</v>
      </c>
      <c r="F274" s="19">
        <f t="shared" si="204"/>
        <v>1339.9999999999998</v>
      </c>
      <c r="G274" s="19">
        <f>IF(Tiers!D275&gt;1,'Data Analysis'!E274,0)</f>
        <v>0</v>
      </c>
      <c r="H274" s="19">
        <f t="shared" si="205"/>
        <v>0</v>
      </c>
      <c r="I274" s="19">
        <f>IF(AND(D274/Summary!$C$4&gt;0, D274/Summary!$C$4&lt;5),E274,0) * D274</f>
        <v>0</v>
      </c>
      <c r="J274" s="19">
        <f>IF(AND(D274/Summary!$C$4&gt;= 5, D274/Summary!$C$4&lt;10),E274,0) * D274</f>
        <v>0</v>
      </c>
      <c r="K274" s="19">
        <f>IF(AND(D274/Summary!$C$4&gt;=10, D274/Summary!$C$4&lt;25),E274,0)*D274</f>
        <v>0</v>
      </c>
      <c r="L274" s="19">
        <f>IF(D274/Summary!$C$4&gt;=25,E274,0)*D274</f>
        <v>1339.9999999999998</v>
      </c>
      <c r="M274" s="27">
        <f>IF(AND(D274/Summary!$C$4&gt;0, D274/Summary!$C$4&lt;1),E274,0)</f>
        <v>0</v>
      </c>
      <c r="N274" s="27">
        <f t="shared" si="206"/>
        <v>0</v>
      </c>
      <c r="O274" s="27">
        <f>IF(D274/Summary!$C$4=1,1,0)*E274</f>
        <v>0</v>
      </c>
      <c r="P274" s="27">
        <f t="shared" si="207"/>
        <v>0</v>
      </c>
      <c r="Q274" s="27">
        <f>IF(AND(D274/Summary!$C$4&gt;1, D274/Summary!$C$4&lt;=2),1,0)*E274</f>
        <v>0</v>
      </c>
      <c r="R274" s="27">
        <f t="shared" si="208"/>
        <v>0</v>
      </c>
      <c r="S274" s="27">
        <f>IF(AND(D274/Summary!$C$4&gt;2,D274/Summary!$C$4&lt;=5),1,0)*E274</f>
        <v>0</v>
      </c>
      <c r="T274" s="27">
        <f t="shared" si="209"/>
        <v>0</v>
      </c>
      <c r="U274" s="27">
        <f>IF(AND(D274/Summary!$C$4&gt;5, D274/Summary!$C$4&lt;=10),1,0)*E274</f>
        <v>0</v>
      </c>
      <c r="V274" s="27">
        <f t="shared" si="210"/>
        <v>0</v>
      </c>
      <c r="W274" s="27">
        <f>IF(AND(D274/Summary!$C$4&gt;10, D274/Summary!$C$4&lt;=20),1,0)*E274</f>
        <v>0</v>
      </c>
      <c r="X274" s="27">
        <f t="shared" si="211"/>
        <v>0</v>
      </c>
      <c r="Y274" s="27">
        <f>IF(AND(D274/Summary!$C$4&gt;20, D274/Summary!$C$4&lt;=30),1,0)*E274</f>
        <v>50</v>
      </c>
      <c r="Z274" s="27">
        <f t="shared" si="212"/>
        <v>1339.9999999999998</v>
      </c>
      <c r="AA274" s="27">
        <f>IF(AND(D274/Summary!$C$4&gt;30, D274/Summary!$C$4&lt;=50),1,0)*E274</f>
        <v>0</v>
      </c>
      <c r="AB274" s="27">
        <f t="shared" si="213"/>
        <v>0</v>
      </c>
      <c r="AC274" s="27">
        <f>IF(AND(D274/Summary!$C$4&gt;50, D274/Summary!$C$4&lt;=100),1,0)*E274</f>
        <v>0</v>
      </c>
      <c r="AD274" s="27">
        <f t="shared" si="214"/>
        <v>0</v>
      </c>
      <c r="AE274" s="27">
        <f>IF(D274/Summary!$C$4&gt;100,1,0)*E274</f>
        <v>0</v>
      </c>
      <c r="AF274" s="27">
        <f t="shared" si="215"/>
        <v>0</v>
      </c>
      <c r="AG274" s="19">
        <f t="shared" si="216"/>
        <v>50</v>
      </c>
      <c r="AH274" s="19">
        <f t="shared" si="217"/>
        <v>0</v>
      </c>
      <c r="AI274" s="19">
        <f t="shared" si="218"/>
        <v>0</v>
      </c>
      <c r="AJ274" s="27">
        <f t="shared" si="219"/>
        <v>1</v>
      </c>
      <c r="AK274" s="27">
        <f t="shared" si="220"/>
        <v>50</v>
      </c>
      <c r="AL274" s="27">
        <f t="shared" si="221"/>
        <v>1339.9999999999998</v>
      </c>
      <c r="AM274">
        <f t="shared" si="222"/>
        <v>0</v>
      </c>
      <c r="AN274">
        <f t="shared" si="223"/>
        <v>0</v>
      </c>
      <c r="AO274">
        <f t="shared" si="224"/>
        <v>0</v>
      </c>
      <c r="AP274">
        <f t="shared" si="225"/>
        <v>0</v>
      </c>
      <c r="AQ274">
        <f t="shared" si="226"/>
        <v>0</v>
      </c>
      <c r="AR274">
        <f t="shared" si="227"/>
        <v>0</v>
      </c>
      <c r="AS274">
        <f t="shared" si="228"/>
        <v>0</v>
      </c>
      <c r="AT274">
        <f t="shared" si="229"/>
        <v>0</v>
      </c>
      <c r="AU274">
        <f t="shared" si="230"/>
        <v>0</v>
      </c>
      <c r="AV274">
        <f t="shared" si="231"/>
        <v>50</v>
      </c>
      <c r="AW274">
        <f t="shared" si="232"/>
        <v>1339.9999999999998</v>
      </c>
      <c r="AX274">
        <f t="shared" si="233"/>
        <v>0</v>
      </c>
      <c r="AY274">
        <f t="shared" si="234"/>
        <v>0</v>
      </c>
      <c r="AZ274">
        <f t="shared" si="235"/>
        <v>0</v>
      </c>
      <c r="BA274">
        <f t="shared" si="236"/>
        <v>0</v>
      </c>
      <c r="BB274">
        <f t="shared" si="237"/>
        <v>0</v>
      </c>
      <c r="BC274">
        <f t="shared" si="238"/>
        <v>0</v>
      </c>
      <c r="BD274">
        <f t="shared" si="239"/>
        <v>0</v>
      </c>
      <c r="BE274">
        <f t="shared" si="240"/>
        <v>0</v>
      </c>
      <c r="BF274">
        <f t="shared" si="241"/>
        <v>0</v>
      </c>
      <c r="BG274">
        <f t="shared" si="242"/>
        <v>0</v>
      </c>
      <c r="BH274">
        <f t="shared" si="243"/>
        <v>0</v>
      </c>
      <c r="BI274">
        <f t="shared" si="244"/>
        <v>0</v>
      </c>
      <c r="BJ274">
        <f t="shared" si="245"/>
        <v>0</v>
      </c>
      <c r="BK274">
        <f t="shared" si="246"/>
        <v>0</v>
      </c>
      <c r="BL274">
        <v>0</v>
      </c>
      <c r="BM274" t="str">
        <f t="shared" si="251"/>
        <v>Big Win</v>
      </c>
      <c r="BN274" s="32" t="str">
        <f t="shared" si="252"/>
        <v>Free Plays A</v>
      </c>
      <c r="BO274">
        <f>(D274/Summary!$C$4-Summary!$C$8)^2*E274</f>
        <v>33722.044999999998</v>
      </c>
      <c r="BP274">
        <f t="shared" si="247"/>
        <v>0</v>
      </c>
      <c r="BQ274">
        <f t="shared" si="248"/>
        <v>0</v>
      </c>
      <c r="BR274">
        <f t="shared" si="249"/>
        <v>0</v>
      </c>
      <c r="BS274">
        <f t="shared" si="250"/>
        <v>0</v>
      </c>
    </row>
    <row r="275" spans="2:71">
      <c r="B275" s="16">
        <f>Tiers!B276</f>
        <v>273</v>
      </c>
      <c r="C275" s="17" t="str">
        <f>Tiers!Y276</f>
        <v>main-6|freeplayA-6|||||||| x 1</v>
      </c>
      <c r="D275" s="18">
        <f>Tiers!C276</f>
        <v>31.5</v>
      </c>
      <c r="E275" s="19">
        <f>Frequency!E277</f>
        <v>50</v>
      </c>
      <c r="F275" s="19">
        <f t="shared" si="204"/>
        <v>1575</v>
      </c>
      <c r="G275" s="19">
        <f>IF(Tiers!D276&gt;1,'Data Analysis'!E275,0)</f>
        <v>0</v>
      </c>
      <c r="H275" s="19">
        <f t="shared" si="205"/>
        <v>0</v>
      </c>
      <c r="I275" s="19">
        <f>IF(AND(D275/Summary!$C$4&gt;0, D275/Summary!$C$4&lt;5),E275,0) * D275</f>
        <v>0</v>
      </c>
      <c r="J275" s="19">
        <f>IF(AND(D275/Summary!$C$4&gt;= 5, D275/Summary!$C$4&lt;10),E275,0) * D275</f>
        <v>0</v>
      </c>
      <c r="K275" s="19">
        <f>IF(AND(D275/Summary!$C$4&gt;=10, D275/Summary!$C$4&lt;25),E275,0)*D275</f>
        <v>0</v>
      </c>
      <c r="L275" s="19">
        <f>IF(D275/Summary!$C$4&gt;=25,E275,0)*D275</f>
        <v>1575</v>
      </c>
      <c r="M275" s="27">
        <f>IF(AND(D275/Summary!$C$4&gt;0, D275/Summary!$C$4&lt;1),E275,0)</f>
        <v>0</v>
      </c>
      <c r="N275" s="27">
        <f t="shared" si="206"/>
        <v>0</v>
      </c>
      <c r="O275" s="27">
        <f>IF(D275/Summary!$C$4=1,1,0)*E275</f>
        <v>0</v>
      </c>
      <c r="P275" s="27">
        <f t="shared" si="207"/>
        <v>0</v>
      </c>
      <c r="Q275" s="27">
        <f>IF(AND(D275/Summary!$C$4&gt;1, D275/Summary!$C$4&lt;=2),1,0)*E275</f>
        <v>0</v>
      </c>
      <c r="R275" s="27">
        <f t="shared" si="208"/>
        <v>0</v>
      </c>
      <c r="S275" s="27">
        <f>IF(AND(D275/Summary!$C$4&gt;2,D275/Summary!$C$4&lt;=5),1,0)*E275</f>
        <v>0</v>
      </c>
      <c r="T275" s="27">
        <f t="shared" si="209"/>
        <v>0</v>
      </c>
      <c r="U275" s="27">
        <f>IF(AND(D275/Summary!$C$4&gt;5, D275/Summary!$C$4&lt;=10),1,0)*E275</f>
        <v>0</v>
      </c>
      <c r="V275" s="27">
        <f t="shared" si="210"/>
        <v>0</v>
      </c>
      <c r="W275" s="27">
        <f>IF(AND(D275/Summary!$C$4&gt;10, D275/Summary!$C$4&lt;=20),1,0)*E275</f>
        <v>0</v>
      </c>
      <c r="X275" s="27">
        <f t="shared" si="211"/>
        <v>0</v>
      </c>
      <c r="Y275" s="27">
        <f>IF(AND(D275/Summary!$C$4&gt;20, D275/Summary!$C$4&lt;=30),1,0)*E275</f>
        <v>0</v>
      </c>
      <c r="Z275" s="27">
        <f t="shared" si="212"/>
        <v>0</v>
      </c>
      <c r="AA275" s="27">
        <f>IF(AND(D275/Summary!$C$4&gt;30, D275/Summary!$C$4&lt;=50),1,0)*E275</f>
        <v>50</v>
      </c>
      <c r="AB275" s="27">
        <f t="shared" si="213"/>
        <v>1575</v>
      </c>
      <c r="AC275" s="27">
        <f>IF(AND(D275/Summary!$C$4&gt;50, D275/Summary!$C$4&lt;=100),1,0)*E275</f>
        <v>0</v>
      </c>
      <c r="AD275" s="27">
        <f t="shared" si="214"/>
        <v>0</v>
      </c>
      <c r="AE275" s="27">
        <f>IF(D275/Summary!$C$4&gt;100,1,0)*E275</f>
        <v>0</v>
      </c>
      <c r="AF275" s="27">
        <f t="shared" si="215"/>
        <v>0</v>
      </c>
      <c r="AG275" s="19">
        <f t="shared" si="216"/>
        <v>50</v>
      </c>
      <c r="AH275" s="19">
        <f t="shared" si="217"/>
        <v>0</v>
      </c>
      <c r="AI275" s="19">
        <f t="shared" si="218"/>
        <v>0</v>
      </c>
      <c r="AJ275" s="27">
        <f t="shared" si="219"/>
        <v>1</v>
      </c>
      <c r="AK275" s="27">
        <f t="shared" si="220"/>
        <v>50</v>
      </c>
      <c r="AL275" s="27">
        <f t="shared" si="221"/>
        <v>1575</v>
      </c>
      <c r="AM275">
        <f t="shared" si="222"/>
        <v>0</v>
      </c>
      <c r="AN275">
        <f t="shared" si="223"/>
        <v>0</v>
      </c>
      <c r="AO275">
        <f t="shared" si="224"/>
        <v>0</v>
      </c>
      <c r="AP275">
        <f t="shared" si="225"/>
        <v>0</v>
      </c>
      <c r="AQ275">
        <f t="shared" si="226"/>
        <v>0</v>
      </c>
      <c r="AR275">
        <f t="shared" si="227"/>
        <v>0</v>
      </c>
      <c r="AS275">
        <f t="shared" si="228"/>
        <v>0</v>
      </c>
      <c r="AT275">
        <f t="shared" si="229"/>
        <v>0</v>
      </c>
      <c r="AU275">
        <f t="shared" si="230"/>
        <v>0</v>
      </c>
      <c r="AV275">
        <f t="shared" si="231"/>
        <v>50</v>
      </c>
      <c r="AW275">
        <f t="shared" si="232"/>
        <v>1575</v>
      </c>
      <c r="AX275">
        <f t="shared" si="233"/>
        <v>0</v>
      </c>
      <c r="AY275">
        <f t="shared" si="234"/>
        <v>0</v>
      </c>
      <c r="AZ275">
        <f t="shared" si="235"/>
        <v>0</v>
      </c>
      <c r="BA275">
        <f t="shared" si="236"/>
        <v>0</v>
      </c>
      <c r="BB275">
        <f t="shared" si="237"/>
        <v>0</v>
      </c>
      <c r="BC275">
        <f t="shared" si="238"/>
        <v>0</v>
      </c>
      <c r="BD275">
        <f t="shared" si="239"/>
        <v>0</v>
      </c>
      <c r="BE275">
        <f t="shared" si="240"/>
        <v>0</v>
      </c>
      <c r="BF275">
        <f t="shared" si="241"/>
        <v>0</v>
      </c>
      <c r="BG275">
        <f t="shared" si="242"/>
        <v>0</v>
      </c>
      <c r="BH275">
        <f t="shared" si="243"/>
        <v>0</v>
      </c>
      <c r="BI275">
        <f t="shared" si="244"/>
        <v>0</v>
      </c>
      <c r="BJ275">
        <f t="shared" si="245"/>
        <v>0</v>
      </c>
      <c r="BK275">
        <f t="shared" si="246"/>
        <v>0</v>
      </c>
      <c r="BL275">
        <v>0</v>
      </c>
      <c r="BM275" t="str">
        <f t="shared" si="251"/>
        <v>Big Win</v>
      </c>
      <c r="BN275" s="32" t="str">
        <f t="shared" si="252"/>
        <v>Free Plays A</v>
      </c>
      <c r="BO275">
        <f>(D275/Summary!$C$4-Summary!$C$8)^2*E275</f>
        <v>47032.445000000007</v>
      </c>
      <c r="BP275">
        <f t="shared" si="247"/>
        <v>0</v>
      </c>
      <c r="BQ275">
        <f t="shared" si="248"/>
        <v>0</v>
      </c>
      <c r="BR275">
        <f t="shared" si="249"/>
        <v>0</v>
      </c>
      <c r="BS275">
        <f t="shared" si="250"/>
        <v>0</v>
      </c>
    </row>
    <row r="276" spans="2:71">
      <c r="B276" s="16">
        <f>Tiers!B277</f>
        <v>274</v>
      </c>
      <c r="C276" s="17" t="str">
        <f>Tiers!Y277</f>
        <v>main-32|freeplayA-7|||||||| x 1</v>
      </c>
      <c r="D276" s="18">
        <f>Tiers!C277</f>
        <v>51.9</v>
      </c>
      <c r="E276" s="19">
        <f>Frequency!E278</f>
        <v>9</v>
      </c>
      <c r="F276" s="19">
        <f t="shared" si="204"/>
        <v>467.09999999999997</v>
      </c>
      <c r="G276" s="19">
        <f>IF(Tiers!D277&gt;1,'Data Analysis'!E276,0)</f>
        <v>0</v>
      </c>
      <c r="H276" s="19">
        <f t="shared" si="205"/>
        <v>0</v>
      </c>
      <c r="I276" s="19">
        <f>IF(AND(D276/Summary!$C$4&gt;0, D276/Summary!$C$4&lt;5),E276,0) * D276</f>
        <v>0</v>
      </c>
      <c r="J276" s="19">
        <f>IF(AND(D276/Summary!$C$4&gt;= 5, D276/Summary!$C$4&lt;10),E276,0) * D276</f>
        <v>0</v>
      </c>
      <c r="K276" s="19">
        <f>IF(AND(D276/Summary!$C$4&gt;=10, D276/Summary!$C$4&lt;25),E276,0)*D276</f>
        <v>0</v>
      </c>
      <c r="L276" s="19">
        <f>IF(D276/Summary!$C$4&gt;=25,E276,0)*D276</f>
        <v>467.09999999999997</v>
      </c>
      <c r="M276" s="27">
        <f>IF(AND(D276/Summary!$C$4&gt;0, D276/Summary!$C$4&lt;1),E276,0)</f>
        <v>0</v>
      </c>
      <c r="N276" s="27">
        <f t="shared" si="206"/>
        <v>0</v>
      </c>
      <c r="O276" s="27">
        <f>IF(D276/Summary!$C$4=1,1,0)*E276</f>
        <v>0</v>
      </c>
      <c r="P276" s="27">
        <f t="shared" si="207"/>
        <v>0</v>
      </c>
      <c r="Q276" s="27">
        <f>IF(AND(D276/Summary!$C$4&gt;1, D276/Summary!$C$4&lt;=2),1,0)*E276</f>
        <v>0</v>
      </c>
      <c r="R276" s="27">
        <f t="shared" si="208"/>
        <v>0</v>
      </c>
      <c r="S276" s="27">
        <f>IF(AND(D276/Summary!$C$4&gt;2,D276/Summary!$C$4&lt;=5),1,0)*E276</f>
        <v>0</v>
      </c>
      <c r="T276" s="27">
        <f t="shared" si="209"/>
        <v>0</v>
      </c>
      <c r="U276" s="27">
        <f>IF(AND(D276/Summary!$C$4&gt;5, D276/Summary!$C$4&lt;=10),1,0)*E276</f>
        <v>0</v>
      </c>
      <c r="V276" s="27">
        <f t="shared" si="210"/>
        <v>0</v>
      </c>
      <c r="W276" s="27">
        <f>IF(AND(D276/Summary!$C$4&gt;10, D276/Summary!$C$4&lt;=20),1,0)*E276</f>
        <v>0</v>
      </c>
      <c r="X276" s="27">
        <f t="shared" si="211"/>
        <v>0</v>
      </c>
      <c r="Y276" s="27">
        <f>IF(AND(D276/Summary!$C$4&gt;20, D276/Summary!$C$4&lt;=30),1,0)*E276</f>
        <v>0</v>
      </c>
      <c r="Z276" s="27">
        <f t="shared" si="212"/>
        <v>0</v>
      </c>
      <c r="AA276" s="27">
        <f>IF(AND(D276/Summary!$C$4&gt;30, D276/Summary!$C$4&lt;=50),1,0)*E276</f>
        <v>0</v>
      </c>
      <c r="AB276" s="27">
        <f t="shared" si="213"/>
        <v>0</v>
      </c>
      <c r="AC276" s="27">
        <f>IF(AND(D276/Summary!$C$4&gt;50, D276/Summary!$C$4&lt;=100),1,0)*E276</f>
        <v>9</v>
      </c>
      <c r="AD276" s="27">
        <f t="shared" si="214"/>
        <v>467.09999999999997</v>
      </c>
      <c r="AE276" s="27">
        <f>IF(D276/Summary!$C$4&gt;100,1,0)*E276</f>
        <v>0</v>
      </c>
      <c r="AF276" s="27">
        <f t="shared" si="215"/>
        <v>0</v>
      </c>
      <c r="AG276" s="19">
        <f t="shared" si="216"/>
        <v>9</v>
      </c>
      <c r="AH276" s="19">
        <f t="shared" si="217"/>
        <v>0</v>
      </c>
      <c r="AI276" s="19">
        <f t="shared" si="218"/>
        <v>0</v>
      </c>
      <c r="AJ276" s="27">
        <f t="shared" si="219"/>
        <v>1</v>
      </c>
      <c r="AK276" s="27">
        <f t="shared" si="220"/>
        <v>9</v>
      </c>
      <c r="AL276" s="27">
        <f t="shared" si="221"/>
        <v>467.09999999999997</v>
      </c>
      <c r="AM276">
        <f t="shared" si="222"/>
        <v>0</v>
      </c>
      <c r="AN276">
        <f t="shared" si="223"/>
        <v>0</v>
      </c>
      <c r="AO276">
        <f t="shared" si="224"/>
        <v>0</v>
      </c>
      <c r="AP276">
        <f t="shared" si="225"/>
        <v>0</v>
      </c>
      <c r="AQ276">
        <f t="shared" si="226"/>
        <v>0</v>
      </c>
      <c r="AR276">
        <f t="shared" si="227"/>
        <v>0</v>
      </c>
      <c r="AS276">
        <f t="shared" si="228"/>
        <v>0</v>
      </c>
      <c r="AT276">
        <f t="shared" si="229"/>
        <v>0</v>
      </c>
      <c r="AU276">
        <f t="shared" si="230"/>
        <v>0</v>
      </c>
      <c r="AV276">
        <f t="shared" si="231"/>
        <v>9</v>
      </c>
      <c r="AW276">
        <f t="shared" si="232"/>
        <v>467.09999999999997</v>
      </c>
      <c r="AX276">
        <f t="shared" si="233"/>
        <v>0</v>
      </c>
      <c r="AY276">
        <f t="shared" si="234"/>
        <v>0</v>
      </c>
      <c r="AZ276">
        <f t="shared" si="235"/>
        <v>0</v>
      </c>
      <c r="BA276">
        <f t="shared" si="236"/>
        <v>0</v>
      </c>
      <c r="BB276">
        <f t="shared" si="237"/>
        <v>0</v>
      </c>
      <c r="BC276">
        <f t="shared" si="238"/>
        <v>0</v>
      </c>
      <c r="BD276">
        <f t="shared" si="239"/>
        <v>0</v>
      </c>
      <c r="BE276">
        <f t="shared" si="240"/>
        <v>0</v>
      </c>
      <c r="BF276">
        <f t="shared" si="241"/>
        <v>0</v>
      </c>
      <c r="BG276">
        <f t="shared" si="242"/>
        <v>0</v>
      </c>
      <c r="BH276">
        <f t="shared" si="243"/>
        <v>0</v>
      </c>
      <c r="BI276">
        <f t="shared" si="244"/>
        <v>0</v>
      </c>
      <c r="BJ276">
        <f t="shared" si="245"/>
        <v>0</v>
      </c>
      <c r="BK276">
        <f t="shared" si="246"/>
        <v>0</v>
      </c>
      <c r="BL276">
        <v>0</v>
      </c>
      <c r="BM276" t="str">
        <f t="shared" si="251"/>
        <v>Huge Win</v>
      </c>
      <c r="BN276" s="32" t="str">
        <f t="shared" si="252"/>
        <v>Free Plays A</v>
      </c>
      <c r="BO276">
        <f>(D276/Summary!$C$4-Summary!$C$8)^2*E276</f>
        <v>23473.304100000001</v>
      </c>
      <c r="BP276">
        <f t="shared" si="247"/>
        <v>0</v>
      </c>
      <c r="BQ276">
        <f t="shared" si="248"/>
        <v>0</v>
      </c>
      <c r="BR276">
        <f t="shared" si="249"/>
        <v>0</v>
      </c>
      <c r="BS276">
        <f t="shared" si="250"/>
        <v>0</v>
      </c>
    </row>
    <row r="277" spans="2:71">
      <c r="B277" s="16">
        <f>Tiers!B278</f>
        <v>275</v>
      </c>
      <c r="C277" s="17" t="str">
        <f>Tiers!Y278</f>
        <v>main-14|freeplayA-8|||||||| x 1</v>
      </c>
      <c r="D277" s="18">
        <f>Tiers!C278</f>
        <v>37</v>
      </c>
      <c r="E277" s="19">
        <f>Frequency!E279</f>
        <v>100</v>
      </c>
      <c r="F277" s="19">
        <f t="shared" si="204"/>
        <v>3700</v>
      </c>
      <c r="G277" s="19">
        <f>IF(Tiers!D278&gt;1,'Data Analysis'!E277,0)</f>
        <v>0</v>
      </c>
      <c r="H277" s="19">
        <f t="shared" si="205"/>
        <v>0</v>
      </c>
      <c r="I277" s="19">
        <f>IF(AND(D277/Summary!$C$4&gt;0, D277/Summary!$C$4&lt;5),E277,0) * D277</f>
        <v>0</v>
      </c>
      <c r="J277" s="19">
        <f>IF(AND(D277/Summary!$C$4&gt;= 5, D277/Summary!$C$4&lt;10),E277,0) * D277</f>
        <v>0</v>
      </c>
      <c r="K277" s="19">
        <f>IF(AND(D277/Summary!$C$4&gt;=10, D277/Summary!$C$4&lt;25),E277,0)*D277</f>
        <v>0</v>
      </c>
      <c r="L277" s="19">
        <f>IF(D277/Summary!$C$4&gt;=25,E277,0)*D277</f>
        <v>3700</v>
      </c>
      <c r="M277" s="27">
        <f>IF(AND(D277/Summary!$C$4&gt;0, D277/Summary!$C$4&lt;1),E277,0)</f>
        <v>0</v>
      </c>
      <c r="N277" s="27">
        <f t="shared" si="206"/>
        <v>0</v>
      </c>
      <c r="O277" s="27">
        <f>IF(D277/Summary!$C$4=1,1,0)*E277</f>
        <v>0</v>
      </c>
      <c r="P277" s="27">
        <f t="shared" si="207"/>
        <v>0</v>
      </c>
      <c r="Q277" s="27">
        <f>IF(AND(D277/Summary!$C$4&gt;1, D277/Summary!$C$4&lt;=2),1,0)*E277</f>
        <v>0</v>
      </c>
      <c r="R277" s="27">
        <f t="shared" si="208"/>
        <v>0</v>
      </c>
      <c r="S277" s="27">
        <f>IF(AND(D277/Summary!$C$4&gt;2,D277/Summary!$C$4&lt;=5),1,0)*E277</f>
        <v>0</v>
      </c>
      <c r="T277" s="27">
        <f t="shared" si="209"/>
        <v>0</v>
      </c>
      <c r="U277" s="27">
        <f>IF(AND(D277/Summary!$C$4&gt;5, D277/Summary!$C$4&lt;=10),1,0)*E277</f>
        <v>0</v>
      </c>
      <c r="V277" s="27">
        <f t="shared" si="210"/>
        <v>0</v>
      </c>
      <c r="W277" s="27">
        <f>IF(AND(D277/Summary!$C$4&gt;10, D277/Summary!$C$4&lt;=20),1,0)*E277</f>
        <v>0</v>
      </c>
      <c r="X277" s="27">
        <f t="shared" si="211"/>
        <v>0</v>
      </c>
      <c r="Y277" s="27">
        <f>IF(AND(D277/Summary!$C$4&gt;20, D277/Summary!$C$4&lt;=30),1,0)*E277</f>
        <v>0</v>
      </c>
      <c r="Z277" s="27">
        <f t="shared" si="212"/>
        <v>0</v>
      </c>
      <c r="AA277" s="27">
        <f>IF(AND(D277/Summary!$C$4&gt;30, D277/Summary!$C$4&lt;=50),1,0)*E277</f>
        <v>100</v>
      </c>
      <c r="AB277" s="27">
        <f t="shared" si="213"/>
        <v>3700</v>
      </c>
      <c r="AC277" s="27">
        <f>IF(AND(D277/Summary!$C$4&gt;50, D277/Summary!$C$4&lt;=100),1,0)*E277</f>
        <v>0</v>
      </c>
      <c r="AD277" s="27">
        <f t="shared" si="214"/>
        <v>0</v>
      </c>
      <c r="AE277" s="27">
        <f>IF(D277/Summary!$C$4&gt;100,1,0)*E277</f>
        <v>0</v>
      </c>
      <c r="AF277" s="27">
        <f t="shared" si="215"/>
        <v>0</v>
      </c>
      <c r="AG277" s="19">
        <f t="shared" si="216"/>
        <v>100</v>
      </c>
      <c r="AH277" s="19">
        <f t="shared" si="217"/>
        <v>0</v>
      </c>
      <c r="AI277" s="19">
        <f t="shared" si="218"/>
        <v>0</v>
      </c>
      <c r="AJ277" s="27">
        <f t="shared" si="219"/>
        <v>1</v>
      </c>
      <c r="AK277" s="27">
        <f t="shared" si="220"/>
        <v>100</v>
      </c>
      <c r="AL277" s="27">
        <f t="shared" si="221"/>
        <v>3700</v>
      </c>
      <c r="AM277">
        <f t="shared" si="222"/>
        <v>0</v>
      </c>
      <c r="AN277">
        <f t="shared" si="223"/>
        <v>0</v>
      </c>
      <c r="AO277">
        <f t="shared" si="224"/>
        <v>0</v>
      </c>
      <c r="AP277">
        <f t="shared" si="225"/>
        <v>0</v>
      </c>
      <c r="AQ277">
        <f t="shared" si="226"/>
        <v>0</v>
      </c>
      <c r="AR277">
        <f t="shared" si="227"/>
        <v>0</v>
      </c>
      <c r="AS277">
        <f t="shared" si="228"/>
        <v>0</v>
      </c>
      <c r="AT277">
        <f t="shared" si="229"/>
        <v>0</v>
      </c>
      <c r="AU277">
        <f t="shared" si="230"/>
        <v>0</v>
      </c>
      <c r="AV277">
        <f t="shared" si="231"/>
        <v>100</v>
      </c>
      <c r="AW277">
        <f t="shared" si="232"/>
        <v>3700</v>
      </c>
      <c r="AX277">
        <f t="shared" si="233"/>
        <v>0</v>
      </c>
      <c r="AY277">
        <f t="shared" si="234"/>
        <v>0</v>
      </c>
      <c r="AZ277">
        <f t="shared" si="235"/>
        <v>0</v>
      </c>
      <c r="BA277">
        <f t="shared" si="236"/>
        <v>0</v>
      </c>
      <c r="BB277">
        <f t="shared" si="237"/>
        <v>0</v>
      </c>
      <c r="BC277">
        <f t="shared" si="238"/>
        <v>0</v>
      </c>
      <c r="BD277">
        <f t="shared" si="239"/>
        <v>0</v>
      </c>
      <c r="BE277">
        <f t="shared" si="240"/>
        <v>0</v>
      </c>
      <c r="BF277">
        <f t="shared" si="241"/>
        <v>0</v>
      </c>
      <c r="BG277">
        <f t="shared" si="242"/>
        <v>0</v>
      </c>
      <c r="BH277">
        <f t="shared" si="243"/>
        <v>0</v>
      </c>
      <c r="BI277">
        <f t="shared" si="244"/>
        <v>0</v>
      </c>
      <c r="BJ277">
        <f t="shared" si="245"/>
        <v>0</v>
      </c>
      <c r="BK277">
        <f t="shared" si="246"/>
        <v>0</v>
      </c>
      <c r="BL277">
        <v>0</v>
      </c>
      <c r="BM277" t="str">
        <f t="shared" si="251"/>
        <v>Big Win</v>
      </c>
      <c r="BN277" s="32" t="str">
        <f t="shared" si="252"/>
        <v>Free Plays A</v>
      </c>
      <c r="BO277">
        <f>(D277/Summary!$C$4-Summary!$C$8)^2*E277</f>
        <v>130826.89</v>
      </c>
      <c r="BP277">
        <f t="shared" si="247"/>
        <v>0</v>
      </c>
      <c r="BQ277">
        <f t="shared" si="248"/>
        <v>0</v>
      </c>
      <c r="BR277">
        <f t="shared" si="249"/>
        <v>0</v>
      </c>
      <c r="BS277">
        <f t="shared" si="250"/>
        <v>0</v>
      </c>
    </row>
    <row r="278" spans="2:71">
      <c r="B278" s="16">
        <f>Tiers!B279</f>
        <v>276</v>
      </c>
      <c r="C278" s="17" t="str">
        <f>Tiers!Y279</f>
        <v>main-3|freeplayA-1|||||||| x 1</v>
      </c>
      <c r="D278" s="18">
        <f>Tiers!C279</f>
        <v>25.7</v>
      </c>
      <c r="E278" s="19">
        <f>Frequency!E280</f>
        <v>100</v>
      </c>
      <c r="F278" s="19">
        <f t="shared" si="204"/>
        <v>2570</v>
      </c>
      <c r="G278" s="19">
        <f>IF(Tiers!D279&gt;1,'Data Analysis'!E278,0)</f>
        <v>0</v>
      </c>
      <c r="H278" s="19">
        <f t="shared" si="205"/>
        <v>0</v>
      </c>
      <c r="I278" s="19">
        <f>IF(AND(D278/Summary!$C$4&gt;0, D278/Summary!$C$4&lt;5),E278,0) * D278</f>
        <v>0</v>
      </c>
      <c r="J278" s="19">
        <f>IF(AND(D278/Summary!$C$4&gt;= 5, D278/Summary!$C$4&lt;10),E278,0) * D278</f>
        <v>0</v>
      </c>
      <c r="K278" s="19">
        <f>IF(AND(D278/Summary!$C$4&gt;=10, D278/Summary!$C$4&lt;25),E278,0)*D278</f>
        <v>0</v>
      </c>
      <c r="L278" s="19">
        <f>IF(D278/Summary!$C$4&gt;=25,E278,0)*D278</f>
        <v>2570</v>
      </c>
      <c r="M278" s="27">
        <f>IF(AND(D278/Summary!$C$4&gt;0, D278/Summary!$C$4&lt;1),E278,0)</f>
        <v>0</v>
      </c>
      <c r="N278" s="27">
        <f t="shared" si="206"/>
        <v>0</v>
      </c>
      <c r="O278" s="27">
        <f>IF(D278/Summary!$C$4=1,1,0)*E278</f>
        <v>0</v>
      </c>
      <c r="P278" s="27">
        <f t="shared" si="207"/>
        <v>0</v>
      </c>
      <c r="Q278" s="27">
        <f>IF(AND(D278/Summary!$C$4&gt;1, D278/Summary!$C$4&lt;=2),1,0)*E278</f>
        <v>0</v>
      </c>
      <c r="R278" s="27">
        <f t="shared" si="208"/>
        <v>0</v>
      </c>
      <c r="S278" s="27">
        <f>IF(AND(D278/Summary!$C$4&gt;2,D278/Summary!$C$4&lt;=5),1,0)*E278</f>
        <v>0</v>
      </c>
      <c r="T278" s="27">
        <f t="shared" si="209"/>
        <v>0</v>
      </c>
      <c r="U278" s="27">
        <f>IF(AND(D278/Summary!$C$4&gt;5, D278/Summary!$C$4&lt;=10),1,0)*E278</f>
        <v>0</v>
      </c>
      <c r="V278" s="27">
        <f t="shared" si="210"/>
        <v>0</v>
      </c>
      <c r="W278" s="27">
        <f>IF(AND(D278/Summary!$C$4&gt;10, D278/Summary!$C$4&lt;=20),1,0)*E278</f>
        <v>0</v>
      </c>
      <c r="X278" s="27">
        <f t="shared" si="211"/>
        <v>0</v>
      </c>
      <c r="Y278" s="27">
        <f>IF(AND(D278/Summary!$C$4&gt;20, D278/Summary!$C$4&lt;=30),1,0)*E278</f>
        <v>100</v>
      </c>
      <c r="Z278" s="27">
        <f t="shared" si="212"/>
        <v>2570</v>
      </c>
      <c r="AA278" s="27">
        <f>IF(AND(D278/Summary!$C$4&gt;30, D278/Summary!$C$4&lt;=50),1,0)*E278</f>
        <v>0</v>
      </c>
      <c r="AB278" s="27">
        <f t="shared" si="213"/>
        <v>0</v>
      </c>
      <c r="AC278" s="27">
        <f>IF(AND(D278/Summary!$C$4&gt;50, D278/Summary!$C$4&lt;=100),1,0)*E278</f>
        <v>0</v>
      </c>
      <c r="AD278" s="27">
        <f t="shared" si="214"/>
        <v>0</v>
      </c>
      <c r="AE278" s="27">
        <f>IF(D278/Summary!$C$4&gt;100,1,0)*E278</f>
        <v>0</v>
      </c>
      <c r="AF278" s="27">
        <f t="shared" si="215"/>
        <v>0</v>
      </c>
      <c r="AG278" s="19">
        <f t="shared" si="216"/>
        <v>100</v>
      </c>
      <c r="AH278" s="19">
        <f t="shared" si="217"/>
        <v>0</v>
      </c>
      <c r="AI278" s="19">
        <f t="shared" si="218"/>
        <v>0</v>
      </c>
      <c r="AJ278" s="27">
        <f t="shared" si="219"/>
        <v>1</v>
      </c>
      <c r="AK278" s="27">
        <f t="shared" si="220"/>
        <v>100</v>
      </c>
      <c r="AL278" s="27">
        <f t="shared" si="221"/>
        <v>2570</v>
      </c>
      <c r="AM278">
        <f t="shared" si="222"/>
        <v>0</v>
      </c>
      <c r="AN278">
        <f t="shared" si="223"/>
        <v>0</v>
      </c>
      <c r="AO278">
        <f t="shared" si="224"/>
        <v>0</v>
      </c>
      <c r="AP278">
        <f t="shared" si="225"/>
        <v>0</v>
      </c>
      <c r="AQ278">
        <f t="shared" si="226"/>
        <v>0</v>
      </c>
      <c r="AR278">
        <f t="shared" si="227"/>
        <v>0</v>
      </c>
      <c r="AS278">
        <f t="shared" si="228"/>
        <v>0</v>
      </c>
      <c r="AT278">
        <f t="shared" si="229"/>
        <v>0</v>
      </c>
      <c r="AU278">
        <f t="shared" si="230"/>
        <v>0</v>
      </c>
      <c r="AV278">
        <f t="shared" si="231"/>
        <v>100</v>
      </c>
      <c r="AW278">
        <f t="shared" si="232"/>
        <v>2570</v>
      </c>
      <c r="AX278">
        <f t="shared" si="233"/>
        <v>0</v>
      </c>
      <c r="AY278">
        <f t="shared" si="234"/>
        <v>0</v>
      </c>
      <c r="AZ278">
        <f t="shared" si="235"/>
        <v>0</v>
      </c>
      <c r="BA278">
        <f t="shared" si="236"/>
        <v>0</v>
      </c>
      <c r="BB278">
        <f t="shared" si="237"/>
        <v>0</v>
      </c>
      <c r="BC278">
        <f t="shared" si="238"/>
        <v>0</v>
      </c>
      <c r="BD278">
        <f t="shared" si="239"/>
        <v>0</v>
      </c>
      <c r="BE278">
        <f t="shared" si="240"/>
        <v>0</v>
      </c>
      <c r="BF278">
        <f t="shared" si="241"/>
        <v>0</v>
      </c>
      <c r="BG278">
        <f t="shared" si="242"/>
        <v>0</v>
      </c>
      <c r="BH278">
        <f t="shared" si="243"/>
        <v>0</v>
      </c>
      <c r="BI278">
        <f t="shared" si="244"/>
        <v>0</v>
      </c>
      <c r="BJ278">
        <f t="shared" si="245"/>
        <v>0</v>
      </c>
      <c r="BK278">
        <f t="shared" si="246"/>
        <v>0</v>
      </c>
      <c r="BL278">
        <v>0</v>
      </c>
      <c r="BM278" t="str">
        <f t="shared" si="251"/>
        <v>Big Win</v>
      </c>
      <c r="BN278" s="32" t="str">
        <f t="shared" si="252"/>
        <v>Free Plays A</v>
      </c>
      <c r="BO278">
        <f>(D278/Summary!$C$4-Summary!$C$8)^2*E278</f>
        <v>61851.69000000001</v>
      </c>
      <c r="BP278">
        <f t="shared" si="247"/>
        <v>0</v>
      </c>
      <c r="BQ278">
        <f t="shared" si="248"/>
        <v>0</v>
      </c>
      <c r="BR278">
        <f t="shared" si="249"/>
        <v>0</v>
      </c>
      <c r="BS278">
        <f t="shared" si="250"/>
        <v>0</v>
      </c>
    </row>
    <row r="279" spans="2:71">
      <c r="B279" s="16">
        <f>Tiers!B280</f>
        <v>277</v>
      </c>
      <c r="C279" s="17" t="str">
        <f>Tiers!Y280</f>
        <v>main-5|freeplayA-2|||||||| x 1</v>
      </c>
      <c r="D279" s="18">
        <f>Tiers!C280</f>
        <v>13.399999999999999</v>
      </c>
      <c r="E279" s="19">
        <f>Frequency!E281</f>
        <v>136</v>
      </c>
      <c r="F279" s="19">
        <f t="shared" si="204"/>
        <v>1822.3999999999999</v>
      </c>
      <c r="G279" s="19">
        <f>IF(Tiers!D280&gt;1,'Data Analysis'!E279,0)</f>
        <v>0</v>
      </c>
      <c r="H279" s="19">
        <f t="shared" si="205"/>
        <v>0</v>
      </c>
      <c r="I279" s="19">
        <f>IF(AND(D279/Summary!$C$4&gt;0, D279/Summary!$C$4&lt;5),E279,0) * D279</f>
        <v>0</v>
      </c>
      <c r="J279" s="19">
        <f>IF(AND(D279/Summary!$C$4&gt;= 5, D279/Summary!$C$4&lt;10),E279,0) * D279</f>
        <v>0</v>
      </c>
      <c r="K279" s="19">
        <f>IF(AND(D279/Summary!$C$4&gt;=10, D279/Summary!$C$4&lt;25),E279,0)*D279</f>
        <v>1822.3999999999999</v>
      </c>
      <c r="L279" s="19">
        <f>IF(D279/Summary!$C$4&gt;=25,E279,0)*D279</f>
        <v>0</v>
      </c>
      <c r="M279" s="27">
        <f>IF(AND(D279/Summary!$C$4&gt;0, D279/Summary!$C$4&lt;1),E279,0)</f>
        <v>0</v>
      </c>
      <c r="N279" s="27">
        <f t="shared" si="206"/>
        <v>0</v>
      </c>
      <c r="O279" s="27">
        <f>IF(D279/Summary!$C$4=1,1,0)*E279</f>
        <v>0</v>
      </c>
      <c r="P279" s="27">
        <f t="shared" si="207"/>
        <v>0</v>
      </c>
      <c r="Q279" s="27">
        <f>IF(AND(D279/Summary!$C$4&gt;1, D279/Summary!$C$4&lt;=2),1,0)*E279</f>
        <v>0</v>
      </c>
      <c r="R279" s="27">
        <f t="shared" si="208"/>
        <v>0</v>
      </c>
      <c r="S279" s="27">
        <f>IF(AND(D279/Summary!$C$4&gt;2,D279/Summary!$C$4&lt;=5),1,0)*E279</f>
        <v>0</v>
      </c>
      <c r="T279" s="27">
        <f t="shared" si="209"/>
        <v>0</v>
      </c>
      <c r="U279" s="27">
        <f>IF(AND(D279/Summary!$C$4&gt;5, D279/Summary!$C$4&lt;=10),1,0)*E279</f>
        <v>0</v>
      </c>
      <c r="V279" s="27">
        <f t="shared" si="210"/>
        <v>0</v>
      </c>
      <c r="W279" s="27">
        <f>IF(AND(D279/Summary!$C$4&gt;10, D279/Summary!$C$4&lt;=20),1,0)*E279</f>
        <v>136</v>
      </c>
      <c r="X279" s="27">
        <f t="shared" si="211"/>
        <v>1822.3999999999999</v>
      </c>
      <c r="Y279" s="27">
        <f>IF(AND(D279/Summary!$C$4&gt;20, D279/Summary!$C$4&lt;=30),1,0)*E279</f>
        <v>0</v>
      </c>
      <c r="Z279" s="27">
        <f t="shared" si="212"/>
        <v>0</v>
      </c>
      <c r="AA279" s="27">
        <f>IF(AND(D279/Summary!$C$4&gt;30, D279/Summary!$C$4&lt;=50),1,0)*E279</f>
        <v>0</v>
      </c>
      <c r="AB279" s="27">
        <f t="shared" si="213"/>
        <v>0</v>
      </c>
      <c r="AC279" s="27">
        <f>IF(AND(D279/Summary!$C$4&gt;50, D279/Summary!$C$4&lt;=100),1,0)*E279</f>
        <v>0</v>
      </c>
      <c r="AD279" s="27">
        <f t="shared" si="214"/>
        <v>0</v>
      </c>
      <c r="AE279" s="27">
        <f>IF(D279/Summary!$C$4&gt;100,1,0)*E279</f>
        <v>0</v>
      </c>
      <c r="AF279" s="27">
        <f t="shared" si="215"/>
        <v>0</v>
      </c>
      <c r="AG279" s="19">
        <f t="shared" si="216"/>
        <v>136</v>
      </c>
      <c r="AH279" s="19">
        <f t="shared" si="217"/>
        <v>0</v>
      </c>
      <c r="AI279" s="19">
        <f t="shared" si="218"/>
        <v>0</v>
      </c>
      <c r="AJ279" s="27">
        <f t="shared" si="219"/>
        <v>1</v>
      </c>
      <c r="AK279" s="27">
        <f t="shared" si="220"/>
        <v>136</v>
      </c>
      <c r="AL279" s="27">
        <f t="shared" si="221"/>
        <v>1822.3999999999999</v>
      </c>
      <c r="AM279">
        <f t="shared" si="222"/>
        <v>0</v>
      </c>
      <c r="AN279">
        <f t="shared" si="223"/>
        <v>0</v>
      </c>
      <c r="AO279">
        <f t="shared" si="224"/>
        <v>0</v>
      </c>
      <c r="AP279">
        <f t="shared" si="225"/>
        <v>0</v>
      </c>
      <c r="AQ279">
        <f t="shared" si="226"/>
        <v>0</v>
      </c>
      <c r="AR279">
        <f t="shared" si="227"/>
        <v>0</v>
      </c>
      <c r="AS279">
        <f t="shared" si="228"/>
        <v>0</v>
      </c>
      <c r="AT279">
        <f t="shared" si="229"/>
        <v>0</v>
      </c>
      <c r="AU279">
        <f t="shared" si="230"/>
        <v>0</v>
      </c>
      <c r="AV279">
        <f t="shared" si="231"/>
        <v>136</v>
      </c>
      <c r="AW279">
        <f t="shared" si="232"/>
        <v>1822.3999999999999</v>
      </c>
      <c r="AX279">
        <f t="shared" si="233"/>
        <v>0</v>
      </c>
      <c r="AY279">
        <f t="shared" si="234"/>
        <v>0</v>
      </c>
      <c r="AZ279">
        <f t="shared" si="235"/>
        <v>0</v>
      </c>
      <c r="BA279">
        <f t="shared" si="236"/>
        <v>0</v>
      </c>
      <c r="BB279">
        <f t="shared" si="237"/>
        <v>0</v>
      </c>
      <c r="BC279">
        <f t="shared" si="238"/>
        <v>0</v>
      </c>
      <c r="BD279">
        <f t="shared" si="239"/>
        <v>0</v>
      </c>
      <c r="BE279">
        <f t="shared" si="240"/>
        <v>0</v>
      </c>
      <c r="BF279">
        <f t="shared" si="241"/>
        <v>0</v>
      </c>
      <c r="BG279">
        <f t="shared" si="242"/>
        <v>0</v>
      </c>
      <c r="BH279">
        <f t="shared" si="243"/>
        <v>0</v>
      </c>
      <c r="BI279">
        <f t="shared" si="244"/>
        <v>0</v>
      </c>
      <c r="BJ279">
        <f t="shared" si="245"/>
        <v>0</v>
      </c>
      <c r="BK279">
        <f t="shared" si="246"/>
        <v>0</v>
      </c>
      <c r="BL279">
        <v>0</v>
      </c>
      <c r="BM279" t="str">
        <f t="shared" si="251"/>
        <v>Big Win</v>
      </c>
      <c r="BN279" s="32" t="str">
        <f t="shared" si="252"/>
        <v>Free Plays A</v>
      </c>
      <c r="BO279">
        <f>(D279/Summary!$C$4-Summary!$C$8)^2*E279</f>
        <v>21488.666399999995</v>
      </c>
      <c r="BP279">
        <f t="shared" si="247"/>
        <v>0</v>
      </c>
      <c r="BQ279">
        <f t="shared" si="248"/>
        <v>0</v>
      </c>
      <c r="BR279">
        <f t="shared" si="249"/>
        <v>0</v>
      </c>
      <c r="BS279">
        <f t="shared" si="250"/>
        <v>0</v>
      </c>
    </row>
    <row r="280" spans="2:71">
      <c r="B280" s="16">
        <f>Tiers!B281</f>
        <v>278</v>
      </c>
      <c r="C280" s="17" t="str">
        <f>Tiers!Y281</f>
        <v>main-16|freeplayA-3|||||||| x 1</v>
      </c>
      <c r="D280" s="18">
        <f>Tiers!C281</f>
        <v>55</v>
      </c>
      <c r="E280" s="19">
        <f>Frequency!E282</f>
        <v>8</v>
      </c>
      <c r="F280" s="19">
        <f t="shared" si="204"/>
        <v>440</v>
      </c>
      <c r="G280" s="19">
        <f>IF(Tiers!D281&gt;1,'Data Analysis'!E280,0)</f>
        <v>0</v>
      </c>
      <c r="H280" s="19">
        <f t="shared" si="205"/>
        <v>0</v>
      </c>
      <c r="I280" s="19">
        <f>IF(AND(D280/Summary!$C$4&gt;0, D280/Summary!$C$4&lt;5),E280,0) * D280</f>
        <v>0</v>
      </c>
      <c r="J280" s="19">
        <f>IF(AND(D280/Summary!$C$4&gt;= 5, D280/Summary!$C$4&lt;10),E280,0) * D280</f>
        <v>0</v>
      </c>
      <c r="K280" s="19">
        <f>IF(AND(D280/Summary!$C$4&gt;=10, D280/Summary!$C$4&lt;25),E280,0)*D280</f>
        <v>0</v>
      </c>
      <c r="L280" s="19">
        <f>IF(D280/Summary!$C$4&gt;=25,E280,0)*D280</f>
        <v>440</v>
      </c>
      <c r="M280" s="27">
        <f>IF(AND(D280/Summary!$C$4&gt;0, D280/Summary!$C$4&lt;1),E280,0)</f>
        <v>0</v>
      </c>
      <c r="N280" s="27">
        <f t="shared" si="206"/>
        <v>0</v>
      </c>
      <c r="O280" s="27">
        <f>IF(D280/Summary!$C$4=1,1,0)*E280</f>
        <v>0</v>
      </c>
      <c r="P280" s="27">
        <f t="shared" si="207"/>
        <v>0</v>
      </c>
      <c r="Q280" s="27">
        <f>IF(AND(D280/Summary!$C$4&gt;1, D280/Summary!$C$4&lt;=2),1,0)*E280</f>
        <v>0</v>
      </c>
      <c r="R280" s="27">
        <f t="shared" si="208"/>
        <v>0</v>
      </c>
      <c r="S280" s="27">
        <f>IF(AND(D280/Summary!$C$4&gt;2,D280/Summary!$C$4&lt;=5),1,0)*E280</f>
        <v>0</v>
      </c>
      <c r="T280" s="27">
        <f t="shared" si="209"/>
        <v>0</v>
      </c>
      <c r="U280" s="27">
        <f>IF(AND(D280/Summary!$C$4&gt;5, D280/Summary!$C$4&lt;=10),1,0)*E280</f>
        <v>0</v>
      </c>
      <c r="V280" s="27">
        <f t="shared" si="210"/>
        <v>0</v>
      </c>
      <c r="W280" s="27">
        <f>IF(AND(D280/Summary!$C$4&gt;10, D280/Summary!$C$4&lt;=20),1,0)*E280</f>
        <v>0</v>
      </c>
      <c r="X280" s="27">
        <f t="shared" si="211"/>
        <v>0</v>
      </c>
      <c r="Y280" s="27">
        <f>IF(AND(D280/Summary!$C$4&gt;20, D280/Summary!$C$4&lt;=30),1,0)*E280</f>
        <v>0</v>
      </c>
      <c r="Z280" s="27">
        <f t="shared" si="212"/>
        <v>0</v>
      </c>
      <c r="AA280" s="27">
        <f>IF(AND(D280/Summary!$C$4&gt;30, D280/Summary!$C$4&lt;=50),1,0)*E280</f>
        <v>0</v>
      </c>
      <c r="AB280" s="27">
        <f t="shared" si="213"/>
        <v>0</v>
      </c>
      <c r="AC280" s="27">
        <f>IF(AND(D280/Summary!$C$4&gt;50, D280/Summary!$C$4&lt;=100),1,0)*E280</f>
        <v>8</v>
      </c>
      <c r="AD280" s="27">
        <f t="shared" si="214"/>
        <v>440</v>
      </c>
      <c r="AE280" s="27">
        <f>IF(D280/Summary!$C$4&gt;100,1,0)*E280</f>
        <v>0</v>
      </c>
      <c r="AF280" s="27">
        <f t="shared" si="215"/>
        <v>0</v>
      </c>
      <c r="AG280" s="19">
        <f t="shared" si="216"/>
        <v>8</v>
      </c>
      <c r="AH280" s="19">
        <f t="shared" si="217"/>
        <v>0</v>
      </c>
      <c r="AI280" s="19">
        <f t="shared" si="218"/>
        <v>0</v>
      </c>
      <c r="AJ280" s="27">
        <f t="shared" si="219"/>
        <v>1</v>
      </c>
      <c r="AK280" s="27">
        <f t="shared" si="220"/>
        <v>8</v>
      </c>
      <c r="AL280" s="27">
        <f t="shared" si="221"/>
        <v>440</v>
      </c>
      <c r="AM280">
        <f t="shared" si="222"/>
        <v>0</v>
      </c>
      <c r="AN280">
        <f t="shared" si="223"/>
        <v>0</v>
      </c>
      <c r="AO280">
        <f t="shared" si="224"/>
        <v>0</v>
      </c>
      <c r="AP280">
        <f t="shared" si="225"/>
        <v>0</v>
      </c>
      <c r="AQ280">
        <f t="shared" si="226"/>
        <v>0</v>
      </c>
      <c r="AR280">
        <f t="shared" si="227"/>
        <v>0</v>
      </c>
      <c r="AS280">
        <f t="shared" si="228"/>
        <v>0</v>
      </c>
      <c r="AT280">
        <f t="shared" si="229"/>
        <v>0</v>
      </c>
      <c r="AU280">
        <f t="shared" si="230"/>
        <v>0</v>
      </c>
      <c r="AV280">
        <f t="shared" si="231"/>
        <v>8</v>
      </c>
      <c r="AW280">
        <f t="shared" si="232"/>
        <v>440</v>
      </c>
      <c r="AX280">
        <f t="shared" si="233"/>
        <v>0</v>
      </c>
      <c r="AY280">
        <f t="shared" si="234"/>
        <v>0</v>
      </c>
      <c r="AZ280">
        <f t="shared" si="235"/>
        <v>0</v>
      </c>
      <c r="BA280">
        <f t="shared" si="236"/>
        <v>0</v>
      </c>
      <c r="BB280">
        <f t="shared" si="237"/>
        <v>0</v>
      </c>
      <c r="BC280">
        <f t="shared" si="238"/>
        <v>0</v>
      </c>
      <c r="BD280">
        <f t="shared" si="239"/>
        <v>0</v>
      </c>
      <c r="BE280">
        <f t="shared" si="240"/>
        <v>0</v>
      </c>
      <c r="BF280">
        <f t="shared" si="241"/>
        <v>0</v>
      </c>
      <c r="BG280">
        <f t="shared" si="242"/>
        <v>0</v>
      </c>
      <c r="BH280">
        <f t="shared" si="243"/>
        <v>0</v>
      </c>
      <c r="BI280">
        <f t="shared" si="244"/>
        <v>0</v>
      </c>
      <c r="BJ280">
        <f t="shared" si="245"/>
        <v>0</v>
      </c>
      <c r="BK280">
        <f t="shared" si="246"/>
        <v>0</v>
      </c>
      <c r="BL280">
        <v>0</v>
      </c>
      <c r="BM280" t="str">
        <f t="shared" si="251"/>
        <v>Huge Win</v>
      </c>
      <c r="BN280" s="32" t="str">
        <f t="shared" si="252"/>
        <v>Free Plays A</v>
      </c>
      <c r="BO280">
        <f>(D280/Summary!$C$4-Summary!$C$8)^2*E280</f>
        <v>23475.111200000003</v>
      </c>
      <c r="BP280">
        <f t="shared" si="247"/>
        <v>0</v>
      </c>
      <c r="BQ280">
        <f t="shared" si="248"/>
        <v>0</v>
      </c>
      <c r="BR280">
        <f t="shared" si="249"/>
        <v>0</v>
      </c>
      <c r="BS280">
        <f t="shared" si="250"/>
        <v>0</v>
      </c>
    </row>
    <row r="281" spans="2:71">
      <c r="B281" s="16">
        <f>Tiers!B282</f>
        <v>279</v>
      </c>
      <c r="C281" s="17" t="str">
        <f>Tiers!Y282</f>
        <v>main-25|freeplayA-4|||||||| x 1</v>
      </c>
      <c r="D281" s="18">
        <f>Tiers!C282</f>
        <v>38.6</v>
      </c>
      <c r="E281" s="19">
        <f>Frequency!E283</f>
        <v>50</v>
      </c>
      <c r="F281" s="19">
        <f t="shared" si="204"/>
        <v>1930</v>
      </c>
      <c r="G281" s="19">
        <f>IF(Tiers!D282&gt;1,'Data Analysis'!E281,0)</f>
        <v>0</v>
      </c>
      <c r="H281" s="19">
        <f t="shared" si="205"/>
        <v>0</v>
      </c>
      <c r="I281" s="19">
        <f>IF(AND(D281/Summary!$C$4&gt;0, D281/Summary!$C$4&lt;5),E281,0) * D281</f>
        <v>0</v>
      </c>
      <c r="J281" s="19">
        <f>IF(AND(D281/Summary!$C$4&gt;= 5, D281/Summary!$C$4&lt;10),E281,0) * D281</f>
        <v>0</v>
      </c>
      <c r="K281" s="19">
        <f>IF(AND(D281/Summary!$C$4&gt;=10, D281/Summary!$C$4&lt;25),E281,0)*D281</f>
        <v>0</v>
      </c>
      <c r="L281" s="19">
        <f>IF(D281/Summary!$C$4&gt;=25,E281,0)*D281</f>
        <v>1930</v>
      </c>
      <c r="M281" s="27">
        <f>IF(AND(D281/Summary!$C$4&gt;0, D281/Summary!$C$4&lt;1),E281,0)</f>
        <v>0</v>
      </c>
      <c r="N281" s="27">
        <f t="shared" si="206"/>
        <v>0</v>
      </c>
      <c r="O281" s="27">
        <f>IF(D281/Summary!$C$4=1,1,0)*E281</f>
        <v>0</v>
      </c>
      <c r="P281" s="27">
        <f t="shared" si="207"/>
        <v>0</v>
      </c>
      <c r="Q281" s="27">
        <f>IF(AND(D281/Summary!$C$4&gt;1, D281/Summary!$C$4&lt;=2),1,0)*E281</f>
        <v>0</v>
      </c>
      <c r="R281" s="27">
        <f t="shared" si="208"/>
        <v>0</v>
      </c>
      <c r="S281" s="27">
        <f>IF(AND(D281/Summary!$C$4&gt;2,D281/Summary!$C$4&lt;=5),1,0)*E281</f>
        <v>0</v>
      </c>
      <c r="T281" s="27">
        <f t="shared" si="209"/>
        <v>0</v>
      </c>
      <c r="U281" s="27">
        <f>IF(AND(D281/Summary!$C$4&gt;5, D281/Summary!$C$4&lt;=10),1,0)*E281</f>
        <v>0</v>
      </c>
      <c r="V281" s="27">
        <f t="shared" si="210"/>
        <v>0</v>
      </c>
      <c r="W281" s="27">
        <f>IF(AND(D281/Summary!$C$4&gt;10, D281/Summary!$C$4&lt;=20),1,0)*E281</f>
        <v>0</v>
      </c>
      <c r="X281" s="27">
        <f t="shared" si="211"/>
        <v>0</v>
      </c>
      <c r="Y281" s="27">
        <f>IF(AND(D281/Summary!$C$4&gt;20, D281/Summary!$C$4&lt;=30),1,0)*E281</f>
        <v>0</v>
      </c>
      <c r="Z281" s="27">
        <f t="shared" si="212"/>
        <v>0</v>
      </c>
      <c r="AA281" s="27">
        <f>IF(AND(D281/Summary!$C$4&gt;30, D281/Summary!$C$4&lt;=50),1,0)*E281</f>
        <v>50</v>
      </c>
      <c r="AB281" s="27">
        <f t="shared" si="213"/>
        <v>1930</v>
      </c>
      <c r="AC281" s="27">
        <f>IF(AND(D281/Summary!$C$4&gt;50, D281/Summary!$C$4&lt;=100),1,0)*E281</f>
        <v>0</v>
      </c>
      <c r="AD281" s="27">
        <f t="shared" si="214"/>
        <v>0</v>
      </c>
      <c r="AE281" s="27">
        <f>IF(D281/Summary!$C$4&gt;100,1,0)*E281</f>
        <v>0</v>
      </c>
      <c r="AF281" s="27">
        <f t="shared" si="215"/>
        <v>0</v>
      </c>
      <c r="AG281" s="19">
        <f t="shared" si="216"/>
        <v>50</v>
      </c>
      <c r="AH281" s="19">
        <f t="shared" si="217"/>
        <v>0</v>
      </c>
      <c r="AI281" s="19">
        <f t="shared" si="218"/>
        <v>0</v>
      </c>
      <c r="AJ281" s="27">
        <f t="shared" si="219"/>
        <v>1</v>
      </c>
      <c r="AK281" s="27">
        <f t="shared" si="220"/>
        <v>50</v>
      </c>
      <c r="AL281" s="27">
        <f t="shared" si="221"/>
        <v>1930</v>
      </c>
      <c r="AM281">
        <f t="shared" si="222"/>
        <v>0</v>
      </c>
      <c r="AN281">
        <f t="shared" si="223"/>
        <v>0</v>
      </c>
      <c r="AO281">
        <f t="shared" si="224"/>
        <v>0</v>
      </c>
      <c r="AP281">
        <f t="shared" si="225"/>
        <v>0</v>
      </c>
      <c r="AQ281">
        <f t="shared" si="226"/>
        <v>0</v>
      </c>
      <c r="AR281">
        <f t="shared" si="227"/>
        <v>0</v>
      </c>
      <c r="AS281">
        <f t="shared" si="228"/>
        <v>0</v>
      </c>
      <c r="AT281">
        <f t="shared" si="229"/>
        <v>0</v>
      </c>
      <c r="AU281">
        <f t="shared" si="230"/>
        <v>0</v>
      </c>
      <c r="AV281">
        <f t="shared" si="231"/>
        <v>50</v>
      </c>
      <c r="AW281">
        <f t="shared" si="232"/>
        <v>1930</v>
      </c>
      <c r="AX281">
        <f t="shared" si="233"/>
        <v>0</v>
      </c>
      <c r="AY281">
        <f t="shared" si="234"/>
        <v>0</v>
      </c>
      <c r="AZ281">
        <f t="shared" si="235"/>
        <v>0</v>
      </c>
      <c r="BA281">
        <f t="shared" si="236"/>
        <v>0</v>
      </c>
      <c r="BB281">
        <f t="shared" si="237"/>
        <v>0</v>
      </c>
      <c r="BC281">
        <f t="shared" si="238"/>
        <v>0</v>
      </c>
      <c r="BD281">
        <f t="shared" si="239"/>
        <v>0</v>
      </c>
      <c r="BE281">
        <f t="shared" si="240"/>
        <v>0</v>
      </c>
      <c r="BF281">
        <f t="shared" si="241"/>
        <v>0</v>
      </c>
      <c r="BG281">
        <f t="shared" si="242"/>
        <v>0</v>
      </c>
      <c r="BH281">
        <f t="shared" si="243"/>
        <v>0</v>
      </c>
      <c r="BI281">
        <f t="shared" si="244"/>
        <v>0</v>
      </c>
      <c r="BJ281">
        <f t="shared" si="245"/>
        <v>0</v>
      </c>
      <c r="BK281">
        <f t="shared" si="246"/>
        <v>0</v>
      </c>
      <c r="BL281">
        <v>0</v>
      </c>
      <c r="BM281" t="str">
        <f t="shared" si="251"/>
        <v>Big Win</v>
      </c>
      <c r="BN281" s="32" t="str">
        <f t="shared" si="252"/>
        <v>Free Plays A</v>
      </c>
      <c r="BO281">
        <f>(D281/Summary!$C$4-Summary!$C$8)^2*E281</f>
        <v>71328.645000000019</v>
      </c>
      <c r="BP281">
        <f t="shared" si="247"/>
        <v>0</v>
      </c>
      <c r="BQ281">
        <f t="shared" si="248"/>
        <v>0</v>
      </c>
      <c r="BR281">
        <f t="shared" si="249"/>
        <v>0</v>
      </c>
      <c r="BS281">
        <f t="shared" si="250"/>
        <v>0</v>
      </c>
    </row>
    <row r="282" spans="2:71">
      <c r="B282" s="16">
        <f>Tiers!B283</f>
        <v>280</v>
      </c>
      <c r="C282" s="17" t="str">
        <f>Tiers!Y283</f>
        <v>main-15|freeplayA-0|||||||| x 1</v>
      </c>
      <c r="D282" s="18">
        <f>Tiers!C283</f>
        <v>31.3</v>
      </c>
      <c r="E282" s="19">
        <f>Frequency!E284</f>
        <v>50</v>
      </c>
      <c r="F282" s="19">
        <f t="shared" si="204"/>
        <v>1565</v>
      </c>
      <c r="G282" s="19">
        <f>IF(Tiers!D283&gt;1,'Data Analysis'!E282,0)</f>
        <v>0</v>
      </c>
      <c r="H282" s="19">
        <f t="shared" si="205"/>
        <v>0</v>
      </c>
      <c r="I282" s="19">
        <f>IF(AND(D282/Summary!$C$4&gt;0, D282/Summary!$C$4&lt;5),E282,0) * D282</f>
        <v>0</v>
      </c>
      <c r="J282" s="19">
        <f>IF(AND(D282/Summary!$C$4&gt;= 5, D282/Summary!$C$4&lt;10),E282,0) * D282</f>
        <v>0</v>
      </c>
      <c r="K282" s="19">
        <f>IF(AND(D282/Summary!$C$4&gt;=10, D282/Summary!$C$4&lt;25),E282,0)*D282</f>
        <v>0</v>
      </c>
      <c r="L282" s="19">
        <f>IF(D282/Summary!$C$4&gt;=25,E282,0)*D282</f>
        <v>1565</v>
      </c>
      <c r="M282" s="27">
        <f>IF(AND(D282/Summary!$C$4&gt;0, D282/Summary!$C$4&lt;1),E282,0)</f>
        <v>0</v>
      </c>
      <c r="N282" s="27">
        <f t="shared" si="206"/>
        <v>0</v>
      </c>
      <c r="O282" s="27">
        <f>IF(D282/Summary!$C$4=1,1,0)*E282</f>
        <v>0</v>
      </c>
      <c r="P282" s="27">
        <f t="shared" si="207"/>
        <v>0</v>
      </c>
      <c r="Q282" s="27">
        <f>IF(AND(D282/Summary!$C$4&gt;1, D282/Summary!$C$4&lt;=2),1,0)*E282</f>
        <v>0</v>
      </c>
      <c r="R282" s="27">
        <f t="shared" si="208"/>
        <v>0</v>
      </c>
      <c r="S282" s="27">
        <f>IF(AND(D282/Summary!$C$4&gt;2,D282/Summary!$C$4&lt;=5),1,0)*E282</f>
        <v>0</v>
      </c>
      <c r="T282" s="27">
        <f t="shared" si="209"/>
        <v>0</v>
      </c>
      <c r="U282" s="27">
        <f>IF(AND(D282/Summary!$C$4&gt;5, D282/Summary!$C$4&lt;=10),1,0)*E282</f>
        <v>0</v>
      </c>
      <c r="V282" s="27">
        <f t="shared" si="210"/>
        <v>0</v>
      </c>
      <c r="W282" s="27">
        <f>IF(AND(D282/Summary!$C$4&gt;10, D282/Summary!$C$4&lt;=20),1,0)*E282</f>
        <v>0</v>
      </c>
      <c r="X282" s="27">
        <f t="shared" si="211"/>
        <v>0</v>
      </c>
      <c r="Y282" s="27">
        <f>IF(AND(D282/Summary!$C$4&gt;20, D282/Summary!$C$4&lt;=30),1,0)*E282</f>
        <v>0</v>
      </c>
      <c r="Z282" s="27">
        <f t="shared" si="212"/>
        <v>0</v>
      </c>
      <c r="AA282" s="27">
        <f>IF(AND(D282/Summary!$C$4&gt;30, D282/Summary!$C$4&lt;=50),1,0)*E282</f>
        <v>50</v>
      </c>
      <c r="AB282" s="27">
        <f t="shared" si="213"/>
        <v>1565</v>
      </c>
      <c r="AC282" s="27">
        <f>IF(AND(D282/Summary!$C$4&gt;50, D282/Summary!$C$4&lt;=100),1,0)*E282</f>
        <v>0</v>
      </c>
      <c r="AD282" s="27">
        <f t="shared" si="214"/>
        <v>0</v>
      </c>
      <c r="AE282" s="27">
        <f>IF(D282/Summary!$C$4&gt;100,1,0)*E282</f>
        <v>0</v>
      </c>
      <c r="AF282" s="27">
        <f t="shared" si="215"/>
        <v>0</v>
      </c>
      <c r="AG282" s="19">
        <f t="shared" si="216"/>
        <v>50</v>
      </c>
      <c r="AH282" s="19">
        <f t="shared" si="217"/>
        <v>0</v>
      </c>
      <c r="AI282" s="19">
        <f t="shared" si="218"/>
        <v>0</v>
      </c>
      <c r="AJ282" s="27">
        <f t="shared" si="219"/>
        <v>1</v>
      </c>
      <c r="AK282" s="27">
        <f t="shared" si="220"/>
        <v>50</v>
      </c>
      <c r="AL282" s="27">
        <f t="shared" si="221"/>
        <v>1565</v>
      </c>
      <c r="AM282">
        <f t="shared" si="222"/>
        <v>0</v>
      </c>
      <c r="AN282">
        <f t="shared" si="223"/>
        <v>0</v>
      </c>
      <c r="AO282">
        <f t="shared" si="224"/>
        <v>0</v>
      </c>
      <c r="AP282">
        <f t="shared" si="225"/>
        <v>0</v>
      </c>
      <c r="AQ282">
        <f t="shared" si="226"/>
        <v>0</v>
      </c>
      <c r="AR282">
        <f t="shared" si="227"/>
        <v>0</v>
      </c>
      <c r="AS282">
        <f t="shared" si="228"/>
        <v>0</v>
      </c>
      <c r="AT282">
        <f t="shared" si="229"/>
        <v>0</v>
      </c>
      <c r="AU282">
        <f t="shared" si="230"/>
        <v>0</v>
      </c>
      <c r="AV282">
        <f t="shared" si="231"/>
        <v>50</v>
      </c>
      <c r="AW282">
        <f t="shared" si="232"/>
        <v>1565</v>
      </c>
      <c r="AX282">
        <f t="shared" si="233"/>
        <v>0</v>
      </c>
      <c r="AY282">
        <f t="shared" si="234"/>
        <v>0</v>
      </c>
      <c r="AZ282">
        <f t="shared" si="235"/>
        <v>0</v>
      </c>
      <c r="BA282">
        <f t="shared" si="236"/>
        <v>0</v>
      </c>
      <c r="BB282">
        <f t="shared" si="237"/>
        <v>0</v>
      </c>
      <c r="BC282">
        <f t="shared" si="238"/>
        <v>0</v>
      </c>
      <c r="BD282">
        <f t="shared" si="239"/>
        <v>0</v>
      </c>
      <c r="BE282">
        <f t="shared" si="240"/>
        <v>0</v>
      </c>
      <c r="BF282">
        <f t="shared" si="241"/>
        <v>0</v>
      </c>
      <c r="BG282">
        <f t="shared" si="242"/>
        <v>0</v>
      </c>
      <c r="BH282">
        <f t="shared" si="243"/>
        <v>0</v>
      </c>
      <c r="BI282">
        <f t="shared" si="244"/>
        <v>0</v>
      </c>
      <c r="BJ282">
        <f t="shared" si="245"/>
        <v>0</v>
      </c>
      <c r="BK282">
        <f t="shared" si="246"/>
        <v>0</v>
      </c>
      <c r="BL282">
        <v>0</v>
      </c>
      <c r="BM282" t="str">
        <f t="shared" si="251"/>
        <v>Big Win</v>
      </c>
      <c r="BN282" s="32" t="str">
        <f t="shared" si="252"/>
        <v>Free Plays A</v>
      </c>
      <c r="BO282">
        <f>(D282/Summary!$C$4-Summary!$C$8)^2*E282</f>
        <v>46421.045000000013</v>
      </c>
      <c r="BP282">
        <f t="shared" si="247"/>
        <v>0</v>
      </c>
      <c r="BQ282">
        <f t="shared" si="248"/>
        <v>0</v>
      </c>
      <c r="BR282">
        <f t="shared" si="249"/>
        <v>0</v>
      </c>
      <c r="BS282">
        <f t="shared" si="250"/>
        <v>0</v>
      </c>
    </row>
    <row r="283" spans="2:71">
      <c r="B283" s="16">
        <f>Tiers!B284</f>
        <v>281</v>
      </c>
      <c r="C283" s="17" t="str">
        <f>Tiers!Y284</f>
        <v>main-0|main-2|freeplayA-4||||||| x 1</v>
      </c>
      <c r="D283" s="18">
        <f>Tiers!C284</f>
        <v>19.200000000000003</v>
      </c>
      <c r="E283" s="19">
        <f>Frequency!E285</f>
        <v>50</v>
      </c>
      <c r="F283" s="19">
        <f t="shared" si="204"/>
        <v>960.00000000000011</v>
      </c>
      <c r="G283" s="19">
        <f>IF(Tiers!D284&gt;1,'Data Analysis'!E283,0)</f>
        <v>0</v>
      </c>
      <c r="H283" s="19">
        <f t="shared" si="205"/>
        <v>0</v>
      </c>
      <c r="I283" s="19">
        <f>IF(AND(D283/Summary!$C$4&gt;0, D283/Summary!$C$4&lt;5),E283,0) * D283</f>
        <v>0</v>
      </c>
      <c r="J283" s="19">
        <f>IF(AND(D283/Summary!$C$4&gt;= 5, D283/Summary!$C$4&lt;10),E283,0) * D283</f>
        <v>0</v>
      </c>
      <c r="K283" s="19">
        <f>IF(AND(D283/Summary!$C$4&gt;=10, D283/Summary!$C$4&lt;25),E283,0)*D283</f>
        <v>960.00000000000011</v>
      </c>
      <c r="L283" s="19">
        <f>IF(D283/Summary!$C$4&gt;=25,E283,0)*D283</f>
        <v>0</v>
      </c>
      <c r="M283" s="27">
        <f>IF(AND(D283/Summary!$C$4&gt;0, D283/Summary!$C$4&lt;1),E283,0)</f>
        <v>0</v>
      </c>
      <c r="N283" s="27">
        <f t="shared" si="206"/>
        <v>0</v>
      </c>
      <c r="O283" s="27">
        <f>IF(D283/Summary!$C$4=1,1,0)*E283</f>
        <v>0</v>
      </c>
      <c r="P283" s="27">
        <f t="shared" si="207"/>
        <v>0</v>
      </c>
      <c r="Q283" s="27">
        <f>IF(AND(D283/Summary!$C$4&gt;1, D283/Summary!$C$4&lt;=2),1,0)*E283</f>
        <v>0</v>
      </c>
      <c r="R283" s="27">
        <f t="shared" si="208"/>
        <v>0</v>
      </c>
      <c r="S283" s="27">
        <f>IF(AND(D283/Summary!$C$4&gt;2,D283/Summary!$C$4&lt;=5),1,0)*E283</f>
        <v>0</v>
      </c>
      <c r="T283" s="27">
        <f t="shared" si="209"/>
        <v>0</v>
      </c>
      <c r="U283" s="27">
        <f>IF(AND(D283/Summary!$C$4&gt;5, D283/Summary!$C$4&lt;=10),1,0)*E283</f>
        <v>0</v>
      </c>
      <c r="V283" s="27">
        <f t="shared" si="210"/>
        <v>0</v>
      </c>
      <c r="W283" s="27">
        <f>IF(AND(D283/Summary!$C$4&gt;10, D283/Summary!$C$4&lt;=20),1,0)*E283</f>
        <v>50</v>
      </c>
      <c r="X283" s="27">
        <f t="shared" si="211"/>
        <v>960.00000000000011</v>
      </c>
      <c r="Y283" s="27">
        <f>IF(AND(D283/Summary!$C$4&gt;20, D283/Summary!$C$4&lt;=30),1,0)*E283</f>
        <v>0</v>
      </c>
      <c r="Z283" s="27">
        <f t="shared" si="212"/>
        <v>0</v>
      </c>
      <c r="AA283" s="27">
        <f>IF(AND(D283/Summary!$C$4&gt;30, D283/Summary!$C$4&lt;=50),1,0)*E283</f>
        <v>0</v>
      </c>
      <c r="AB283" s="27">
        <f t="shared" si="213"/>
        <v>0</v>
      </c>
      <c r="AC283" s="27">
        <f>IF(AND(D283/Summary!$C$4&gt;50, D283/Summary!$C$4&lt;=100),1,0)*E283</f>
        <v>0</v>
      </c>
      <c r="AD283" s="27">
        <f t="shared" si="214"/>
        <v>0</v>
      </c>
      <c r="AE283" s="27">
        <f>IF(D283/Summary!$C$4&gt;100,1,0)*E283</f>
        <v>0</v>
      </c>
      <c r="AF283" s="27">
        <f t="shared" si="215"/>
        <v>0</v>
      </c>
      <c r="AG283" s="19">
        <f t="shared" si="216"/>
        <v>50</v>
      </c>
      <c r="AH283" s="19">
        <f t="shared" si="217"/>
        <v>0</v>
      </c>
      <c r="AI283" s="19">
        <f t="shared" si="218"/>
        <v>0</v>
      </c>
      <c r="AJ283" s="27">
        <f t="shared" si="219"/>
        <v>1</v>
      </c>
      <c r="AK283" s="27">
        <f t="shared" si="220"/>
        <v>50</v>
      </c>
      <c r="AL283" s="27">
        <f t="shared" si="221"/>
        <v>960.00000000000011</v>
      </c>
      <c r="AM283">
        <f t="shared" si="222"/>
        <v>0</v>
      </c>
      <c r="AN283">
        <f t="shared" si="223"/>
        <v>0</v>
      </c>
      <c r="AO283">
        <f t="shared" si="224"/>
        <v>0</v>
      </c>
      <c r="AP283">
        <f t="shared" si="225"/>
        <v>0</v>
      </c>
      <c r="AQ283">
        <f t="shared" si="226"/>
        <v>0</v>
      </c>
      <c r="AR283">
        <f t="shared" si="227"/>
        <v>0</v>
      </c>
      <c r="AS283">
        <f t="shared" si="228"/>
        <v>0</v>
      </c>
      <c r="AT283">
        <f t="shared" si="229"/>
        <v>0</v>
      </c>
      <c r="AU283">
        <f t="shared" si="230"/>
        <v>0</v>
      </c>
      <c r="AV283">
        <f t="shared" si="231"/>
        <v>50</v>
      </c>
      <c r="AW283">
        <f t="shared" si="232"/>
        <v>960.00000000000011</v>
      </c>
      <c r="AX283">
        <f t="shared" si="233"/>
        <v>0</v>
      </c>
      <c r="AY283">
        <f t="shared" si="234"/>
        <v>0</v>
      </c>
      <c r="AZ283">
        <f t="shared" si="235"/>
        <v>0</v>
      </c>
      <c r="BA283">
        <f t="shared" si="236"/>
        <v>0</v>
      </c>
      <c r="BB283">
        <f t="shared" si="237"/>
        <v>0</v>
      </c>
      <c r="BC283">
        <f t="shared" si="238"/>
        <v>0</v>
      </c>
      <c r="BD283">
        <f t="shared" si="239"/>
        <v>0</v>
      </c>
      <c r="BE283">
        <f t="shared" si="240"/>
        <v>0</v>
      </c>
      <c r="BF283">
        <f t="shared" si="241"/>
        <v>0</v>
      </c>
      <c r="BG283">
        <f t="shared" si="242"/>
        <v>0</v>
      </c>
      <c r="BH283">
        <f t="shared" si="243"/>
        <v>0</v>
      </c>
      <c r="BI283">
        <f t="shared" si="244"/>
        <v>0</v>
      </c>
      <c r="BJ283">
        <f t="shared" si="245"/>
        <v>0</v>
      </c>
      <c r="BK283">
        <f t="shared" si="246"/>
        <v>0</v>
      </c>
      <c r="BL283">
        <v>0</v>
      </c>
      <c r="BM283" t="str">
        <f t="shared" si="251"/>
        <v>Big Win</v>
      </c>
      <c r="BN283" s="32" t="str">
        <f t="shared" si="252"/>
        <v>Free Plays A</v>
      </c>
      <c r="BO283">
        <f>(D283/Summary!$C$4-Summary!$C$8)^2*E283</f>
        <v>16872.845000000008</v>
      </c>
      <c r="BP283">
        <f t="shared" si="247"/>
        <v>0</v>
      </c>
      <c r="BQ283">
        <f t="shared" si="248"/>
        <v>0</v>
      </c>
      <c r="BR283">
        <f t="shared" si="249"/>
        <v>0</v>
      </c>
      <c r="BS283">
        <f t="shared" si="250"/>
        <v>0</v>
      </c>
    </row>
    <row r="284" spans="2:71">
      <c r="B284" s="16">
        <f>Tiers!B285</f>
        <v>282</v>
      </c>
      <c r="C284" s="17" t="str">
        <f>Tiers!Y285</f>
        <v>main-11|main-2|freeplayA-5||||||| x 1</v>
      </c>
      <c r="D284" s="18">
        <f>Tiers!C285</f>
        <v>27.299999999999997</v>
      </c>
      <c r="E284" s="19">
        <f>Frequency!E286</f>
        <v>50</v>
      </c>
      <c r="F284" s="19">
        <f t="shared" si="204"/>
        <v>1364.9999999999998</v>
      </c>
      <c r="G284" s="19">
        <f>IF(Tiers!D285&gt;1,'Data Analysis'!E284,0)</f>
        <v>0</v>
      </c>
      <c r="H284" s="19">
        <f t="shared" si="205"/>
        <v>0</v>
      </c>
      <c r="I284" s="19">
        <f>IF(AND(D284/Summary!$C$4&gt;0, D284/Summary!$C$4&lt;5),E284,0) * D284</f>
        <v>0</v>
      </c>
      <c r="J284" s="19">
        <f>IF(AND(D284/Summary!$C$4&gt;= 5, D284/Summary!$C$4&lt;10),E284,0) * D284</f>
        <v>0</v>
      </c>
      <c r="K284" s="19">
        <f>IF(AND(D284/Summary!$C$4&gt;=10, D284/Summary!$C$4&lt;25),E284,0)*D284</f>
        <v>0</v>
      </c>
      <c r="L284" s="19">
        <f>IF(D284/Summary!$C$4&gt;=25,E284,0)*D284</f>
        <v>1364.9999999999998</v>
      </c>
      <c r="M284" s="27">
        <f>IF(AND(D284/Summary!$C$4&gt;0, D284/Summary!$C$4&lt;1),E284,0)</f>
        <v>0</v>
      </c>
      <c r="N284" s="27">
        <f t="shared" si="206"/>
        <v>0</v>
      </c>
      <c r="O284" s="27">
        <f>IF(D284/Summary!$C$4=1,1,0)*E284</f>
        <v>0</v>
      </c>
      <c r="P284" s="27">
        <f t="shared" si="207"/>
        <v>0</v>
      </c>
      <c r="Q284" s="27">
        <f>IF(AND(D284/Summary!$C$4&gt;1, D284/Summary!$C$4&lt;=2),1,0)*E284</f>
        <v>0</v>
      </c>
      <c r="R284" s="27">
        <f t="shared" si="208"/>
        <v>0</v>
      </c>
      <c r="S284" s="27">
        <f>IF(AND(D284/Summary!$C$4&gt;2,D284/Summary!$C$4&lt;=5),1,0)*E284</f>
        <v>0</v>
      </c>
      <c r="T284" s="27">
        <f t="shared" si="209"/>
        <v>0</v>
      </c>
      <c r="U284" s="27">
        <f>IF(AND(D284/Summary!$C$4&gt;5, D284/Summary!$C$4&lt;=10),1,0)*E284</f>
        <v>0</v>
      </c>
      <c r="V284" s="27">
        <f t="shared" si="210"/>
        <v>0</v>
      </c>
      <c r="W284" s="27">
        <f>IF(AND(D284/Summary!$C$4&gt;10, D284/Summary!$C$4&lt;=20),1,0)*E284</f>
        <v>0</v>
      </c>
      <c r="X284" s="27">
        <f t="shared" si="211"/>
        <v>0</v>
      </c>
      <c r="Y284" s="27">
        <f>IF(AND(D284/Summary!$C$4&gt;20, D284/Summary!$C$4&lt;=30),1,0)*E284</f>
        <v>50</v>
      </c>
      <c r="Z284" s="27">
        <f t="shared" si="212"/>
        <v>1364.9999999999998</v>
      </c>
      <c r="AA284" s="27">
        <f>IF(AND(D284/Summary!$C$4&gt;30, D284/Summary!$C$4&lt;=50),1,0)*E284</f>
        <v>0</v>
      </c>
      <c r="AB284" s="27">
        <f t="shared" si="213"/>
        <v>0</v>
      </c>
      <c r="AC284" s="27">
        <f>IF(AND(D284/Summary!$C$4&gt;50, D284/Summary!$C$4&lt;=100),1,0)*E284</f>
        <v>0</v>
      </c>
      <c r="AD284" s="27">
        <f t="shared" si="214"/>
        <v>0</v>
      </c>
      <c r="AE284" s="27">
        <f>IF(D284/Summary!$C$4&gt;100,1,0)*E284</f>
        <v>0</v>
      </c>
      <c r="AF284" s="27">
        <f t="shared" si="215"/>
        <v>0</v>
      </c>
      <c r="AG284" s="19">
        <f t="shared" si="216"/>
        <v>50</v>
      </c>
      <c r="AH284" s="19">
        <f t="shared" si="217"/>
        <v>0</v>
      </c>
      <c r="AI284" s="19">
        <f t="shared" si="218"/>
        <v>0</v>
      </c>
      <c r="AJ284" s="27">
        <f t="shared" si="219"/>
        <v>1</v>
      </c>
      <c r="AK284" s="27">
        <f t="shared" si="220"/>
        <v>50</v>
      </c>
      <c r="AL284" s="27">
        <f t="shared" si="221"/>
        <v>1364.9999999999998</v>
      </c>
      <c r="AM284">
        <f t="shared" si="222"/>
        <v>0</v>
      </c>
      <c r="AN284">
        <f t="shared" si="223"/>
        <v>0</v>
      </c>
      <c r="AO284">
        <f t="shared" si="224"/>
        <v>0</v>
      </c>
      <c r="AP284">
        <f t="shared" si="225"/>
        <v>0</v>
      </c>
      <c r="AQ284">
        <f t="shared" si="226"/>
        <v>0</v>
      </c>
      <c r="AR284">
        <f t="shared" si="227"/>
        <v>0</v>
      </c>
      <c r="AS284">
        <f t="shared" si="228"/>
        <v>0</v>
      </c>
      <c r="AT284">
        <f t="shared" si="229"/>
        <v>0</v>
      </c>
      <c r="AU284">
        <f t="shared" si="230"/>
        <v>0</v>
      </c>
      <c r="AV284">
        <f t="shared" si="231"/>
        <v>50</v>
      </c>
      <c r="AW284">
        <f t="shared" si="232"/>
        <v>1364.9999999999998</v>
      </c>
      <c r="AX284">
        <f t="shared" si="233"/>
        <v>0</v>
      </c>
      <c r="AY284">
        <f t="shared" si="234"/>
        <v>0</v>
      </c>
      <c r="AZ284">
        <f t="shared" si="235"/>
        <v>0</v>
      </c>
      <c r="BA284">
        <f t="shared" si="236"/>
        <v>0</v>
      </c>
      <c r="BB284">
        <f t="shared" si="237"/>
        <v>0</v>
      </c>
      <c r="BC284">
        <f t="shared" si="238"/>
        <v>0</v>
      </c>
      <c r="BD284">
        <f t="shared" si="239"/>
        <v>0</v>
      </c>
      <c r="BE284">
        <f t="shared" si="240"/>
        <v>0</v>
      </c>
      <c r="BF284">
        <f t="shared" si="241"/>
        <v>0</v>
      </c>
      <c r="BG284">
        <f t="shared" si="242"/>
        <v>0</v>
      </c>
      <c r="BH284">
        <f t="shared" si="243"/>
        <v>0</v>
      </c>
      <c r="BI284">
        <f t="shared" si="244"/>
        <v>0</v>
      </c>
      <c r="BJ284">
        <f t="shared" si="245"/>
        <v>0</v>
      </c>
      <c r="BK284">
        <f t="shared" si="246"/>
        <v>0</v>
      </c>
      <c r="BL284">
        <v>0</v>
      </c>
      <c r="BM284" t="str">
        <f t="shared" si="251"/>
        <v>Big Win</v>
      </c>
      <c r="BN284" s="32" t="str">
        <f t="shared" si="252"/>
        <v>Free Plays A</v>
      </c>
      <c r="BO284">
        <f>(D284/Summary!$C$4-Summary!$C$8)^2*E284</f>
        <v>35033.044999999998</v>
      </c>
      <c r="BP284">
        <f t="shared" si="247"/>
        <v>0</v>
      </c>
      <c r="BQ284">
        <f t="shared" si="248"/>
        <v>0</v>
      </c>
      <c r="BR284">
        <f t="shared" si="249"/>
        <v>0</v>
      </c>
      <c r="BS284">
        <f t="shared" si="250"/>
        <v>0</v>
      </c>
    </row>
    <row r="285" spans="2:71">
      <c r="B285" s="16">
        <f>Tiers!B286</f>
        <v>283</v>
      </c>
      <c r="C285" s="17" t="str">
        <f>Tiers!Y286</f>
        <v>main-3|main-2|freeplayA-6||||||| x 1</v>
      </c>
      <c r="D285" s="18">
        <f>Tiers!C286</f>
        <v>30.5</v>
      </c>
      <c r="E285" s="19">
        <f>Frequency!E287</f>
        <v>50</v>
      </c>
      <c r="F285" s="19">
        <f t="shared" si="204"/>
        <v>1525</v>
      </c>
      <c r="G285" s="19">
        <f>IF(Tiers!D286&gt;1,'Data Analysis'!E285,0)</f>
        <v>0</v>
      </c>
      <c r="H285" s="19">
        <f t="shared" si="205"/>
        <v>0</v>
      </c>
      <c r="I285" s="19">
        <f>IF(AND(D285/Summary!$C$4&gt;0, D285/Summary!$C$4&lt;5),E285,0) * D285</f>
        <v>0</v>
      </c>
      <c r="J285" s="19">
        <f>IF(AND(D285/Summary!$C$4&gt;= 5, D285/Summary!$C$4&lt;10),E285,0) * D285</f>
        <v>0</v>
      </c>
      <c r="K285" s="19">
        <f>IF(AND(D285/Summary!$C$4&gt;=10, D285/Summary!$C$4&lt;25),E285,0)*D285</f>
        <v>0</v>
      </c>
      <c r="L285" s="19">
        <f>IF(D285/Summary!$C$4&gt;=25,E285,0)*D285</f>
        <v>1525</v>
      </c>
      <c r="M285" s="27">
        <f>IF(AND(D285/Summary!$C$4&gt;0, D285/Summary!$C$4&lt;1),E285,0)</f>
        <v>0</v>
      </c>
      <c r="N285" s="27">
        <f t="shared" si="206"/>
        <v>0</v>
      </c>
      <c r="O285" s="27">
        <f>IF(D285/Summary!$C$4=1,1,0)*E285</f>
        <v>0</v>
      </c>
      <c r="P285" s="27">
        <f t="shared" si="207"/>
        <v>0</v>
      </c>
      <c r="Q285" s="27">
        <f>IF(AND(D285/Summary!$C$4&gt;1, D285/Summary!$C$4&lt;=2),1,0)*E285</f>
        <v>0</v>
      </c>
      <c r="R285" s="27">
        <f t="shared" si="208"/>
        <v>0</v>
      </c>
      <c r="S285" s="27">
        <f>IF(AND(D285/Summary!$C$4&gt;2,D285/Summary!$C$4&lt;=5),1,0)*E285</f>
        <v>0</v>
      </c>
      <c r="T285" s="27">
        <f t="shared" si="209"/>
        <v>0</v>
      </c>
      <c r="U285" s="27">
        <f>IF(AND(D285/Summary!$C$4&gt;5, D285/Summary!$C$4&lt;=10),1,0)*E285</f>
        <v>0</v>
      </c>
      <c r="V285" s="27">
        <f t="shared" si="210"/>
        <v>0</v>
      </c>
      <c r="W285" s="27">
        <f>IF(AND(D285/Summary!$C$4&gt;10, D285/Summary!$C$4&lt;=20),1,0)*E285</f>
        <v>0</v>
      </c>
      <c r="X285" s="27">
        <f t="shared" si="211"/>
        <v>0</v>
      </c>
      <c r="Y285" s="27">
        <f>IF(AND(D285/Summary!$C$4&gt;20, D285/Summary!$C$4&lt;=30),1,0)*E285</f>
        <v>0</v>
      </c>
      <c r="Z285" s="27">
        <f t="shared" si="212"/>
        <v>0</v>
      </c>
      <c r="AA285" s="27">
        <f>IF(AND(D285/Summary!$C$4&gt;30, D285/Summary!$C$4&lt;=50),1,0)*E285</f>
        <v>50</v>
      </c>
      <c r="AB285" s="27">
        <f t="shared" si="213"/>
        <v>1525</v>
      </c>
      <c r="AC285" s="27">
        <f>IF(AND(D285/Summary!$C$4&gt;50, D285/Summary!$C$4&lt;=100),1,0)*E285</f>
        <v>0</v>
      </c>
      <c r="AD285" s="27">
        <f t="shared" si="214"/>
        <v>0</v>
      </c>
      <c r="AE285" s="27">
        <f>IF(D285/Summary!$C$4&gt;100,1,0)*E285</f>
        <v>0</v>
      </c>
      <c r="AF285" s="27">
        <f t="shared" si="215"/>
        <v>0</v>
      </c>
      <c r="AG285" s="19">
        <f t="shared" si="216"/>
        <v>50</v>
      </c>
      <c r="AH285" s="19">
        <f t="shared" si="217"/>
        <v>0</v>
      </c>
      <c r="AI285" s="19">
        <f t="shared" si="218"/>
        <v>0</v>
      </c>
      <c r="AJ285" s="27">
        <f t="shared" si="219"/>
        <v>1</v>
      </c>
      <c r="AK285" s="27">
        <f t="shared" si="220"/>
        <v>50</v>
      </c>
      <c r="AL285" s="27">
        <f t="shared" si="221"/>
        <v>1525</v>
      </c>
      <c r="AM285">
        <f t="shared" si="222"/>
        <v>0</v>
      </c>
      <c r="AN285">
        <f t="shared" si="223"/>
        <v>0</v>
      </c>
      <c r="AO285">
        <f t="shared" si="224"/>
        <v>0</v>
      </c>
      <c r="AP285">
        <f t="shared" si="225"/>
        <v>0</v>
      </c>
      <c r="AQ285">
        <f t="shared" si="226"/>
        <v>0</v>
      </c>
      <c r="AR285">
        <f t="shared" si="227"/>
        <v>0</v>
      </c>
      <c r="AS285">
        <f t="shared" si="228"/>
        <v>0</v>
      </c>
      <c r="AT285">
        <f t="shared" si="229"/>
        <v>0</v>
      </c>
      <c r="AU285">
        <f t="shared" si="230"/>
        <v>0</v>
      </c>
      <c r="AV285">
        <f t="shared" si="231"/>
        <v>50</v>
      </c>
      <c r="AW285">
        <f t="shared" si="232"/>
        <v>1525</v>
      </c>
      <c r="AX285">
        <f t="shared" si="233"/>
        <v>0</v>
      </c>
      <c r="AY285">
        <f t="shared" si="234"/>
        <v>0</v>
      </c>
      <c r="AZ285">
        <f t="shared" si="235"/>
        <v>0</v>
      </c>
      <c r="BA285">
        <f t="shared" si="236"/>
        <v>0</v>
      </c>
      <c r="BB285">
        <f t="shared" si="237"/>
        <v>0</v>
      </c>
      <c r="BC285">
        <f t="shared" si="238"/>
        <v>0</v>
      </c>
      <c r="BD285">
        <f t="shared" si="239"/>
        <v>0</v>
      </c>
      <c r="BE285">
        <f t="shared" si="240"/>
        <v>0</v>
      </c>
      <c r="BF285">
        <f t="shared" si="241"/>
        <v>0</v>
      </c>
      <c r="BG285">
        <f t="shared" si="242"/>
        <v>0</v>
      </c>
      <c r="BH285">
        <f t="shared" si="243"/>
        <v>0</v>
      </c>
      <c r="BI285">
        <f t="shared" si="244"/>
        <v>0</v>
      </c>
      <c r="BJ285">
        <f t="shared" si="245"/>
        <v>0</v>
      </c>
      <c r="BK285">
        <f t="shared" si="246"/>
        <v>0</v>
      </c>
      <c r="BL285">
        <v>0</v>
      </c>
      <c r="BM285" t="str">
        <f t="shared" si="251"/>
        <v>Big Win</v>
      </c>
      <c r="BN285" s="32" t="str">
        <f t="shared" si="252"/>
        <v>Free Plays A</v>
      </c>
      <c r="BO285">
        <f>(D285/Summary!$C$4-Summary!$C$8)^2*E285</f>
        <v>44015.445000000007</v>
      </c>
      <c r="BP285">
        <f t="shared" si="247"/>
        <v>0</v>
      </c>
      <c r="BQ285">
        <f t="shared" si="248"/>
        <v>0</v>
      </c>
      <c r="BR285">
        <f t="shared" si="249"/>
        <v>0</v>
      </c>
      <c r="BS285">
        <f t="shared" si="250"/>
        <v>0</v>
      </c>
    </row>
    <row r="286" spans="2:71">
      <c r="B286" s="16">
        <f>Tiers!B287</f>
        <v>284</v>
      </c>
      <c r="C286" s="17" t="str">
        <f>Tiers!Y287</f>
        <v>main-3|main-21|freeplayA-7||||||| x 1</v>
      </c>
      <c r="D286" s="18">
        <f>Tiers!C287</f>
        <v>44.9</v>
      </c>
      <c r="E286" s="19">
        <f>Frequency!E288</f>
        <v>10</v>
      </c>
      <c r="F286" s="19">
        <f t="shared" si="204"/>
        <v>449</v>
      </c>
      <c r="G286" s="19">
        <f>IF(Tiers!D287&gt;1,'Data Analysis'!E286,0)</f>
        <v>0</v>
      </c>
      <c r="H286" s="19">
        <f t="shared" si="205"/>
        <v>0</v>
      </c>
      <c r="I286" s="19">
        <f>IF(AND(D286/Summary!$C$4&gt;0, D286/Summary!$C$4&lt;5),E286,0) * D286</f>
        <v>0</v>
      </c>
      <c r="J286" s="19">
        <f>IF(AND(D286/Summary!$C$4&gt;= 5, D286/Summary!$C$4&lt;10),E286,0) * D286</f>
        <v>0</v>
      </c>
      <c r="K286" s="19">
        <f>IF(AND(D286/Summary!$C$4&gt;=10, D286/Summary!$C$4&lt;25),E286,0)*D286</f>
        <v>0</v>
      </c>
      <c r="L286" s="19">
        <f>IF(D286/Summary!$C$4&gt;=25,E286,0)*D286</f>
        <v>449</v>
      </c>
      <c r="M286" s="27">
        <f>IF(AND(D286/Summary!$C$4&gt;0, D286/Summary!$C$4&lt;1),E286,0)</f>
        <v>0</v>
      </c>
      <c r="N286" s="27">
        <f t="shared" si="206"/>
        <v>0</v>
      </c>
      <c r="O286" s="27">
        <f>IF(D286/Summary!$C$4=1,1,0)*E286</f>
        <v>0</v>
      </c>
      <c r="P286" s="27">
        <f t="shared" si="207"/>
        <v>0</v>
      </c>
      <c r="Q286" s="27">
        <f>IF(AND(D286/Summary!$C$4&gt;1, D286/Summary!$C$4&lt;=2),1,0)*E286</f>
        <v>0</v>
      </c>
      <c r="R286" s="27">
        <f t="shared" si="208"/>
        <v>0</v>
      </c>
      <c r="S286" s="27">
        <f>IF(AND(D286/Summary!$C$4&gt;2,D286/Summary!$C$4&lt;=5),1,0)*E286</f>
        <v>0</v>
      </c>
      <c r="T286" s="27">
        <f t="shared" si="209"/>
        <v>0</v>
      </c>
      <c r="U286" s="27">
        <f>IF(AND(D286/Summary!$C$4&gt;5, D286/Summary!$C$4&lt;=10),1,0)*E286</f>
        <v>0</v>
      </c>
      <c r="V286" s="27">
        <f t="shared" si="210"/>
        <v>0</v>
      </c>
      <c r="W286" s="27">
        <f>IF(AND(D286/Summary!$C$4&gt;10, D286/Summary!$C$4&lt;=20),1,0)*E286</f>
        <v>0</v>
      </c>
      <c r="X286" s="27">
        <f t="shared" si="211"/>
        <v>0</v>
      </c>
      <c r="Y286" s="27">
        <f>IF(AND(D286/Summary!$C$4&gt;20, D286/Summary!$C$4&lt;=30),1,0)*E286</f>
        <v>0</v>
      </c>
      <c r="Z286" s="27">
        <f t="shared" si="212"/>
        <v>0</v>
      </c>
      <c r="AA286" s="27">
        <f>IF(AND(D286/Summary!$C$4&gt;30, D286/Summary!$C$4&lt;=50),1,0)*E286</f>
        <v>10</v>
      </c>
      <c r="AB286" s="27">
        <f t="shared" si="213"/>
        <v>449</v>
      </c>
      <c r="AC286" s="27">
        <f>IF(AND(D286/Summary!$C$4&gt;50, D286/Summary!$C$4&lt;=100),1,0)*E286</f>
        <v>0</v>
      </c>
      <c r="AD286" s="27">
        <f t="shared" si="214"/>
        <v>0</v>
      </c>
      <c r="AE286" s="27">
        <f>IF(D286/Summary!$C$4&gt;100,1,0)*E286</f>
        <v>0</v>
      </c>
      <c r="AF286" s="27">
        <f t="shared" si="215"/>
        <v>0</v>
      </c>
      <c r="AG286" s="19">
        <f t="shared" si="216"/>
        <v>10</v>
      </c>
      <c r="AH286" s="19">
        <f t="shared" si="217"/>
        <v>0</v>
      </c>
      <c r="AI286" s="19">
        <f t="shared" si="218"/>
        <v>0</v>
      </c>
      <c r="AJ286" s="27">
        <f t="shared" si="219"/>
        <v>1</v>
      </c>
      <c r="AK286" s="27">
        <f t="shared" si="220"/>
        <v>10</v>
      </c>
      <c r="AL286" s="27">
        <f t="shared" si="221"/>
        <v>449</v>
      </c>
      <c r="AM286">
        <f t="shared" si="222"/>
        <v>0</v>
      </c>
      <c r="AN286">
        <f t="shared" si="223"/>
        <v>0</v>
      </c>
      <c r="AO286">
        <f t="shared" si="224"/>
        <v>0</v>
      </c>
      <c r="AP286">
        <f t="shared" si="225"/>
        <v>0</v>
      </c>
      <c r="AQ286">
        <f t="shared" si="226"/>
        <v>0</v>
      </c>
      <c r="AR286">
        <f t="shared" si="227"/>
        <v>0</v>
      </c>
      <c r="AS286">
        <f t="shared" si="228"/>
        <v>0</v>
      </c>
      <c r="AT286">
        <f t="shared" si="229"/>
        <v>0</v>
      </c>
      <c r="AU286">
        <f t="shared" si="230"/>
        <v>0</v>
      </c>
      <c r="AV286">
        <f t="shared" si="231"/>
        <v>10</v>
      </c>
      <c r="AW286">
        <f t="shared" si="232"/>
        <v>449</v>
      </c>
      <c r="AX286">
        <f t="shared" si="233"/>
        <v>0</v>
      </c>
      <c r="AY286">
        <f t="shared" si="234"/>
        <v>0</v>
      </c>
      <c r="AZ286">
        <f t="shared" si="235"/>
        <v>0</v>
      </c>
      <c r="BA286">
        <f t="shared" si="236"/>
        <v>0</v>
      </c>
      <c r="BB286">
        <f t="shared" si="237"/>
        <v>0</v>
      </c>
      <c r="BC286">
        <f t="shared" si="238"/>
        <v>0</v>
      </c>
      <c r="BD286">
        <f t="shared" si="239"/>
        <v>0</v>
      </c>
      <c r="BE286">
        <f t="shared" si="240"/>
        <v>0</v>
      </c>
      <c r="BF286">
        <f t="shared" si="241"/>
        <v>0</v>
      </c>
      <c r="BG286">
        <f t="shared" si="242"/>
        <v>0</v>
      </c>
      <c r="BH286">
        <f t="shared" si="243"/>
        <v>0</v>
      </c>
      <c r="BI286">
        <f t="shared" si="244"/>
        <v>0</v>
      </c>
      <c r="BJ286">
        <f t="shared" si="245"/>
        <v>0</v>
      </c>
      <c r="BK286">
        <f t="shared" si="246"/>
        <v>0</v>
      </c>
      <c r="BL286">
        <v>0</v>
      </c>
      <c r="BM286" t="str">
        <f t="shared" si="251"/>
        <v>Big Win</v>
      </c>
      <c r="BN286" s="32" t="str">
        <f t="shared" si="252"/>
        <v>Free Plays A</v>
      </c>
      <c r="BO286">
        <f>(D286/Summary!$C$4-Summary!$C$8)^2*E286</f>
        <v>19421.649000000001</v>
      </c>
      <c r="BP286">
        <f t="shared" si="247"/>
        <v>0</v>
      </c>
      <c r="BQ286">
        <f t="shared" si="248"/>
        <v>0</v>
      </c>
      <c r="BR286">
        <f t="shared" si="249"/>
        <v>0</v>
      </c>
      <c r="BS286">
        <f t="shared" si="250"/>
        <v>0</v>
      </c>
    </row>
    <row r="287" spans="2:71">
      <c r="B287" s="16">
        <f>Tiers!B288</f>
        <v>285</v>
      </c>
      <c r="C287" s="17" t="str">
        <f>Tiers!Y288</f>
        <v>main-2|main-5|freeplayA-8||||||| x 1</v>
      </c>
      <c r="D287" s="18">
        <f>Tiers!C288</f>
        <v>29.5</v>
      </c>
      <c r="E287" s="19">
        <f>Frequency!E289</f>
        <v>50</v>
      </c>
      <c r="F287" s="19">
        <f t="shared" si="204"/>
        <v>1475</v>
      </c>
      <c r="G287" s="19">
        <f>IF(Tiers!D288&gt;1,'Data Analysis'!E287,0)</f>
        <v>0</v>
      </c>
      <c r="H287" s="19">
        <f t="shared" si="205"/>
        <v>0</v>
      </c>
      <c r="I287" s="19">
        <f>IF(AND(D287/Summary!$C$4&gt;0, D287/Summary!$C$4&lt;5),E287,0) * D287</f>
        <v>0</v>
      </c>
      <c r="J287" s="19">
        <f>IF(AND(D287/Summary!$C$4&gt;= 5, D287/Summary!$C$4&lt;10),E287,0) * D287</f>
        <v>0</v>
      </c>
      <c r="K287" s="19">
        <f>IF(AND(D287/Summary!$C$4&gt;=10, D287/Summary!$C$4&lt;25),E287,0)*D287</f>
        <v>0</v>
      </c>
      <c r="L287" s="19">
        <f>IF(D287/Summary!$C$4&gt;=25,E287,0)*D287</f>
        <v>1475</v>
      </c>
      <c r="M287" s="27">
        <f>IF(AND(D287/Summary!$C$4&gt;0, D287/Summary!$C$4&lt;1),E287,0)</f>
        <v>0</v>
      </c>
      <c r="N287" s="27">
        <f t="shared" si="206"/>
        <v>0</v>
      </c>
      <c r="O287" s="27">
        <f>IF(D287/Summary!$C$4=1,1,0)*E287</f>
        <v>0</v>
      </c>
      <c r="P287" s="27">
        <f t="shared" si="207"/>
        <v>0</v>
      </c>
      <c r="Q287" s="27">
        <f>IF(AND(D287/Summary!$C$4&gt;1, D287/Summary!$C$4&lt;=2),1,0)*E287</f>
        <v>0</v>
      </c>
      <c r="R287" s="27">
        <f t="shared" si="208"/>
        <v>0</v>
      </c>
      <c r="S287" s="27">
        <f>IF(AND(D287/Summary!$C$4&gt;2,D287/Summary!$C$4&lt;=5),1,0)*E287</f>
        <v>0</v>
      </c>
      <c r="T287" s="27">
        <f t="shared" si="209"/>
        <v>0</v>
      </c>
      <c r="U287" s="27">
        <f>IF(AND(D287/Summary!$C$4&gt;5, D287/Summary!$C$4&lt;=10),1,0)*E287</f>
        <v>0</v>
      </c>
      <c r="V287" s="27">
        <f t="shared" si="210"/>
        <v>0</v>
      </c>
      <c r="W287" s="27">
        <f>IF(AND(D287/Summary!$C$4&gt;10, D287/Summary!$C$4&lt;=20),1,0)*E287</f>
        <v>0</v>
      </c>
      <c r="X287" s="27">
        <f t="shared" si="211"/>
        <v>0</v>
      </c>
      <c r="Y287" s="27">
        <f>IF(AND(D287/Summary!$C$4&gt;20, D287/Summary!$C$4&lt;=30),1,0)*E287</f>
        <v>50</v>
      </c>
      <c r="Z287" s="27">
        <f t="shared" si="212"/>
        <v>1475</v>
      </c>
      <c r="AA287" s="27">
        <f>IF(AND(D287/Summary!$C$4&gt;30, D287/Summary!$C$4&lt;=50),1,0)*E287</f>
        <v>0</v>
      </c>
      <c r="AB287" s="27">
        <f t="shared" si="213"/>
        <v>0</v>
      </c>
      <c r="AC287" s="27">
        <f>IF(AND(D287/Summary!$C$4&gt;50, D287/Summary!$C$4&lt;=100),1,0)*E287</f>
        <v>0</v>
      </c>
      <c r="AD287" s="27">
        <f t="shared" si="214"/>
        <v>0</v>
      </c>
      <c r="AE287" s="27">
        <f>IF(D287/Summary!$C$4&gt;100,1,0)*E287</f>
        <v>0</v>
      </c>
      <c r="AF287" s="27">
        <f t="shared" si="215"/>
        <v>0</v>
      </c>
      <c r="AG287" s="19">
        <f t="shared" si="216"/>
        <v>50</v>
      </c>
      <c r="AH287" s="19">
        <f t="shared" si="217"/>
        <v>0</v>
      </c>
      <c r="AI287" s="19">
        <f t="shared" si="218"/>
        <v>0</v>
      </c>
      <c r="AJ287" s="27">
        <f t="shared" si="219"/>
        <v>1</v>
      </c>
      <c r="AK287" s="27">
        <f t="shared" si="220"/>
        <v>50</v>
      </c>
      <c r="AL287" s="27">
        <f t="shared" si="221"/>
        <v>1475</v>
      </c>
      <c r="AM287">
        <f t="shared" si="222"/>
        <v>0</v>
      </c>
      <c r="AN287">
        <f t="shared" si="223"/>
        <v>0</v>
      </c>
      <c r="AO287">
        <f t="shared" si="224"/>
        <v>0</v>
      </c>
      <c r="AP287">
        <f t="shared" si="225"/>
        <v>0</v>
      </c>
      <c r="AQ287">
        <f t="shared" si="226"/>
        <v>0</v>
      </c>
      <c r="AR287">
        <f t="shared" si="227"/>
        <v>0</v>
      </c>
      <c r="AS287">
        <f t="shared" si="228"/>
        <v>0</v>
      </c>
      <c r="AT287">
        <f t="shared" si="229"/>
        <v>0</v>
      </c>
      <c r="AU287">
        <f t="shared" si="230"/>
        <v>0</v>
      </c>
      <c r="AV287">
        <f t="shared" si="231"/>
        <v>50</v>
      </c>
      <c r="AW287">
        <f t="shared" si="232"/>
        <v>1475</v>
      </c>
      <c r="AX287">
        <f t="shared" si="233"/>
        <v>0</v>
      </c>
      <c r="AY287">
        <f t="shared" si="234"/>
        <v>0</v>
      </c>
      <c r="AZ287">
        <f t="shared" si="235"/>
        <v>0</v>
      </c>
      <c r="BA287">
        <f t="shared" si="236"/>
        <v>0</v>
      </c>
      <c r="BB287">
        <f t="shared" si="237"/>
        <v>0</v>
      </c>
      <c r="BC287">
        <f t="shared" si="238"/>
        <v>0</v>
      </c>
      <c r="BD287">
        <f t="shared" si="239"/>
        <v>0</v>
      </c>
      <c r="BE287">
        <f t="shared" si="240"/>
        <v>0</v>
      </c>
      <c r="BF287">
        <f t="shared" si="241"/>
        <v>0</v>
      </c>
      <c r="BG287">
        <f t="shared" si="242"/>
        <v>0</v>
      </c>
      <c r="BH287">
        <f t="shared" si="243"/>
        <v>0</v>
      </c>
      <c r="BI287">
        <f t="shared" si="244"/>
        <v>0</v>
      </c>
      <c r="BJ287">
        <f t="shared" si="245"/>
        <v>0</v>
      </c>
      <c r="BK287">
        <f t="shared" si="246"/>
        <v>0</v>
      </c>
      <c r="BL287">
        <v>0</v>
      </c>
      <c r="BM287" t="str">
        <f t="shared" si="251"/>
        <v>Big Win</v>
      </c>
      <c r="BN287" s="32" t="str">
        <f t="shared" si="252"/>
        <v>Free Plays A</v>
      </c>
      <c r="BO287">
        <f>(D287/Summary!$C$4-Summary!$C$8)^2*E287</f>
        <v>41098.445000000007</v>
      </c>
      <c r="BP287">
        <f t="shared" si="247"/>
        <v>0</v>
      </c>
      <c r="BQ287">
        <f t="shared" si="248"/>
        <v>0</v>
      </c>
      <c r="BR287">
        <f t="shared" si="249"/>
        <v>0</v>
      </c>
      <c r="BS287">
        <f t="shared" si="250"/>
        <v>0</v>
      </c>
    </row>
    <row r="288" spans="2:71">
      <c r="B288" s="16">
        <f>Tiers!B289</f>
        <v>286</v>
      </c>
      <c r="C288" s="17" t="str">
        <f>Tiers!Y289</f>
        <v>main-4|main-22|freeplayA-9||||||| x 1</v>
      </c>
      <c r="D288" s="18">
        <f>Tiers!C289</f>
        <v>50.599999999999994</v>
      </c>
      <c r="E288" s="19">
        <f>Frequency!E290</f>
        <v>3</v>
      </c>
      <c r="F288" s="19">
        <f t="shared" si="204"/>
        <v>151.79999999999998</v>
      </c>
      <c r="G288" s="19">
        <f>IF(Tiers!D289&gt;1,'Data Analysis'!E288,0)</f>
        <v>0</v>
      </c>
      <c r="H288" s="19">
        <f t="shared" si="205"/>
        <v>0</v>
      </c>
      <c r="I288" s="19">
        <f>IF(AND(D288/Summary!$C$4&gt;0, D288/Summary!$C$4&lt;5),E288,0) * D288</f>
        <v>0</v>
      </c>
      <c r="J288" s="19">
        <f>IF(AND(D288/Summary!$C$4&gt;= 5, D288/Summary!$C$4&lt;10),E288,0) * D288</f>
        <v>0</v>
      </c>
      <c r="K288" s="19">
        <f>IF(AND(D288/Summary!$C$4&gt;=10, D288/Summary!$C$4&lt;25),E288,0)*D288</f>
        <v>0</v>
      </c>
      <c r="L288" s="19">
        <f>IF(D288/Summary!$C$4&gt;=25,E288,0)*D288</f>
        <v>151.79999999999998</v>
      </c>
      <c r="M288" s="27">
        <f>IF(AND(D288/Summary!$C$4&gt;0, D288/Summary!$C$4&lt;1),E288,0)</f>
        <v>0</v>
      </c>
      <c r="N288" s="27">
        <f t="shared" si="206"/>
        <v>0</v>
      </c>
      <c r="O288" s="27">
        <f>IF(D288/Summary!$C$4=1,1,0)*E288</f>
        <v>0</v>
      </c>
      <c r="P288" s="27">
        <f t="shared" si="207"/>
        <v>0</v>
      </c>
      <c r="Q288" s="27">
        <f>IF(AND(D288/Summary!$C$4&gt;1, D288/Summary!$C$4&lt;=2),1,0)*E288</f>
        <v>0</v>
      </c>
      <c r="R288" s="27">
        <f t="shared" si="208"/>
        <v>0</v>
      </c>
      <c r="S288" s="27">
        <f>IF(AND(D288/Summary!$C$4&gt;2,D288/Summary!$C$4&lt;=5),1,0)*E288</f>
        <v>0</v>
      </c>
      <c r="T288" s="27">
        <f t="shared" si="209"/>
        <v>0</v>
      </c>
      <c r="U288" s="27">
        <f>IF(AND(D288/Summary!$C$4&gt;5, D288/Summary!$C$4&lt;=10),1,0)*E288</f>
        <v>0</v>
      </c>
      <c r="V288" s="27">
        <f t="shared" si="210"/>
        <v>0</v>
      </c>
      <c r="W288" s="27">
        <f>IF(AND(D288/Summary!$C$4&gt;10, D288/Summary!$C$4&lt;=20),1,0)*E288</f>
        <v>0</v>
      </c>
      <c r="X288" s="27">
        <f t="shared" si="211"/>
        <v>0</v>
      </c>
      <c r="Y288" s="27">
        <f>IF(AND(D288/Summary!$C$4&gt;20, D288/Summary!$C$4&lt;=30),1,0)*E288</f>
        <v>0</v>
      </c>
      <c r="Z288" s="27">
        <f t="shared" si="212"/>
        <v>0</v>
      </c>
      <c r="AA288" s="27">
        <f>IF(AND(D288/Summary!$C$4&gt;30, D288/Summary!$C$4&lt;=50),1,0)*E288</f>
        <v>0</v>
      </c>
      <c r="AB288" s="27">
        <f t="shared" si="213"/>
        <v>0</v>
      </c>
      <c r="AC288" s="27">
        <f>IF(AND(D288/Summary!$C$4&gt;50, D288/Summary!$C$4&lt;=100),1,0)*E288</f>
        <v>3</v>
      </c>
      <c r="AD288" s="27">
        <f t="shared" si="214"/>
        <v>151.79999999999998</v>
      </c>
      <c r="AE288" s="27">
        <f>IF(D288/Summary!$C$4&gt;100,1,0)*E288</f>
        <v>0</v>
      </c>
      <c r="AF288" s="27">
        <f t="shared" si="215"/>
        <v>0</v>
      </c>
      <c r="AG288" s="19">
        <f t="shared" si="216"/>
        <v>3</v>
      </c>
      <c r="AH288" s="19">
        <f t="shared" si="217"/>
        <v>0</v>
      </c>
      <c r="AI288" s="19">
        <f t="shared" si="218"/>
        <v>0</v>
      </c>
      <c r="AJ288" s="27">
        <f t="shared" si="219"/>
        <v>1</v>
      </c>
      <c r="AK288" s="27">
        <f t="shared" si="220"/>
        <v>3</v>
      </c>
      <c r="AL288" s="27">
        <f t="shared" si="221"/>
        <v>151.79999999999998</v>
      </c>
      <c r="AM288">
        <f t="shared" si="222"/>
        <v>0</v>
      </c>
      <c r="AN288">
        <f t="shared" si="223"/>
        <v>0</v>
      </c>
      <c r="AO288">
        <f t="shared" si="224"/>
        <v>0</v>
      </c>
      <c r="AP288">
        <f t="shared" si="225"/>
        <v>0</v>
      </c>
      <c r="AQ288">
        <f t="shared" si="226"/>
        <v>0</v>
      </c>
      <c r="AR288">
        <f t="shared" si="227"/>
        <v>0</v>
      </c>
      <c r="AS288">
        <f t="shared" si="228"/>
        <v>0</v>
      </c>
      <c r="AT288">
        <f t="shared" si="229"/>
        <v>0</v>
      </c>
      <c r="AU288">
        <f t="shared" si="230"/>
        <v>0</v>
      </c>
      <c r="AV288">
        <f t="shared" si="231"/>
        <v>3</v>
      </c>
      <c r="AW288">
        <f t="shared" si="232"/>
        <v>151.79999999999998</v>
      </c>
      <c r="AX288">
        <f t="shared" si="233"/>
        <v>0</v>
      </c>
      <c r="AY288">
        <f t="shared" si="234"/>
        <v>0</v>
      </c>
      <c r="AZ288">
        <f t="shared" si="235"/>
        <v>0</v>
      </c>
      <c r="BA288">
        <f t="shared" si="236"/>
        <v>0</v>
      </c>
      <c r="BB288">
        <f t="shared" si="237"/>
        <v>0</v>
      </c>
      <c r="BC288">
        <f t="shared" si="238"/>
        <v>0</v>
      </c>
      <c r="BD288">
        <f t="shared" si="239"/>
        <v>0</v>
      </c>
      <c r="BE288">
        <f t="shared" si="240"/>
        <v>0</v>
      </c>
      <c r="BF288">
        <f t="shared" si="241"/>
        <v>0</v>
      </c>
      <c r="BG288">
        <f t="shared" si="242"/>
        <v>0</v>
      </c>
      <c r="BH288">
        <f t="shared" si="243"/>
        <v>0</v>
      </c>
      <c r="BI288">
        <f t="shared" si="244"/>
        <v>0</v>
      </c>
      <c r="BJ288">
        <f t="shared" si="245"/>
        <v>0</v>
      </c>
      <c r="BK288">
        <f t="shared" si="246"/>
        <v>0</v>
      </c>
      <c r="BL288">
        <v>0</v>
      </c>
      <c r="BM288" t="str">
        <f t="shared" si="251"/>
        <v>Huge Win</v>
      </c>
      <c r="BN288" s="32" t="str">
        <f t="shared" si="252"/>
        <v>Free Plays A</v>
      </c>
      <c r="BO288">
        <f>(D288/Summary!$C$4-Summary!$C$8)^2*E288</f>
        <v>7431.158699999999</v>
      </c>
      <c r="BP288">
        <f t="shared" si="247"/>
        <v>0</v>
      </c>
      <c r="BQ288">
        <f t="shared" si="248"/>
        <v>0</v>
      </c>
      <c r="BR288">
        <f t="shared" si="249"/>
        <v>0</v>
      </c>
      <c r="BS288">
        <f t="shared" si="250"/>
        <v>0</v>
      </c>
    </row>
    <row r="289" spans="2:71">
      <c r="B289" s="16">
        <f>Tiers!B290</f>
        <v>287</v>
      </c>
      <c r="C289" s="17" t="str">
        <f>Tiers!Y290</f>
        <v>main-4|main-4|freeplayA-10||||||| x 1</v>
      </c>
      <c r="D289" s="18">
        <f>Tiers!C290</f>
        <v>19</v>
      </c>
      <c r="E289" s="19">
        <f>Frequency!E291</f>
        <v>50</v>
      </c>
      <c r="F289" s="19">
        <f t="shared" si="204"/>
        <v>950</v>
      </c>
      <c r="G289" s="19">
        <f>IF(Tiers!D290&gt;1,'Data Analysis'!E289,0)</f>
        <v>0</v>
      </c>
      <c r="H289" s="19">
        <f t="shared" si="205"/>
        <v>0</v>
      </c>
      <c r="I289" s="19">
        <f>IF(AND(D289/Summary!$C$4&gt;0, D289/Summary!$C$4&lt;5),E289,0) * D289</f>
        <v>0</v>
      </c>
      <c r="J289" s="19">
        <f>IF(AND(D289/Summary!$C$4&gt;= 5, D289/Summary!$C$4&lt;10),E289,0) * D289</f>
        <v>0</v>
      </c>
      <c r="K289" s="19">
        <f>IF(AND(D289/Summary!$C$4&gt;=10, D289/Summary!$C$4&lt;25),E289,0)*D289</f>
        <v>950</v>
      </c>
      <c r="L289" s="19">
        <f>IF(D289/Summary!$C$4&gt;=25,E289,0)*D289</f>
        <v>0</v>
      </c>
      <c r="M289" s="27">
        <f>IF(AND(D289/Summary!$C$4&gt;0, D289/Summary!$C$4&lt;1),E289,0)</f>
        <v>0</v>
      </c>
      <c r="N289" s="27">
        <f t="shared" si="206"/>
        <v>0</v>
      </c>
      <c r="O289" s="27">
        <f>IF(D289/Summary!$C$4=1,1,0)*E289</f>
        <v>0</v>
      </c>
      <c r="P289" s="27">
        <f t="shared" si="207"/>
        <v>0</v>
      </c>
      <c r="Q289" s="27">
        <f>IF(AND(D289/Summary!$C$4&gt;1, D289/Summary!$C$4&lt;=2),1,0)*E289</f>
        <v>0</v>
      </c>
      <c r="R289" s="27">
        <f t="shared" si="208"/>
        <v>0</v>
      </c>
      <c r="S289" s="27">
        <f>IF(AND(D289/Summary!$C$4&gt;2,D289/Summary!$C$4&lt;=5),1,0)*E289</f>
        <v>0</v>
      </c>
      <c r="T289" s="27">
        <f t="shared" si="209"/>
        <v>0</v>
      </c>
      <c r="U289" s="27">
        <f>IF(AND(D289/Summary!$C$4&gt;5, D289/Summary!$C$4&lt;=10),1,0)*E289</f>
        <v>0</v>
      </c>
      <c r="V289" s="27">
        <f t="shared" si="210"/>
        <v>0</v>
      </c>
      <c r="W289" s="27">
        <f>IF(AND(D289/Summary!$C$4&gt;10, D289/Summary!$C$4&lt;=20),1,0)*E289</f>
        <v>50</v>
      </c>
      <c r="X289" s="27">
        <f t="shared" si="211"/>
        <v>950</v>
      </c>
      <c r="Y289" s="27">
        <f>IF(AND(D289/Summary!$C$4&gt;20, D289/Summary!$C$4&lt;=30),1,0)*E289</f>
        <v>0</v>
      </c>
      <c r="Z289" s="27">
        <f t="shared" si="212"/>
        <v>0</v>
      </c>
      <c r="AA289" s="27">
        <f>IF(AND(D289/Summary!$C$4&gt;30, D289/Summary!$C$4&lt;=50),1,0)*E289</f>
        <v>0</v>
      </c>
      <c r="AB289" s="27">
        <f t="shared" si="213"/>
        <v>0</v>
      </c>
      <c r="AC289" s="27">
        <f>IF(AND(D289/Summary!$C$4&gt;50, D289/Summary!$C$4&lt;=100),1,0)*E289</f>
        <v>0</v>
      </c>
      <c r="AD289" s="27">
        <f t="shared" si="214"/>
        <v>0</v>
      </c>
      <c r="AE289" s="27">
        <f>IF(D289/Summary!$C$4&gt;100,1,0)*E289</f>
        <v>0</v>
      </c>
      <c r="AF289" s="27">
        <f t="shared" si="215"/>
        <v>0</v>
      </c>
      <c r="AG289" s="19">
        <f t="shared" si="216"/>
        <v>50</v>
      </c>
      <c r="AH289" s="19">
        <f t="shared" si="217"/>
        <v>0</v>
      </c>
      <c r="AI289" s="19">
        <f t="shared" si="218"/>
        <v>0</v>
      </c>
      <c r="AJ289" s="27">
        <f t="shared" si="219"/>
        <v>1</v>
      </c>
      <c r="AK289" s="27">
        <f t="shared" si="220"/>
        <v>50</v>
      </c>
      <c r="AL289" s="27">
        <f t="shared" si="221"/>
        <v>950</v>
      </c>
      <c r="AM289">
        <f t="shared" si="222"/>
        <v>0</v>
      </c>
      <c r="AN289">
        <f t="shared" si="223"/>
        <v>0</v>
      </c>
      <c r="AO289">
        <f t="shared" si="224"/>
        <v>0</v>
      </c>
      <c r="AP289">
        <f t="shared" si="225"/>
        <v>0</v>
      </c>
      <c r="AQ289">
        <f t="shared" si="226"/>
        <v>0</v>
      </c>
      <c r="AR289">
        <f t="shared" si="227"/>
        <v>0</v>
      </c>
      <c r="AS289">
        <f t="shared" si="228"/>
        <v>0</v>
      </c>
      <c r="AT289">
        <f t="shared" si="229"/>
        <v>0</v>
      </c>
      <c r="AU289">
        <f t="shared" si="230"/>
        <v>0</v>
      </c>
      <c r="AV289">
        <f t="shared" si="231"/>
        <v>50</v>
      </c>
      <c r="AW289">
        <f t="shared" si="232"/>
        <v>950</v>
      </c>
      <c r="AX289">
        <f t="shared" si="233"/>
        <v>0</v>
      </c>
      <c r="AY289">
        <f t="shared" si="234"/>
        <v>0</v>
      </c>
      <c r="AZ289">
        <f t="shared" si="235"/>
        <v>0</v>
      </c>
      <c r="BA289">
        <f t="shared" si="236"/>
        <v>0</v>
      </c>
      <c r="BB289">
        <f t="shared" si="237"/>
        <v>0</v>
      </c>
      <c r="BC289">
        <f t="shared" si="238"/>
        <v>0</v>
      </c>
      <c r="BD289">
        <f t="shared" si="239"/>
        <v>0</v>
      </c>
      <c r="BE289">
        <f t="shared" si="240"/>
        <v>0</v>
      </c>
      <c r="BF289">
        <f t="shared" si="241"/>
        <v>0</v>
      </c>
      <c r="BG289">
        <f t="shared" si="242"/>
        <v>0</v>
      </c>
      <c r="BH289">
        <f t="shared" si="243"/>
        <v>0</v>
      </c>
      <c r="BI289">
        <f t="shared" si="244"/>
        <v>0</v>
      </c>
      <c r="BJ289">
        <f t="shared" si="245"/>
        <v>0</v>
      </c>
      <c r="BK289">
        <f t="shared" si="246"/>
        <v>0</v>
      </c>
      <c r="BL289">
        <v>0</v>
      </c>
      <c r="BM289" t="str">
        <f t="shared" si="251"/>
        <v>Big Win</v>
      </c>
      <c r="BN289" s="32" t="str">
        <f t="shared" si="252"/>
        <v>Free Plays A</v>
      </c>
      <c r="BO289">
        <f>(D289/Summary!$C$4-Summary!$C$8)^2*E289</f>
        <v>16507.445000000003</v>
      </c>
      <c r="BP289">
        <f t="shared" si="247"/>
        <v>0</v>
      </c>
      <c r="BQ289">
        <f t="shared" si="248"/>
        <v>0</v>
      </c>
      <c r="BR289">
        <f t="shared" si="249"/>
        <v>0</v>
      </c>
      <c r="BS289">
        <f t="shared" si="250"/>
        <v>0</v>
      </c>
    </row>
    <row r="290" spans="2:71">
      <c r="B290" s="16">
        <f>Tiers!B291</f>
        <v>288</v>
      </c>
      <c r="C290" s="17" t="str">
        <f>Tiers!Y291</f>
        <v>main-4|main-5|main-13|freeplayA-1|||||| x 1</v>
      </c>
      <c r="D290" s="18">
        <f>Tiers!C291</f>
        <v>33.200000000000003</v>
      </c>
      <c r="E290" s="19">
        <f>Frequency!E292</f>
        <v>50</v>
      </c>
      <c r="F290" s="19">
        <f t="shared" si="204"/>
        <v>1660.0000000000002</v>
      </c>
      <c r="G290" s="19">
        <f>IF(Tiers!D291&gt;1,'Data Analysis'!E290,0)</f>
        <v>0</v>
      </c>
      <c r="H290" s="19">
        <f t="shared" si="205"/>
        <v>0</v>
      </c>
      <c r="I290" s="19">
        <f>IF(AND(D290/Summary!$C$4&gt;0, D290/Summary!$C$4&lt;5),E290,0) * D290</f>
        <v>0</v>
      </c>
      <c r="J290" s="19">
        <f>IF(AND(D290/Summary!$C$4&gt;= 5, D290/Summary!$C$4&lt;10),E290,0) * D290</f>
        <v>0</v>
      </c>
      <c r="K290" s="19">
        <f>IF(AND(D290/Summary!$C$4&gt;=10, D290/Summary!$C$4&lt;25),E290,0)*D290</f>
        <v>0</v>
      </c>
      <c r="L290" s="19">
        <f>IF(D290/Summary!$C$4&gt;=25,E290,0)*D290</f>
        <v>1660.0000000000002</v>
      </c>
      <c r="M290" s="27">
        <f>IF(AND(D290/Summary!$C$4&gt;0, D290/Summary!$C$4&lt;1),E290,0)</f>
        <v>0</v>
      </c>
      <c r="N290" s="27">
        <f t="shared" si="206"/>
        <v>0</v>
      </c>
      <c r="O290" s="27">
        <f>IF(D290/Summary!$C$4=1,1,0)*E290</f>
        <v>0</v>
      </c>
      <c r="P290" s="27">
        <f t="shared" si="207"/>
        <v>0</v>
      </c>
      <c r="Q290" s="27">
        <f>IF(AND(D290/Summary!$C$4&gt;1, D290/Summary!$C$4&lt;=2),1,0)*E290</f>
        <v>0</v>
      </c>
      <c r="R290" s="27">
        <f t="shared" si="208"/>
        <v>0</v>
      </c>
      <c r="S290" s="27">
        <f>IF(AND(D290/Summary!$C$4&gt;2,D290/Summary!$C$4&lt;=5),1,0)*E290</f>
        <v>0</v>
      </c>
      <c r="T290" s="27">
        <f t="shared" si="209"/>
        <v>0</v>
      </c>
      <c r="U290" s="27">
        <f>IF(AND(D290/Summary!$C$4&gt;5, D290/Summary!$C$4&lt;=10),1,0)*E290</f>
        <v>0</v>
      </c>
      <c r="V290" s="27">
        <f t="shared" si="210"/>
        <v>0</v>
      </c>
      <c r="W290" s="27">
        <f>IF(AND(D290/Summary!$C$4&gt;10, D290/Summary!$C$4&lt;=20),1,0)*E290</f>
        <v>0</v>
      </c>
      <c r="X290" s="27">
        <f t="shared" si="211"/>
        <v>0</v>
      </c>
      <c r="Y290" s="27">
        <f>IF(AND(D290/Summary!$C$4&gt;20, D290/Summary!$C$4&lt;=30),1,0)*E290</f>
        <v>0</v>
      </c>
      <c r="Z290" s="27">
        <f t="shared" si="212"/>
        <v>0</v>
      </c>
      <c r="AA290" s="27">
        <f>IF(AND(D290/Summary!$C$4&gt;30, D290/Summary!$C$4&lt;=50),1,0)*E290</f>
        <v>50</v>
      </c>
      <c r="AB290" s="27">
        <f t="shared" si="213"/>
        <v>1660.0000000000002</v>
      </c>
      <c r="AC290" s="27">
        <f>IF(AND(D290/Summary!$C$4&gt;50, D290/Summary!$C$4&lt;=100),1,0)*E290</f>
        <v>0</v>
      </c>
      <c r="AD290" s="27">
        <f t="shared" si="214"/>
        <v>0</v>
      </c>
      <c r="AE290" s="27">
        <f>IF(D290/Summary!$C$4&gt;100,1,0)*E290</f>
        <v>0</v>
      </c>
      <c r="AF290" s="27">
        <f t="shared" si="215"/>
        <v>0</v>
      </c>
      <c r="AG290" s="19">
        <f t="shared" si="216"/>
        <v>50</v>
      </c>
      <c r="AH290" s="19">
        <f t="shared" si="217"/>
        <v>0</v>
      </c>
      <c r="AI290" s="19">
        <f t="shared" si="218"/>
        <v>0</v>
      </c>
      <c r="AJ290" s="27">
        <f t="shared" si="219"/>
        <v>1</v>
      </c>
      <c r="AK290" s="27">
        <f t="shared" si="220"/>
        <v>50</v>
      </c>
      <c r="AL290" s="27">
        <f t="shared" si="221"/>
        <v>1660.0000000000002</v>
      </c>
      <c r="AM290">
        <f t="shared" si="222"/>
        <v>0</v>
      </c>
      <c r="AN290">
        <f t="shared" si="223"/>
        <v>0</v>
      </c>
      <c r="AO290">
        <f t="shared" si="224"/>
        <v>0</v>
      </c>
      <c r="AP290">
        <f t="shared" si="225"/>
        <v>0</v>
      </c>
      <c r="AQ290">
        <f t="shared" si="226"/>
        <v>0</v>
      </c>
      <c r="AR290">
        <f t="shared" si="227"/>
        <v>0</v>
      </c>
      <c r="AS290">
        <f t="shared" si="228"/>
        <v>0</v>
      </c>
      <c r="AT290">
        <f t="shared" si="229"/>
        <v>0</v>
      </c>
      <c r="AU290">
        <f t="shared" si="230"/>
        <v>0</v>
      </c>
      <c r="AV290">
        <f t="shared" si="231"/>
        <v>50</v>
      </c>
      <c r="AW290">
        <f t="shared" si="232"/>
        <v>1660.0000000000002</v>
      </c>
      <c r="AX290">
        <f t="shared" si="233"/>
        <v>0</v>
      </c>
      <c r="AY290">
        <f t="shared" si="234"/>
        <v>0</v>
      </c>
      <c r="AZ290">
        <f t="shared" si="235"/>
        <v>0</v>
      </c>
      <c r="BA290">
        <f t="shared" si="236"/>
        <v>0</v>
      </c>
      <c r="BB290">
        <f t="shared" si="237"/>
        <v>0</v>
      </c>
      <c r="BC290">
        <f t="shared" si="238"/>
        <v>0</v>
      </c>
      <c r="BD290">
        <f t="shared" si="239"/>
        <v>0</v>
      </c>
      <c r="BE290">
        <f t="shared" si="240"/>
        <v>0</v>
      </c>
      <c r="BF290">
        <f t="shared" si="241"/>
        <v>0</v>
      </c>
      <c r="BG290">
        <f t="shared" si="242"/>
        <v>0</v>
      </c>
      <c r="BH290">
        <f t="shared" si="243"/>
        <v>0</v>
      </c>
      <c r="BI290">
        <f t="shared" si="244"/>
        <v>0</v>
      </c>
      <c r="BJ290">
        <f t="shared" si="245"/>
        <v>0</v>
      </c>
      <c r="BK290">
        <f t="shared" si="246"/>
        <v>0</v>
      </c>
      <c r="BL290">
        <v>0</v>
      </c>
      <c r="BM290" t="str">
        <f t="shared" si="251"/>
        <v>Big Win</v>
      </c>
      <c r="BN290" s="32" t="str">
        <f t="shared" si="252"/>
        <v>Free Plays A</v>
      </c>
      <c r="BO290">
        <f>(D290/Summary!$C$4-Summary!$C$8)^2*E290</f>
        <v>52390.845000000016</v>
      </c>
      <c r="BP290">
        <f t="shared" si="247"/>
        <v>0</v>
      </c>
      <c r="BQ290">
        <f t="shared" si="248"/>
        <v>0</v>
      </c>
      <c r="BR290">
        <f t="shared" si="249"/>
        <v>0</v>
      </c>
      <c r="BS290">
        <f t="shared" si="250"/>
        <v>0</v>
      </c>
    </row>
    <row r="291" spans="2:71">
      <c r="B291" s="16">
        <f>Tiers!B292</f>
        <v>289</v>
      </c>
      <c r="C291" s="17" t="str">
        <f>Tiers!Y292</f>
        <v>main-4|main-2|main-24|freeplayA-2|||||| x 1</v>
      </c>
      <c r="D291" s="18">
        <f>Tiers!C292</f>
        <v>28.4</v>
      </c>
      <c r="E291" s="19">
        <f>Frequency!E293</f>
        <v>50</v>
      </c>
      <c r="F291" s="19">
        <f t="shared" si="204"/>
        <v>1420</v>
      </c>
      <c r="G291" s="19">
        <f>IF(Tiers!D292&gt;1,'Data Analysis'!E291,0)</f>
        <v>0</v>
      </c>
      <c r="H291" s="19">
        <f t="shared" si="205"/>
        <v>0</v>
      </c>
      <c r="I291" s="19">
        <f>IF(AND(D291/Summary!$C$4&gt;0, D291/Summary!$C$4&lt;5),E291,0) * D291</f>
        <v>0</v>
      </c>
      <c r="J291" s="19">
        <f>IF(AND(D291/Summary!$C$4&gt;= 5, D291/Summary!$C$4&lt;10),E291,0) * D291</f>
        <v>0</v>
      </c>
      <c r="K291" s="19">
        <f>IF(AND(D291/Summary!$C$4&gt;=10, D291/Summary!$C$4&lt;25),E291,0)*D291</f>
        <v>0</v>
      </c>
      <c r="L291" s="19">
        <f>IF(D291/Summary!$C$4&gt;=25,E291,0)*D291</f>
        <v>1420</v>
      </c>
      <c r="M291" s="27">
        <f>IF(AND(D291/Summary!$C$4&gt;0, D291/Summary!$C$4&lt;1),E291,0)</f>
        <v>0</v>
      </c>
      <c r="N291" s="27">
        <f t="shared" si="206"/>
        <v>0</v>
      </c>
      <c r="O291" s="27">
        <f>IF(D291/Summary!$C$4=1,1,0)*E291</f>
        <v>0</v>
      </c>
      <c r="P291" s="27">
        <f t="shared" si="207"/>
        <v>0</v>
      </c>
      <c r="Q291" s="27">
        <f>IF(AND(D291/Summary!$C$4&gt;1, D291/Summary!$C$4&lt;=2),1,0)*E291</f>
        <v>0</v>
      </c>
      <c r="R291" s="27">
        <f t="shared" si="208"/>
        <v>0</v>
      </c>
      <c r="S291" s="27">
        <f>IF(AND(D291/Summary!$C$4&gt;2,D291/Summary!$C$4&lt;=5),1,0)*E291</f>
        <v>0</v>
      </c>
      <c r="T291" s="27">
        <f t="shared" si="209"/>
        <v>0</v>
      </c>
      <c r="U291" s="27">
        <f>IF(AND(D291/Summary!$C$4&gt;5, D291/Summary!$C$4&lt;=10),1,0)*E291</f>
        <v>0</v>
      </c>
      <c r="V291" s="27">
        <f t="shared" si="210"/>
        <v>0</v>
      </c>
      <c r="W291" s="27">
        <f>IF(AND(D291/Summary!$C$4&gt;10, D291/Summary!$C$4&lt;=20),1,0)*E291</f>
        <v>0</v>
      </c>
      <c r="X291" s="27">
        <f t="shared" si="211"/>
        <v>0</v>
      </c>
      <c r="Y291" s="27">
        <f>IF(AND(D291/Summary!$C$4&gt;20, D291/Summary!$C$4&lt;=30),1,0)*E291</f>
        <v>50</v>
      </c>
      <c r="Z291" s="27">
        <f t="shared" si="212"/>
        <v>1420</v>
      </c>
      <c r="AA291" s="27">
        <f>IF(AND(D291/Summary!$C$4&gt;30, D291/Summary!$C$4&lt;=50),1,0)*E291</f>
        <v>0</v>
      </c>
      <c r="AB291" s="27">
        <f t="shared" si="213"/>
        <v>0</v>
      </c>
      <c r="AC291" s="27">
        <f>IF(AND(D291/Summary!$C$4&gt;50, D291/Summary!$C$4&lt;=100),1,0)*E291</f>
        <v>0</v>
      </c>
      <c r="AD291" s="27">
        <f t="shared" si="214"/>
        <v>0</v>
      </c>
      <c r="AE291" s="27">
        <f>IF(D291/Summary!$C$4&gt;100,1,0)*E291</f>
        <v>0</v>
      </c>
      <c r="AF291" s="27">
        <f t="shared" si="215"/>
        <v>0</v>
      </c>
      <c r="AG291" s="19">
        <f t="shared" si="216"/>
        <v>50</v>
      </c>
      <c r="AH291" s="19">
        <f t="shared" si="217"/>
        <v>0</v>
      </c>
      <c r="AI291" s="19">
        <f t="shared" si="218"/>
        <v>0</v>
      </c>
      <c r="AJ291" s="27">
        <f t="shared" si="219"/>
        <v>1</v>
      </c>
      <c r="AK291" s="27">
        <f t="shared" si="220"/>
        <v>50</v>
      </c>
      <c r="AL291" s="27">
        <f t="shared" si="221"/>
        <v>1420</v>
      </c>
      <c r="AM291">
        <f t="shared" si="222"/>
        <v>0</v>
      </c>
      <c r="AN291">
        <f t="shared" si="223"/>
        <v>0</v>
      </c>
      <c r="AO291">
        <f t="shared" si="224"/>
        <v>0</v>
      </c>
      <c r="AP291">
        <f t="shared" si="225"/>
        <v>0</v>
      </c>
      <c r="AQ291">
        <f t="shared" si="226"/>
        <v>0</v>
      </c>
      <c r="AR291">
        <f t="shared" si="227"/>
        <v>0</v>
      </c>
      <c r="AS291">
        <f t="shared" si="228"/>
        <v>0</v>
      </c>
      <c r="AT291">
        <f t="shared" si="229"/>
        <v>0</v>
      </c>
      <c r="AU291">
        <f t="shared" si="230"/>
        <v>0</v>
      </c>
      <c r="AV291">
        <f t="shared" si="231"/>
        <v>50</v>
      </c>
      <c r="AW291">
        <f t="shared" si="232"/>
        <v>1420</v>
      </c>
      <c r="AX291">
        <f t="shared" si="233"/>
        <v>0</v>
      </c>
      <c r="AY291">
        <f t="shared" si="234"/>
        <v>0</v>
      </c>
      <c r="AZ291">
        <f t="shared" si="235"/>
        <v>0</v>
      </c>
      <c r="BA291">
        <f t="shared" si="236"/>
        <v>0</v>
      </c>
      <c r="BB291">
        <f t="shared" si="237"/>
        <v>0</v>
      </c>
      <c r="BC291">
        <f t="shared" si="238"/>
        <v>0</v>
      </c>
      <c r="BD291">
        <f t="shared" si="239"/>
        <v>0</v>
      </c>
      <c r="BE291">
        <f t="shared" si="240"/>
        <v>0</v>
      </c>
      <c r="BF291">
        <f t="shared" si="241"/>
        <v>0</v>
      </c>
      <c r="BG291">
        <f t="shared" si="242"/>
        <v>0</v>
      </c>
      <c r="BH291">
        <f t="shared" si="243"/>
        <v>0</v>
      </c>
      <c r="BI291">
        <f t="shared" si="244"/>
        <v>0</v>
      </c>
      <c r="BJ291">
        <f t="shared" si="245"/>
        <v>0</v>
      </c>
      <c r="BK291">
        <f t="shared" si="246"/>
        <v>0</v>
      </c>
      <c r="BL291">
        <v>0</v>
      </c>
      <c r="BM291" t="str">
        <f t="shared" ref="BM291:BM321" si="253">IF(D291 &lt; $D$367, $C$367,
IF(D291 = $D$368, $C$368,
IF(D291 &lt; $D$369, $C$369,
IF(D291 &lt; $D$370, $C$370,
IF(D291 &lt; $D$371, $C$371, $C$372)))))</f>
        <v>Big Win</v>
      </c>
      <c r="BN291" s="32" t="str">
        <f t="shared" ref="BN291:BN321" si="254">IF(AV291 &gt; 0,$C$376,
IF(AX291 &gt; 0,$C$377,
IF(AZ291 &gt; 0,$C$378,
IF(BB291 &gt; 0,$C$379,
IF(BD291 &gt; 0,$C$380,
IF(BF291 &gt; 0,$C$381,
IF(BH291 &gt; 0,$C$382,
IF(BJ291 &gt; 0,$C$383,
IF(ISNUMBER(SEARCH("|||||||||",C291)), $C$384,$C$385)))))))))</f>
        <v>Free Plays A</v>
      </c>
      <c r="BO291">
        <f>(D291/Summary!$C$4-Summary!$C$8)^2*E291</f>
        <v>38005.245000000003</v>
      </c>
      <c r="BP291">
        <f t="shared" si="247"/>
        <v>0</v>
      </c>
      <c r="BQ291">
        <f t="shared" si="248"/>
        <v>0</v>
      </c>
      <c r="BR291">
        <f t="shared" si="249"/>
        <v>0</v>
      </c>
      <c r="BS291">
        <f t="shared" si="250"/>
        <v>0</v>
      </c>
    </row>
    <row r="292" spans="2:71">
      <c r="B292" s="16">
        <f>Tiers!B293</f>
        <v>290</v>
      </c>
      <c r="C292" s="17" t="str">
        <f>Tiers!Y293</f>
        <v>main-15|main-13|main-13|freeplayA-3|||||| x 1</v>
      </c>
      <c r="D292" s="18">
        <f>Tiers!C293</f>
        <v>60</v>
      </c>
      <c r="E292" s="19">
        <f>Frequency!E294</f>
        <v>3</v>
      </c>
      <c r="F292" s="19">
        <f t="shared" si="204"/>
        <v>180</v>
      </c>
      <c r="G292" s="19">
        <f>IF(Tiers!D293&gt;1,'Data Analysis'!E292,0)</f>
        <v>0</v>
      </c>
      <c r="H292" s="19">
        <f t="shared" si="205"/>
        <v>0</v>
      </c>
      <c r="I292" s="19">
        <f>IF(AND(D292/Summary!$C$4&gt;0, D292/Summary!$C$4&lt;5),E292,0) * D292</f>
        <v>0</v>
      </c>
      <c r="J292" s="19">
        <f>IF(AND(D292/Summary!$C$4&gt;= 5, D292/Summary!$C$4&lt;10),E292,0) * D292</f>
        <v>0</v>
      </c>
      <c r="K292" s="19">
        <f>IF(AND(D292/Summary!$C$4&gt;=10, D292/Summary!$C$4&lt;25),E292,0)*D292</f>
        <v>0</v>
      </c>
      <c r="L292" s="19">
        <f>IF(D292/Summary!$C$4&gt;=25,E292,0)*D292</f>
        <v>180</v>
      </c>
      <c r="M292" s="27">
        <f>IF(AND(D292/Summary!$C$4&gt;0, D292/Summary!$C$4&lt;1),E292,0)</f>
        <v>0</v>
      </c>
      <c r="N292" s="27">
        <f t="shared" si="206"/>
        <v>0</v>
      </c>
      <c r="O292" s="27">
        <f>IF(D292/Summary!$C$4=1,1,0)*E292</f>
        <v>0</v>
      </c>
      <c r="P292" s="27">
        <f t="shared" si="207"/>
        <v>0</v>
      </c>
      <c r="Q292" s="27">
        <f>IF(AND(D292/Summary!$C$4&gt;1, D292/Summary!$C$4&lt;=2),1,0)*E292</f>
        <v>0</v>
      </c>
      <c r="R292" s="27">
        <f t="shared" si="208"/>
        <v>0</v>
      </c>
      <c r="S292" s="27">
        <f>IF(AND(D292/Summary!$C$4&gt;2,D292/Summary!$C$4&lt;=5),1,0)*E292</f>
        <v>0</v>
      </c>
      <c r="T292" s="27">
        <f t="shared" si="209"/>
        <v>0</v>
      </c>
      <c r="U292" s="27">
        <f>IF(AND(D292/Summary!$C$4&gt;5, D292/Summary!$C$4&lt;=10),1,0)*E292</f>
        <v>0</v>
      </c>
      <c r="V292" s="27">
        <f t="shared" si="210"/>
        <v>0</v>
      </c>
      <c r="W292" s="27">
        <f>IF(AND(D292/Summary!$C$4&gt;10, D292/Summary!$C$4&lt;=20),1,0)*E292</f>
        <v>0</v>
      </c>
      <c r="X292" s="27">
        <f t="shared" si="211"/>
        <v>0</v>
      </c>
      <c r="Y292" s="27">
        <f>IF(AND(D292/Summary!$C$4&gt;20, D292/Summary!$C$4&lt;=30),1,0)*E292</f>
        <v>0</v>
      </c>
      <c r="Z292" s="27">
        <f t="shared" si="212"/>
        <v>0</v>
      </c>
      <c r="AA292" s="27">
        <f>IF(AND(D292/Summary!$C$4&gt;30, D292/Summary!$C$4&lt;=50),1,0)*E292</f>
        <v>0</v>
      </c>
      <c r="AB292" s="27">
        <f t="shared" si="213"/>
        <v>0</v>
      </c>
      <c r="AC292" s="27">
        <f>IF(AND(D292/Summary!$C$4&gt;50, D292/Summary!$C$4&lt;=100),1,0)*E292</f>
        <v>3</v>
      </c>
      <c r="AD292" s="27">
        <f t="shared" si="214"/>
        <v>180</v>
      </c>
      <c r="AE292" s="27">
        <f>IF(D292/Summary!$C$4&gt;100,1,0)*E292</f>
        <v>0</v>
      </c>
      <c r="AF292" s="27">
        <f t="shared" si="215"/>
        <v>0</v>
      </c>
      <c r="AG292" s="19">
        <f t="shared" si="216"/>
        <v>3</v>
      </c>
      <c r="AH292" s="19">
        <f t="shared" si="217"/>
        <v>0</v>
      </c>
      <c r="AI292" s="19">
        <f t="shared" si="218"/>
        <v>0</v>
      </c>
      <c r="AJ292" s="27">
        <f t="shared" si="219"/>
        <v>1</v>
      </c>
      <c r="AK292" s="27">
        <f t="shared" si="220"/>
        <v>3</v>
      </c>
      <c r="AL292" s="27">
        <f t="shared" si="221"/>
        <v>180</v>
      </c>
      <c r="AM292">
        <f t="shared" si="222"/>
        <v>0</v>
      </c>
      <c r="AN292">
        <f t="shared" si="223"/>
        <v>0</v>
      </c>
      <c r="AO292">
        <f t="shared" si="224"/>
        <v>0</v>
      </c>
      <c r="AP292">
        <f t="shared" si="225"/>
        <v>0</v>
      </c>
      <c r="AQ292">
        <f t="shared" si="226"/>
        <v>0</v>
      </c>
      <c r="AR292">
        <f t="shared" si="227"/>
        <v>0</v>
      </c>
      <c r="AS292">
        <f t="shared" si="228"/>
        <v>0</v>
      </c>
      <c r="AT292">
        <f t="shared" si="229"/>
        <v>0</v>
      </c>
      <c r="AU292">
        <f t="shared" si="230"/>
        <v>0</v>
      </c>
      <c r="AV292">
        <f t="shared" si="231"/>
        <v>3</v>
      </c>
      <c r="AW292">
        <f t="shared" si="232"/>
        <v>180</v>
      </c>
      <c r="AX292">
        <f t="shared" si="233"/>
        <v>0</v>
      </c>
      <c r="AY292">
        <f t="shared" si="234"/>
        <v>0</v>
      </c>
      <c r="AZ292">
        <f t="shared" si="235"/>
        <v>0</v>
      </c>
      <c r="BA292">
        <f t="shared" si="236"/>
        <v>0</v>
      </c>
      <c r="BB292">
        <f t="shared" si="237"/>
        <v>0</v>
      </c>
      <c r="BC292">
        <f t="shared" si="238"/>
        <v>0</v>
      </c>
      <c r="BD292">
        <f t="shared" si="239"/>
        <v>0</v>
      </c>
      <c r="BE292">
        <f t="shared" si="240"/>
        <v>0</v>
      </c>
      <c r="BF292">
        <f t="shared" si="241"/>
        <v>0</v>
      </c>
      <c r="BG292">
        <f t="shared" si="242"/>
        <v>0</v>
      </c>
      <c r="BH292">
        <f t="shared" si="243"/>
        <v>0</v>
      </c>
      <c r="BI292">
        <f t="shared" si="244"/>
        <v>0</v>
      </c>
      <c r="BJ292">
        <f t="shared" si="245"/>
        <v>0</v>
      </c>
      <c r="BK292">
        <f t="shared" si="246"/>
        <v>0</v>
      </c>
      <c r="BL292">
        <v>0</v>
      </c>
      <c r="BM292" t="str">
        <f t="shared" si="253"/>
        <v>Huge Win</v>
      </c>
      <c r="BN292" s="32" t="str">
        <f t="shared" si="254"/>
        <v>Free Plays A</v>
      </c>
      <c r="BO292">
        <f>(D292/Summary!$C$4-Summary!$C$8)^2*E292</f>
        <v>10503.2667</v>
      </c>
      <c r="BP292">
        <f t="shared" si="247"/>
        <v>0</v>
      </c>
      <c r="BQ292">
        <f t="shared" si="248"/>
        <v>0</v>
      </c>
      <c r="BR292">
        <f t="shared" si="249"/>
        <v>0</v>
      </c>
      <c r="BS292">
        <f t="shared" si="250"/>
        <v>0</v>
      </c>
    </row>
    <row r="293" spans="2:71">
      <c r="B293" s="16">
        <f>Tiers!B294</f>
        <v>291</v>
      </c>
      <c r="C293" s="17" t="str">
        <f>Tiers!Y294</f>
        <v>main-30|main-14|main-15|freeplayA-4|||||| x 1</v>
      </c>
      <c r="D293" s="18">
        <f>Tiers!C294</f>
        <v>45.6</v>
      </c>
      <c r="E293" s="19">
        <f>Frequency!E295</f>
        <v>50</v>
      </c>
      <c r="F293" s="19">
        <f t="shared" si="204"/>
        <v>2280</v>
      </c>
      <c r="G293" s="19">
        <f>IF(Tiers!D294&gt;1,'Data Analysis'!E293,0)</f>
        <v>0</v>
      </c>
      <c r="H293" s="19">
        <f t="shared" si="205"/>
        <v>0</v>
      </c>
      <c r="I293" s="19">
        <f>IF(AND(D293/Summary!$C$4&gt;0, D293/Summary!$C$4&lt;5),E293,0) * D293</f>
        <v>0</v>
      </c>
      <c r="J293" s="19">
        <f>IF(AND(D293/Summary!$C$4&gt;= 5, D293/Summary!$C$4&lt;10),E293,0) * D293</f>
        <v>0</v>
      </c>
      <c r="K293" s="19">
        <f>IF(AND(D293/Summary!$C$4&gt;=10, D293/Summary!$C$4&lt;25),E293,0)*D293</f>
        <v>0</v>
      </c>
      <c r="L293" s="19">
        <f>IF(D293/Summary!$C$4&gt;=25,E293,0)*D293</f>
        <v>2280</v>
      </c>
      <c r="M293" s="27">
        <f>IF(AND(D293/Summary!$C$4&gt;0, D293/Summary!$C$4&lt;1),E293,0)</f>
        <v>0</v>
      </c>
      <c r="N293" s="27">
        <f t="shared" si="206"/>
        <v>0</v>
      </c>
      <c r="O293" s="27">
        <f>IF(D293/Summary!$C$4=1,1,0)*E293</f>
        <v>0</v>
      </c>
      <c r="P293" s="27">
        <f t="shared" si="207"/>
        <v>0</v>
      </c>
      <c r="Q293" s="27">
        <f>IF(AND(D293/Summary!$C$4&gt;1, D293/Summary!$C$4&lt;=2),1,0)*E293</f>
        <v>0</v>
      </c>
      <c r="R293" s="27">
        <f t="shared" si="208"/>
        <v>0</v>
      </c>
      <c r="S293" s="27">
        <f>IF(AND(D293/Summary!$C$4&gt;2,D293/Summary!$C$4&lt;=5),1,0)*E293</f>
        <v>0</v>
      </c>
      <c r="T293" s="27">
        <f t="shared" si="209"/>
        <v>0</v>
      </c>
      <c r="U293" s="27">
        <f>IF(AND(D293/Summary!$C$4&gt;5, D293/Summary!$C$4&lt;=10),1,0)*E293</f>
        <v>0</v>
      </c>
      <c r="V293" s="27">
        <f t="shared" si="210"/>
        <v>0</v>
      </c>
      <c r="W293" s="27">
        <f>IF(AND(D293/Summary!$C$4&gt;10, D293/Summary!$C$4&lt;=20),1,0)*E293</f>
        <v>0</v>
      </c>
      <c r="X293" s="27">
        <f t="shared" si="211"/>
        <v>0</v>
      </c>
      <c r="Y293" s="27">
        <f>IF(AND(D293/Summary!$C$4&gt;20, D293/Summary!$C$4&lt;=30),1,0)*E293</f>
        <v>0</v>
      </c>
      <c r="Z293" s="27">
        <f t="shared" si="212"/>
        <v>0</v>
      </c>
      <c r="AA293" s="27">
        <f>IF(AND(D293/Summary!$C$4&gt;30, D293/Summary!$C$4&lt;=50),1,0)*E293</f>
        <v>50</v>
      </c>
      <c r="AB293" s="27">
        <f t="shared" si="213"/>
        <v>2280</v>
      </c>
      <c r="AC293" s="27">
        <f>IF(AND(D293/Summary!$C$4&gt;50, D293/Summary!$C$4&lt;=100),1,0)*E293</f>
        <v>0</v>
      </c>
      <c r="AD293" s="27">
        <f t="shared" si="214"/>
        <v>0</v>
      </c>
      <c r="AE293" s="27">
        <f>IF(D293/Summary!$C$4&gt;100,1,0)*E293</f>
        <v>0</v>
      </c>
      <c r="AF293" s="27">
        <f t="shared" si="215"/>
        <v>0</v>
      </c>
      <c r="AG293" s="19">
        <f t="shared" si="216"/>
        <v>50</v>
      </c>
      <c r="AH293" s="19">
        <f t="shared" si="217"/>
        <v>0</v>
      </c>
      <c r="AI293" s="19">
        <f t="shared" si="218"/>
        <v>0</v>
      </c>
      <c r="AJ293" s="27">
        <f t="shared" si="219"/>
        <v>1</v>
      </c>
      <c r="AK293" s="27">
        <f t="shared" si="220"/>
        <v>50</v>
      </c>
      <c r="AL293" s="27">
        <f t="shared" si="221"/>
        <v>2280</v>
      </c>
      <c r="AM293">
        <f t="shared" si="222"/>
        <v>0</v>
      </c>
      <c r="AN293">
        <f t="shared" si="223"/>
        <v>0</v>
      </c>
      <c r="AO293">
        <f t="shared" si="224"/>
        <v>0</v>
      </c>
      <c r="AP293">
        <f t="shared" si="225"/>
        <v>0</v>
      </c>
      <c r="AQ293">
        <f t="shared" si="226"/>
        <v>0</v>
      </c>
      <c r="AR293">
        <f t="shared" si="227"/>
        <v>0</v>
      </c>
      <c r="AS293">
        <f t="shared" si="228"/>
        <v>0</v>
      </c>
      <c r="AT293">
        <f t="shared" si="229"/>
        <v>0</v>
      </c>
      <c r="AU293">
        <f t="shared" si="230"/>
        <v>0</v>
      </c>
      <c r="AV293">
        <f t="shared" si="231"/>
        <v>50</v>
      </c>
      <c r="AW293">
        <f t="shared" si="232"/>
        <v>2280</v>
      </c>
      <c r="AX293">
        <f t="shared" si="233"/>
        <v>0</v>
      </c>
      <c r="AY293">
        <f t="shared" si="234"/>
        <v>0</v>
      </c>
      <c r="AZ293">
        <f t="shared" si="235"/>
        <v>0</v>
      </c>
      <c r="BA293">
        <f t="shared" si="236"/>
        <v>0</v>
      </c>
      <c r="BB293">
        <f t="shared" si="237"/>
        <v>0</v>
      </c>
      <c r="BC293">
        <f t="shared" si="238"/>
        <v>0</v>
      </c>
      <c r="BD293">
        <f t="shared" si="239"/>
        <v>0</v>
      </c>
      <c r="BE293">
        <f t="shared" si="240"/>
        <v>0</v>
      </c>
      <c r="BF293">
        <f t="shared" si="241"/>
        <v>0</v>
      </c>
      <c r="BG293">
        <f t="shared" si="242"/>
        <v>0</v>
      </c>
      <c r="BH293">
        <f t="shared" si="243"/>
        <v>0</v>
      </c>
      <c r="BI293">
        <f t="shared" si="244"/>
        <v>0</v>
      </c>
      <c r="BJ293">
        <f t="shared" si="245"/>
        <v>0</v>
      </c>
      <c r="BK293">
        <f t="shared" si="246"/>
        <v>0</v>
      </c>
      <c r="BL293">
        <v>0</v>
      </c>
      <c r="BM293" t="str">
        <f t="shared" si="253"/>
        <v>Big Win</v>
      </c>
      <c r="BN293" s="32" t="str">
        <f t="shared" si="254"/>
        <v>Free Plays A</v>
      </c>
      <c r="BO293">
        <f>(D293/Summary!$C$4-Summary!$C$8)^2*E293</f>
        <v>100217.64500000002</v>
      </c>
      <c r="BP293">
        <f t="shared" si="247"/>
        <v>0</v>
      </c>
      <c r="BQ293">
        <f t="shared" si="248"/>
        <v>0</v>
      </c>
      <c r="BR293">
        <f t="shared" si="249"/>
        <v>0</v>
      </c>
      <c r="BS293">
        <f t="shared" si="250"/>
        <v>0</v>
      </c>
    </row>
    <row r="294" spans="2:71">
      <c r="B294" s="16">
        <f>Tiers!B295</f>
        <v>292</v>
      </c>
      <c r="C294" s="17" t="str">
        <f>Tiers!Y295</f>
        <v>main-2|main-7|main-4|freeplayA-5|||||| x 1</v>
      </c>
      <c r="D294" s="18">
        <f>Tiers!C295</f>
        <v>30.299999999999997</v>
      </c>
      <c r="E294" s="19">
        <f>Frequency!E296</f>
        <v>50</v>
      </c>
      <c r="F294" s="19">
        <f t="shared" si="204"/>
        <v>1514.9999999999998</v>
      </c>
      <c r="G294" s="19">
        <f>IF(Tiers!D295&gt;1,'Data Analysis'!E294,0)</f>
        <v>0</v>
      </c>
      <c r="H294" s="19">
        <f t="shared" si="205"/>
        <v>0</v>
      </c>
      <c r="I294" s="19">
        <f>IF(AND(D294/Summary!$C$4&gt;0, D294/Summary!$C$4&lt;5),E294,0) * D294</f>
        <v>0</v>
      </c>
      <c r="J294" s="19">
        <f>IF(AND(D294/Summary!$C$4&gt;= 5, D294/Summary!$C$4&lt;10),E294,0) * D294</f>
        <v>0</v>
      </c>
      <c r="K294" s="19">
        <f>IF(AND(D294/Summary!$C$4&gt;=10, D294/Summary!$C$4&lt;25),E294,0)*D294</f>
        <v>0</v>
      </c>
      <c r="L294" s="19">
        <f>IF(D294/Summary!$C$4&gt;=25,E294,0)*D294</f>
        <v>1514.9999999999998</v>
      </c>
      <c r="M294" s="27">
        <f>IF(AND(D294/Summary!$C$4&gt;0, D294/Summary!$C$4&lt;1),E294,0)</f>
        <v>0</v>
      </c>
      <c r="N294" s="27">
        <f t="shared" si="206"/>
        <v>0</v>
      </c>
      <c r="O294" s="27">
        <f>IF(D294/Summary!$C$4=1,1,0)*E294</f>
        <v>0</v>
      </c>
      <c r="P294" s="27">
        <f t="shared" si="207"/>
        <v>0</v>
      </c>
      <c r="Q294" s="27">
        <f>IF(AND(D294/Summary!$C$4&gt;1, D294/Summary!$C$4&lt;=2),1,0)*E294</f>
        <v>0</v>
      </c>
      <c r="R294" s="27">
        <f t="shared" si="208"/>
        <v>0</v>
      </c>
      <c r="S294" s="27">
        <f>IF(AND(D294/Summary!$C$4&gt;2,D294/Summary!$C$4&lt;=5),1,0)*E294</f>
        <v>0</v>
      </c>
      <c r="T294" s="27">
        <f t="shared" si="209"/>
        <v>0</v>
      </c>
      <c r="U294" s="27">
        <f>IF(AND(D294/Summary!$C$4&gt;5, D294/Summary!$C$4&lt;=10),1,0)*E294</f>
        <v>0</v>
      </c>
      <c r="V294" s="27">
        <f t="shared" si="210"/>
        <v>0</v>
      </c>
      <c r="W294" s="27">
        <f>IF(AND(D294/Summary!$C$4&gt;10, D294/Summary!$C$4&lt;=20),1,0)*E294</f>
        <v>0</v>
      </c>
      <c r="X294" s="27">
        <f t="shared" si="211"/>
        <v>0</v>
      </c>
      <c r="Y294" s="27">
        <f>IF(AND(D294/Summary!$C$4&gt;20, D294/Summary!$C$4&lt;=30),1,0)*E294</f>
        <v>0</v>
      </c>
      <c r="Z294" s="27">
        <f t="shared" si="212"/>
        <v>0</v>
      </c>
      <c r="AA294" s="27">
        <f>IF(AND(D294/Summary!$C$4&gt;30, D294/Summary!$C$4&lt;=50),1,0)*E294</f>
        <v>50</v>
      </c>
      <c r="AB294" s="27">
        <f t="shared" si="213"/>
        <v>1514.9999999999998</v>
      </c>
      <c r="AC294" s="27">
        <f>IF(AND(D294/Summary!$C$4&gt;50, D294/Summary!$C$4&lt;=100),1,0)*E294</f>
        <v>0</v>
      </c>
      <c r="AD294" s="27">
        <f t="shared" si="214"/>
        <v>0</v>
      </c>
      <c r="AE294" s="27">
        <f>IF(D294/Summary!$C$4&gt;100,1,0)*E294</f>
        <v>0</v>
      </c>
      <c r="AF294" s="27">
        <f t="shared" si="215"/>
        <v>0</v>
      </c>
      <c r="AG294" s="19">
        <f t="shared" si="216"/>
        <v>50</v>
      </c>
      <c r="AH294" s="19">
        <f t="shared" si="217"/>
        <v>0</v>
      </c>
      <c r="AI294" s="19">
        <f t="shared" si="218"/>
        <v>0</v>
      </c>
      <c r="AJ294" s="27">
        <f t="shared" si="219"/>
        <v>1</v>
      </c>
      <c r="AK294" s="27">
        <f t="shared" si="220"/>
        <v>50</v>
      </c>
      <c r="AL294" s="27">
        <f t="shared" si="221"/>
        <v>1514.9999999999998</v>
      </c>
      <c r="AM294">
        <f t="shared" si="222"/>
        <v>0</v>
      </c>
      <c r="AN294">
        <f t="shared" si="223"/>
        <v>0</v>
      </c>
      <c r="AO294">
        <f t="shared" si="224"/>
        <v>0</v>
      </c>
      <c r="AP294">
        <f t="shared" si="225"/>
        <v>0</v>
      </c>
      <c r="AQ294">
        <f t="shared" si="226"/>
        <v>0</v>
      </c>
      <c r="AR294">
        <f t="shared" si="227"/>
        <v>0</v>
      </c>
      <c r="AS294">
        <f t="shared" si="228"/>
        <v>0</v>
      </c>
      <c r="AT294">
        <f t="shared" si="229"/>
        <v>0</v>
      </c>
      <c r="AU294">
        <f t="shared" si="230"/>
        <v>0</v>
      </c>
      <c r="AV294">
        <f t="shared" si="231"/>
        <v>50</v>
      </c>
      <c r="AW294">
        <f t="shared" si="232"/>
        <v>1514.9999999999998</v>
      </c>
      <c r="AX294">
        <f t="shared" si="233"/>
        <v>0</v>
      </c>
      <c r="AY294">
        <f t="shared" si="234"/>
        <v>0</v>
      </c>
      <c r="AZ294">
        <f t="shared" si="235"/>
        <v>0</v>
      </c>
      <c r="BA294">
        <f t="shared" si="236"/>
        <v>0</v>
      </c>
      <c r="BB294">
        <f t="shared" si="237"/>
        <v>0</v>
      </c>
      <c r="BC294">
        <f t="shared" si="238"/>
        <v>0</v>
      </c>
      <c r="BD294">
        <f t="shared" si="239"/>
        <v>0</v>
      </c>
      <c r="BE294">
        <f t="shared" si="240"/>
        <v>0</v>
      </c>
      <c r="BF294">
        <f t="shared" si="241"/>
        <v>0</v>
      </c>
      <c r="BG294">
        <f t="shared" si="242"/>
        <v>0</v>
      </c>
      <c r="BH294">
        <f t="shared" si="243"/>
        <v>0</v>
      </c>
      <c r="BI294">
        <f t="shared" si="244"/>
        <v>0</v>
      </c>
      <c r="BJ294">
        <f t="shared" si="245"/>
        <v>0</v>
      </c>
      <c r="BK294">
        <f t="shared" si="246"/>
        <v>0</v>
      </c>
      <c r="BL294">
        <v>0</v>
      </c>
      <c r="BM294" t="str">
        <f t="shared" si="253"/>
        <v>Big Win</v>
      </c>
      <c r="BN294" s="32" t="str">
        <f t="shared" si="254"/>
        <v>Free Plays A</v>
      </c>
      <c r="BO294">
        <f>(D294/Summary!$C$4-Summary!$C$8)^2*E294</f>
        <v>43424.044999999998</v>
      </c>
      <c r="BP294">
        <f t="shared" si="247"/>
        <v>0</v>
      </c>
      <c r="BQ294">
        <f t="shared" si="248"/>
        <v>0</v>
      </c>
      <c r="BR294">
        <f t="shared" si="249"/>
        <v>0</v>
      </c>
      <c r="BS294">
        <f t="shared" si="250"/>
        <v>0</v>
      </c>
    </row>
    <row r="295" spans="2:71">
      <c r="B295" s="16">
        <f>Tiers!B296</f>
        <v>293</v>
      </c>
      <c r="C295" s="17" t="str">
        <f>Tiers!Y296</f>
        <v>main-11|main-25|main-31|freeplayA-6|||||| x 1</v>
      </c>
      <c r="D295" s="18">
        <f>Tiers!C296</f>
        <v>55.5</v>
      </c>
      <c r="E295" s="19">
        <f>Frequency!E297</f>
        <v>3</v>
      </c>
      <c r="F295" s="19">
        <f t="shared" si="204"/>
        <v>166.5</v>
      </c>
      <c r="G295" s="19">
        <f>IF(Tiers!D296&gt;1,'Data Analysis'!E295,0)</f>
        <v>0</v>
      </c>
      <c r="H295" s="19">
        <f t="shared" si="205"/>
        <v>0</v>
      </c>
      <c r="I295" s="19">
        <f>IF(AND(D295/Summary!$C$4&gt;0, D295/Summary!$C$4&lt;5),E295,0) * D295</f>
        <v>0</v>
      </c>
      <c r="J295" s="19">
        <f>IF(AND(D295/Summary!$C$4&gt;= 5, D295/Summary!$C$4&lt;10),E295,0) * D295</f>
        <v>0</v>
      </c>
      <c r="K295" s="19">
        <f>IF(AND(D295/Summary!$C$4&gt;=10, D295/Summary!$C$4&lt;25),E295,0)*D295</f>
        <v>0</v>
      </c>
      <c r="L295" s="19">
        <f>IF(D295/Summary!$C$4&gt;=25,E295,0)*D295</f>
        <v>166.5</v>
      </c>
      <c r="M295" s="27">
        <f>IF(AND(D295/Summary!$C$4&gt;0, D295/Summary!$C$4&lt;1),E295,0)</f>
        <v>0</v>
      </c>
      <c r="N295" s="27">
        <f t="shared" si="206"/>
        <v>0</v>
      </c>
      <c r="O295" s="27">
        <f>IF(D295/Summary!$C$4=1,1,0)*E295</f>
        <v>0</v>
      </c>
      <c r="P295" s="27">
        <f t="shared" si="207"/>
        <v>0</v>
      </c>
      <c r="Q295" s="27">
        <f>IF(AND(D295/Summary!$C$4&gt;1, D295/Summary!$C$4&lt;=2),1,0)*E295</f>
        <v>0</v>
      </c>
      <c r="R295" s="27">
        <f t="shared" si="208"/>
        <v>0</v>
      </c>
      <c r="S295" s="27">
        <f>IF(AND(D295/Summary!$C$4&gt;2,D295/Summary!$C$4&lt;=5),1,0)*E295</f>
        <v>0</v>
      </c>
      <c r="T295" s="27">
        <f t="shared" si="209"/>
        <v>0</v>
      </c>
      <c r="U295" s="27">
        <f>IF(AND(D295/Summary!$C$4&gt;5, D295/Summary!$C$4&lt;=10),1,0)*E295</f>
        <v>0</v>
      </c>
      <c r="V295" s="27">
        <f t="shared" si="210"/>
        <v>0</v>
      </c>
      <c r="W295" s="27">
        <f>IF(AND(D295/Summary!$C$4&gt;10, D295/Summary!$C$4&lt;=20),1,0)*E295</f>
        <v>0</v>
      </c>
      <c r="X295" s="27">
        <f t="shared" si="211"/>
        <v>0</v>
      </c>
      <c r="Y295" s="27">
        <f>IF(AND(D295/Summary!$C$4&gt;20, D295/Summary!$C$4&lt;=30),1,0)*E295</f>
        <v>0</v>
      </c>
      <c r="Z295" s="27">
        <f t="shared" si="212"/>
        <v>0</v>
      </c>
      <c r="AA295" s="27">
        <f>IF(AND(D295/Summary!$C$4&gt;30, D295/Summary!$C$4&lt;=50),1,0)*E295</f>
        <v>0</v>
      </c>
      <c r="AB295" s="27">
        <f t="shared" si="213"/>
        <v>0</v>
      </c>
      <c r="AC295" s="27">
        <f>IF(AND(D295/Summary!$C$4&gt;50, D295/Summary!$C$4&lt;=100),1,0)*E295</f>
        <v>3</v>
      </c>
      <c r="AD295" s="27">
        <f t="shared" si="214"/>
        <v>166.5</v>
      </c>
      <c r="AE295" s="27">
        <f>IF(D295/Summary!$C$4&gt;100,1,0)*E295</f>
        <v>0</v>
      </c>
      <c r="AF295" s="27">
        <f t="shared" si="215"/>
        <v>0</v>
      </c>
      <c r="AG295" s="19">
        <f t="shared" si="216"/>
        <v>3</v>
      </c>
      <c r="AH295" s="19">
        <f t="shared" si="217"/>
        <v>0</v>
      </c>
      <c r="AI295" s="19">
        <f t="shared" si="218"/>
        <v>0</v>
      </c>
      <c r="AJ295" s="27">
        <f t="shared" si="219"/>
        <v>1</v>
      </c>
      <c r="AK295" s="27">
        <f t="shared" si="220"/>
        <v>3</v>
      </c>
      <c r="AL295" s="27">
        <f t="shared" si="221"/>
        <v>166.5</v>
      </c>
      <c r="AM295">
        <f t="shared" si="222"/>
        <v>0</v>
      </c>
      <c r="AN295">
        <f t="shared" si="223"/>
        <v>0</v>
      </c>
      <c r="AO295">
        <f t="shared" si="224"/>
        <v>0</v>
      </c>
      <c r="AP295">
        <f t="shared" si="225"/>
        <v>0</v>
      </c>
      <c r="AQ295">
        <f t="shared" si="226"/>
        <v>0</v>
      </c>
      <c r="AR295">
        <f t="shared" si="227"/>
        <v>0</v>
      </c>
      <c r="AS295">
        <f t="shared" si="228"/>
        <v>0</v>
      </c>
      <c r="AT295">
        <f t="shared" si="229"/>
        <v>0</v>
      </c>
      <c r="AU295">
        <f t="shared" si="230"/>
        <v>0</v>
      </c>
      <c r="AV295">
        <f t="shared" si="231"/>
        <v>3</v>
      </c>
      <c r="AW295">
        <f t="shared" si="232"/>
        <v>166.5</v>
      </c>
      <c r="AX295">
        <f t="shared" si="233"/>
        <v>0</v>
      </c>
      <c r="AY295">
        <f t="shared" si="234"/>
        <v>0</v>
      </c>
      <c r="AZ295">
        <f t="shared" si="235"/>
        <v>0</v>
      </c>
      <c r="BA295">
        <f t="shared" si="236"/>
        <v>0</v>
      </c>
      <c r="BB295">
        <f t="shared" si="237"/>
        <v>0</v>
      </c>
      <c r="BC295">
        <f t="shared" si="238"/>
        <v>0</v>
      </c>
      <c r="BD295">
        <f t="shared" si="239"/>
        <v>0</v>
      </c>
      <c r="BE295">
        <f t="shared" si="240"/>
        <v>0</v>
      </c>
      <c r="BF295">
        <f t="shared" si="241"/>
        <v>0</v>
      </c>
      <c r="BG295">
        <f t="shared" si="242"/>
        <v>0</v>
      </c>
      <c r="BH295">
        <f t="shared" si="243"/>
        <v>0</v>
      </c>
      <c r="BI295">
        <f t="shared" si="244"/>
        <v>0</v>
      </c>
      <c r="BJ295">
        <f t="shared" si="245"/>
        <v>0</v>
      </c>
      <c r="BK295">
        <f t="shared" si="246"/>
        <v>0</v>
      </c>
      <c r="BL295">
        <v>0</v>
      </c>
      <c r="BM295" t="str">
        <f t="shared" si="253"/>
        <v>Huge Win</v>
      </c>
      <c r="BN295" s="32" t="str">
        <f t="shared" si="254"/>
        <v>Free Plays A</v>
      </c>
      <c r="BO295">
        <f>(D295/Summary!$C$4-Summary!$C$8)^2*E295</f>
        <v>8966.4267</v>
      </c>
      <c r="BP295">
        <f t="shared" si="247"/>
        <v>0</v>
      </c>
      <c r="BQ295">
        <f t="shared" si="248"/>
        <v>0</v>
      </c>
      <c r="BR295">
        <f t="shared" si="249"/>
        <v>0</v>
      </c>
      <c r="BS295">
        <f t="shared" si="250"/>
        <v>0</v>
      </c>
    </row>
    <row r="296" spans="2:71">
      <c r="B296" s="16">
        <f>Tiers!B297</f>
        <v>294</v>
      </c>
      <c r="C296" s="17" t="str">
        <f>Tiers!Y297</f>
        <v>main-5|main-25|main-12|freeplayA-7|||||| x 1</v>
      </c>
      <c r="D296" s="18">
        <f>Tiers!C297</f>
        <v>65.900000000000006</v>
      </c>
      <c r="E296" s="19">
        <f>Frequency!E298</f>
        <v>3</v>
      </c>
      <c r="F296" s="19">
        <f t="shared" si="204"/>
        <v>197.70000000000002</v>
      </c>
      <c r="G296" s="19">
        <f>IF(Tiers!D297&gt;1,'Data Analysis'!E296,0)</f>
        <v>0</v>
      </c>
      <c r="H296" s="19">
        <f t="shared" si="205"/>
        <v>0</v>
      </c>
      <c r="I296" s="19">
        <f>IF(AND(D296/Summary!$C$4&gt;0, D296/Summary!$C$4&lt;5),E296,0) * D296</f>
        <v>0</v>
      </c>
      <c r="J296" s="19">
        <f>IF(AND(D296/Summary!$C$4&gt;= 5, D296/Summary!$C$4&lt;10),E296,0) * D296</f>
        <v>0</v>
      </c>
      <c r="K296" s="19">
        <f>IF(AND(D296/Summary!$C$4&gt;=10, D296/Summary!$C$4&lt;25),E296,0)*D296</f>
        <v>0</v>
      </c>
      <c r="L296" s="19">
        <f>IF(D296/Summary!$C$4&gt;=25,E296,0)*D296</f>
        <v>197.70000000000002</v>
      </c>
      <c r="M296" s="27">
        <f>IF(AND(D296/Summary!$C$4&gt;0, D296/Summary!$C$4&lt;1),E296,0)</f>
        <v>0</v>
      </c>
      <c r="N296" s="27">
        <f t="shared" si="206"/>
        <v>0</v>
      </c>
      <c r="O296" s="27">
        <f>IF(D296/Summary!$C$4=1,1,0)*E296</f>
        <v>0</v>
      </c>
      <c r="P296" s="27">
        <f t="shared" si="207"/>
        <v>0</v>
      </c>
      <c r="Q296" s="27">
        <f>IF(AND(D296/Summary!$C$4&gt;1, D296/Summary!$C$4&lt;=2),1,0)*E296</f>
        <v>0</v>
      </c>
      <c r="R296" s="27">
        <f t="shared" si="208"/>
        <v>0</v>
      </c>
      <c r="S296" s="27">
        <f>IF(AND(D296/Summary!$C$4&gt;2,D296/Summary!$C$4&lt;=5),1,0)*E296</f>
        <v>0</v>
      </c>
      <c r="T296" s="27">
        <f t="shared" si="209"/>
        <v>0</v>
      </c>
      <c r="U296" s="27">
        <f>IF(AND(D296/Summary!$C$4&gt;5, D296/Summary!$C$4&lt;=10),1,0)*E296</f>
        <v>0</v>
      </c>
      <c r="V296" s="27">
        <f t="shared" si="210"/>
        <v>0</v>
      </c>
      <c r="W296" s="27">
        <f>IF(AND(D296/Summary!$C$4&gt;10, D296/Summary!$C$4&lt;=20),1,0)*E296</f>
        <v>0</v>
      </c>
      <c r="X296" s="27">
        <f t="shared" si="211"/>
        <v>0</v>
      </c>
      <c r="Y296" s="27">
        <f>IF(AND(D296/Summary!$C$4&gt;20, D296/Summary!$C$4&lt;=30),1,0)*E296</f>
        <v>0</v>
      </c>
      <c r="Z296" s="27">
        <f t="shared" si="212"/>
        <v>0</v>
      </c>
      <c r="AA296" s="27">
        <f>IF(AND(D296/Summary!$C$4&gt;30, D296/Summary!$C$4&lt;=50),1,0)*E296</f>
        <v>0</v>
      </c>
      <c r="AB296" s="27">
        <f t="shared" si="213"/>
        <v>0</v>
      </c>
      <c r="AC296" s="27">
        <f>IF(AND(D296/Summary!$C$4&gt;50, D296/Summary!$C$4&lt;=100),1,0)*E296</f>
        <v>3</v>
      </c>
      <c r="AD296" s="27">
        <f t="shared" si="214"/>
        <v>197.70000000000002</v>
      </c>
      <c r="AE296" s="27">
        <f>IF(D296/Summary!$C$4&gt;100,1,0)*E296</f>
        <v>0</v>
      </c>
      <c r="AF296" s="27">
        <f t="shared" si="215"/>
        <v>0</v>
      </c>
      <c r="AG296" s="19">
        <f t="shared" si="216"/>
        <v>3</v>
      </c>
      <c r="AH296" s="19">
        <f t="shared" si="217"/>
        <v>0</v>
      </c>
      <c r="AI296" s="19">
        <f t="shared" si="218"/>
        <v>0</v>
      </c>
      <c r="AJ296" s="27">
        <f t="shared" si="219"/>
        <v>1</v>
      </c>
      <c r="AK296" s="27">
        <f t="shared" si="220"/>
        <v>3</v>
      </c>
      <c r="AL296" s="27">
        <f t="shared" si="221"/>
        <v>197.70000000000002</v>
      </c>
      <c r="AM296">
        <f t="shared" si="222"/>
        <v>0</v>
      </c>
      <c r="AN296">
        <f t="shared" si="223"/>
        <v>0</v>
      </c>
      <c r="AO296">
        <f t="shared" si="224"/>
        <v>0</v>
      </c>
      <c r="AP296">
        <f t="shared" si="225"/>
        <v>0</v>
      </c>
      <c r="AQ296">
        <f t="shared" si="226"/>
        <v>0</v>
      </c>
      <c r="AR296">
        <f t="shared" si="227"/>
        <v>0</v>
      </c>
      <c r="AS296">
        <f t="shared" si="228"/>
        <v>0</v>
      </c>
      <c r="AT296">
        <f t="shared" si="229"/>
        <v>0</v>
      </c>
      <c r="AU296">
        <f t="shared" si="230"/>
        <v>0</v>
      </c>
      <c r="AV296">
        <f t="shared" si="231"/>
        <v>3</v>
      </c>
      <c r="AW296">
        <f t="shared" si="232"/>
        <v>197.70000000000002</v>
      </c>
      <c r="AX296">
        <f t="shared" si="233"/>
        <v>0</v>
      </c>
      <c r="AY296">
        <f t="shared" si="234"/>
        <v>0</v>
      </c>
      <c r="AZ296">
        <f t="shared" si="235"/>
        <v>0</v>
      </c>
      <c r="BA296">
        <f t="shared" si="236"/>
        <v>0</v>
      </c>
      <c r="BB296">
        <f t="shared" si="237"/>
        <v>0</v>
      </c>
      <c r="BC296">
        <f t="shared" si="238"/>
        <v>0</v>
      </c>
      <c r="BD296">
        <f t="shared" si="239"/>
        <v>0</v>
      </c>
      <c r="BE296">
        <f t="shared" si="240"/>
        <v>0</v>
      </c>
      <c r="BF296">
        <f t="shared" si="241"/>
        <v>0</v>
      </c>
      <c r="BG296">
        <f t="shared" si="242"/>
        <v>0</v>
      </c>
      <c r="BH296">
        <f t="shared" si="243"/>
        <v>0</v>
      </c>
      <c r="BI296">
        <f t="shared" si="244"/>
        <v>0</v>
      </c>
      <c r="BJ296">
        <f t="shared" si="245"/>
        <v>0</v>
      </c>
      <c r="BK296">
        <f t="shared" si="246"/>
        <v>0</v>
      </c>
      <c r="BL296">
        <v>0</v>
      </c>
      <c r="BM296" t="str">
        <f t="shared" si="253"/>
        <v>Huge Win</v>
      </c>
      <c r="BN296" s="32" t="str">
        <f t="shared" si="254"/>
        <v>Free Plays A</v>
      </c>
      <c r="BO296">
        <f>(D296/Summary!$C$4-Summary!$C$8)^2*E296</f>
        <v>12702.314700000003</v>
      </c>
      <c r="BP296">
        <f t="shared" si="247"/>
        <v>0</v>
      </c>
      <c r="BQ296">
        <f t="shared" si="248"/>
        <v>0</v>
      </c>
      <c r="BR296">
        <f t="shared" si="249"/>
        <v>0</v>
      </c>
      <c r="BS296">
        <f t="shared" si="250"/>
        <v>0</v>
      </c>
    </row>
    <row r="297" spans="2:71">
      <c r="B297" s="16">
        <f>Tiers!B298</f>
        <v>295</v>
      </c>
      <c r="C297" s="17" t="str">
        <f>Tiers!Y298</f>
        <v>main-3|main-33|main-16|freeplayA-8|||||| x 1</v>
      </c>
      <c r="D297" s="18">
        <f>Tiers!C298</f>
        <v>63</v>
      </c>
      <c r="E297" s="19">
        <f>Frequency!E299</f>
        <v>3</v>
      </c>
      <c r="F297" s="19">
        <f t="shared" si="204"/>
        <v>189</v>
      </c>
      <c r="G297" s="19">
        <f>IF(Tiers!D298&gt;1,'Data Analysis'!E297,0)</f>
        <v>0</v>
      </c>
      <c r="H297" s="19">
        <f t="shared" si="205"/>
        <v>0</v>
      </c>
      <c r="I297" s="19">
        <f>IF(AND(D297/Summary!$C$4&gt;0, D297/Summary!$C$4&lt;5),E297,0) * D297</f>
        <v>0</v>
      </c>
      <c r="J297" s="19">
        <f>IF(AND(D297/Summary!$C$4&gt;= 5, D297/Summary!$C$4&lt;10),E297,0) * D297</f>
        <v>0</v>
      </c>
      <c r="K297" s="19">
        <f>IF(AND(D297/Summary!$C$4&gt;=10, D297/Summary!$C$4&lt;25),E297,0)*D297</f>
        <v>0</v>
      </c>
      <c r="L297" s="19">
        <f>IF(D297/Summary!$C$4&gt;=25,E297,0)*D297</f>
        <v>189</v>
      </c>
      <c r="M297" s="27">
        <f>IF(AND(D297/Summary!$C$4&gt;0, D297/Summary!$C$4&lt;1),E297,0)</f>
        <v>0</v>
      </c>
      <c r="N297" s="27">
        <f t="shared" si="206"/>
        <v>0</v>
      </c>
      <c r="O297" s="27">
        <f>IF(D297/Summary!$C$4=1,1,0)*E297</f>
        <v>0</v>
      </c>
      <c r="P297" s="27">
        <f t="shared" si="207"/>
        <v>0</v>
      </c>
      <c r="Q297" s="27">
        <f>IF(AND(D297/Summary!$C$4&gt;1, D297/Summary!$C$4&lt;=2),1,0)*E297</f>
        <v>0</v>
      </c>
      <c r="R297" s="27">
        <f t="shared" si="208"/>
        <v>0</v>
      </c>
      <c r="S297" s="27">
        <f>IF(AND(D297/Summary!$C$4&gt;2,D297/Summary!$C$4&lt;=5),1,0)*E297</f>
        <v>0</v>
      </c>
      <c r="T297" s="27">
        <f t="shared" si="209"/>
        <v>0</v>
      </c>
      <c r="U297" s="27">
        <f>IF(AND(D297/Summary!$C$4&gt;5, D297/Summary!$C$4&lt;=10),1,0)*E297</f>
        <v>0</v>
      </c>
      <c r="V297" s="27">
        <f t="shared" si="210"/>
        <v>0</v>
      </c>
      <c r="W297" s="27">
        <f>IF(AND(D297/Summary!$C$4&gt;10, D297/Summary!$C$4&lt;=20),1,0)*E297</f>
        <v>0</v>
      </c>
      <c r="X297" s="27">
        <f t="shared" si="211"/>
        <v>0</v>
      </c>
      <c r="Y297" s="27">
        <f>IF(AND(D297/Summary!$C$4&gt;20, D297/Summary!$C$4&lt;=30),1,0)*E297</f>
        <v>0</v>
      </c>
      <c r="Z297" s="27">
        <f t="shared" si="212"/>
        <v>0</v>
      </c>
      <c r="AA297" s="27">
        <f>IF(AND(D297/Summary!$C$4&gt;30, D297/Summary!$C$4&lt;=50),1,0)*E297</f>
        <v>0</v>
      </c>
      <c r="AB297" s="27">
        <f t="shared" si="213"/>
        <v>0</v>
      </c>
      <c r="AC297" s="27">
        <f>IF(AND(D297/Summary!$C$4&gt;50, D297/Summary!$C$4&lt;=100),1,0)*E297</f>
        <v>3</v>
      </c>
      <c r="AD297" s="27">
        <f t="shared" si="214"/>
        <v>189</v>
      </c>
      <c r="AE297" s="27">
        <f>IF(D297/Summary!$C$4&gt;100,1,0)*E297</f>
        <v>0</v>
      </c>
      <c r="AF297" s="27">
        <f t="shared" si="215"/>
        <v>0</v>
      </c>
      <c r="AG297" s="19">
        <f t="shared" si="216"/>
        <v>3</v>
      </c>
      <c r="AH297" s="19">
        <f t="shared" si="217"/>
        <v>0</v>
      </c>
      <c r="AI297" s="19">
        <f t="shared" si="218"/>
        <v>0</v>
      </c>
      <c r="AJ297" s="27">
        <f t="shared" si="219"/>
        <v>1</v>
      </c>
      <c r="AK297" s="27">
        <f t="shared" si="220"/>
        <v>3</v>
      </c>
      <c r="AL297" s="27">
        <f t="shared" si="221"/>
        <v>189</v>
      </c>
      <c r="AM297">
        <f t="shared" si="222"/>
        <v>0</v>
      </c>
      <c r="AN297">
        <f t="shared" si="223"/>
        <v>0</v>
      </c>
      <c r="AO297">
        <f t="shared" si="224"/>
        <v>0</v>
      </c>
      <c r="AP297">
        <f t="shared" si="225"/>
        <v>0</v>
      </c>
      <c r="AQ297">
        <f t="shared" si="226"/>
        <v>0</v>
      </c>
      <c r="AR297">
        <f t="shared" si="227"/>
        <v>0</v>
      </c>
      <c r="AS297">
        <f t="shared" si="228"/>
        <v>0</v>
      </c>
      <c r="AT297">
        <f t="shared" si="229"/>
        <v>0</v>
      </c>
      <c r="AU297">
        <f t="shared" si="230"/>
        <v>0</v>
      </c>
      <c r="AV297">
        <f t="shared" si="231"/>
        <v>3</v>
      </c>
      <c r="AW297">
        <f t="shared" si="232"/>
        <v>189</v>
      </c>
      <c r="AX297">
        <f t="shared" si="233"/>
        <v>0</v>
      </c>
      <c r="AY297">
        <f t="shared" si="234"/>
        <v>0</v>
      </c>
      <c r="AZ297">
        <f t="shared" si="235"/>
        <v>0</v>
      </c>
      <c r="BA297">
        <f t="shared" si="236"/>
        <v>0</v>
      </c>
      <c r="BB297">
        <f t="shared" si="237"/>
        <v>0</v>
      </c>
      <c r="BC297">
        <f t="shared" si="238"/>
        <v>0</v>
      </c>
      <c r="BD297">
        <f t="shared" si="239"/>
        <v>0</v>
      </c>
      <c r="BE297">
        <f t="shared" si="240"/>
        <v>0</v>
      </c>
      <c r="BF297">
        <f t="shared" si="241"/>
        <v>0</v>
      </c>
      <c r="BG297">
        <f t="shared" si="242"/>
        <v>0</v>
      </c>
      <c r="BH297">
        <f t="shared" si="243"/>
        <v>0</v>
      </c>
      <c r="BI297">
        <f t="shared" si="244"/>
        <v>0</v>
      </c>
      <c r="BJ297">
        <f t="shared" si="245"/>
        <v>0</v>
      </c>
      <c r="BK297">
        <f t="shared" si="246"/>
        <v>0</v>
      </c>
      <c r="BL297">
        <v>0</v>
      </c>
      <c r="BM297" t="str">
        <f t="shared" si="253"/>
        <v>Huge Win</v>
      </c>
      <c r="BN297" s="32" t="str">
        <f t="shared" si="254"/>
        <v>Free Plays A</v>
      </c>
      <c r="BO297">
        <f>(D297/Summary!$C$4-Summary!$C$8)^2*E297</f>
        <v>11595.326700000001</v>
      </c>
      <c r="BP297">
        <f t="shared" si="247"/>
        <v>0</v>
      </c>
      <c r="BQ297">
        <f t="shared" si="248"/>
        <v>0</v>
      </c>
      <c r="BR297">
        <f t="shared" si="249"/>
        <v>0</v>
      </c>
      <c r="BS297">
        <f t="shared" si="250"/>
        <v>0</v>
      </c>
    </row>
    <row r="298" spans="2:71">
      <c r="B298" s="16">
        <f>Tiers!B299</f>
        <v>296</v>
      </c>
      <c r="C298" s="17" t="str">
        <f>Tiers!Y299</f>
        <v>main-30|main-6|main-7|freeplayA-9|||||| x 1</v>
      </c>
      <c r="D298" s="18">
        <f>Tiers!C299</f>
        <v>51.599999999999994</v>
      </c>
      <c r="E298" s="19">
        <f>Frequency!E300</f>
        <v>3</v>
      </c>
      <c r="F298" s="19">
        <f t="shared" si="204"/>
        <v>154.79999999999998</v>
      </c>
      <c r="G298" s="19">
        <f>IF(Tiers!D299&gt;1,'Data Analysis'!E298,0)</f>
        <v>0</v>
      </c>
      <c r="H298" s="19">
        <f t="shared" si="205"/>
        <v>0</v>
      </c>
      <c r="I298" s="19">
        <f>IF(AND(D298/Summary!$C$4&gt;0, D298/Summary!$C$4&lt;5),E298,0) * D298</f>
        <v>0</v>
      </c>
      <c r="J298" s="19">
        <f>IF(AND(D298/Summary!$C$4&gt;= 5, D298/Summary!$C$4&lt;10),E298,0) * D298</f>
        <v>0</v>
      </c>
      <c r="K298" s="19">
        <f>IF(AND(D298/Summary!$C$4&gt;=10, D298/Summary!$C$4&lt;25),E298,0)*D298</f>
        <v>0</v>
      </c>
      <c r="L298" s="19">
        <f>IF(D298/Summary!$C$4&gt;=25,E298,0)*D298</f>
        <v>154.79999999999998</v>
      </c>
      <c r="M298" s="27">
        <f>IF(AND(D298/Summary!$C$4&gt;0, D298/Summary!$C$4&lt;1),E298,0)</f>
        <v>0</v>
      </c>
      <c r="N298" s="27">
        <f t="shared" si="206"/>
        <v>0</v>
      </c>
      <c r="O298" s="27">
        <f>IF(D298/Summary!$C$4=1,1,0)*E298</f>
        <v>0</v>
      </c>
      <c r="P298" s="27">
        <f t="shared" si="207"/>
        <v>0</v>
      </c>
      <c r="Q298" s="27">
        <f>IF(AND(D298/Summary!$C$4&gt;1, D298/Summary!$C$4&lt;=2),1,0)*E298</f>
        <v>0</v>
      </c>
      <c r="R298" s="27">
        <f t="shared" si="208"/>
        <v>0</v>
      </c>
      <c r="S298" s="27">
        <f>IF(AND(D298/Summary!$C$4&gt;2,D298/Summary!$C$4&lt;=5),1,0)*E298</f>
        <v>0</v>
      </c>
      <c r="T298" s="27">
        <f t="shared" si="209"/>
        <v>0</v>
      </c>
      <c r="U298" s="27">
        <f>IF(AND(D298/Summary!$C$4&gt;5, D298/Summary!$C$4&lt;=10),1,0)*E298</f>
        <v>0</v>
      </c>
      <c r="V298" s="27">
        <f t="shared" si="210"/>
        <v>0</v>
      </c>
      <c r="W298" s="27">
        <f>IF(AND(D298/Summary!$C$4&gt;10, D298/Summary!$C$4&lt;=20),1,0)*E298</f>
        <v>0</v>
      </c>
      <c r="X298" s="27">
        <f t="shared" si="211"/>
        <v>0</v>
      </c>
      <c r="Y298" s="27">
        <f>IF(AND(D298/Summary!$C$4&gt;20, D298/Summary!$C$4&lt;=30),1,0)*E298</f>
        <v>0</v>
      </c>
      <c r="Z298" s="27">
        <f t="shared" si="212"/>
        <v>0</v>
      </c>
      <c r="AA298" s="27">
        <f>IF(AND(D298/Summary!$C$4&gt;30, D298/Summary!$C$4&lt;=50),1,0)*E298</f>
        <v>0</v>
      </c>
      <c r="AB298" s="27">
        <f t="shared" si="213"/>
        <v>0</v>
      </c>
      <c r="AC298" s="27">
        <f>IF(AND(D298/Summary!$C$4&gt;50, D298/Summary!$C$4&lt;=100),1,0)*E298</f>
        <v>3</v>
      </c>
      <c r="AD298" s="27">
        <f t="shared" si="214"/>
        <v>154.79999999999998</v>
      </c>
      <c r="AE298" s="27">
        <f>IF(D298/Summary!$C$4&gt;100,1,0)*E298</f>
        <v>0</v>
      </c>
      <c r="AF298" s="27">
        <f t="shared" si="215"/>
        <v>0</v>
      </c>
      <c r="AG298" s="19">
        <f t="shared" si="216"/>
        <v>3</v>
      </c>
      <c r="AH298" s="19">
        <f t="shared" si="217"/>
        <v>0</v>
      </c>
      <c r="AI298" s="19">
        <f t="shared" si="218"/>
        <v>0</v>
      </c>
      <c r="AJ298" s="27">
        <f t="shared" si="219"/>
        <v>1</v>
      </c>
      <c r="AK298" s="27">
        <f t="shared" si="220"/>
        <v>3</v>
      </c>
      <c r="AL298" s="27">
        <f t="shared" si="221"/>
        <v>154.79999999999998</v>
      </c>
      <c r="AM298">
        <f t="shared" si="222"/>
        <v>0</v>
      </c>
      <c r="AN298">
        <f t="shared" si="223"/>
        <v>0</v>
      </c>
      <c r="AO298">
        <f t="shared" si="224"/>
        <v>0</v>
      </c>
      <c r="AP298">
        <f t="shared" si="225"/>
        <v>0</v>
      </c>
      <c r="AQ298">
        <f t="shared" si="226"/>
        <v>0</v>
      </c>
      <c r="AR298">
        <f t="shared" si="227"/>
        <v>0</v>
      </c>
      <c r="AS298">
        <f t="shared" si="228"/>
        <v>0</v>
      </c>
      <c r="AT298">
        <f t="shared" si="229"/>
        <v>0</v>
      </c>
      <c r="AU298">
        <f t="shared" si="230"/>
        <v>0</v>
      </c>
      <c r="AV298">
        <f t="shared" si="231"/>
        <v>3</v>
      </c>
      <c r="AW298">
        <f t="shared" si="232"/>
        <v>154.79999999999998</v>
      </c>
      <c r="AX298">
        <f t="shared" si="233"/>
        <v>0</v>
      </c>
      <c r="AY298">
        <f t="shared" si="234"/>
        <v>0</v>
      </c>
      <c r="AZ298">
        <f t="shared" si="235"/>
        <v>0</v>
      </c>
      <c r="BA298">
        <f t="shared" si="236"/>
        <v>0</v>
      </c>
      <c r="BB298">
        <f t="shared" si="237"/>
        <v>0</v>
      </c>
      <c r="BC298">
        <f t="shared" si="238"/>
        <v>0</v>
      </c>
      <c r="BD298">
        <f t="shared" si="239"/>
        <v>0</v>
      </c>
      <c r="BE298">
        <f t="shared" si="240"/>
        <v>0</v>
      </c>
      <c r="BF298">
        <f t="shared" si="241"/>
        <v>0</v>
      </c>
      <c r="BG298">
        <f t="shared" si="242"/>
        <v>0</v>
      </c>
      <c r="BH298">
        <f t="shared" si="243"/>
        <v>0</v>
      </c>
      <c r="BI298">
        <f t="shared" si="244"/>
        <v>0</v>
      </c>
      <c r="BJ298">
        <f t="shared" si="245"/>
        <v>0</v>
      </c>
      <c r="BK298">
        <f t="shared" si="246"/>
        <v>0</v>
      </c>
      <c r="BL298">
        <v>0</v>
      </c>
      <c r="BM298" t="str">
        <f t="shared" si="253"/>
        <v>Huge Win</v>
      </c>
      <c r="BN298" s="32" t="str">
        <f t="shared" si="254"/>
        <v>Free Plays A</v>
      </c>
      <c r="BO298">
        <f>(D298/Summary!$C$4-Summary!$C$8)^2*E298</f>
        <v>7732.7786999999989</v>
      </c>
      <c r="BP298">
        <f t="shared" si="247"/>
        <v>0</v>
      </c>
      <c r="BQ298">
        <f t="shared" si="248"/>
        <v>0</v>
      </c>
      <c r="BR298">
        <f t="shared" si="249"/>
        <v>0</v>
      </c>
      <c r="BS298">
        <f t="shared" si="250"/>
        <v>0</v>
      </c>
    </row>
    <row r="299" spans="2:71">
      <c r="B299" s="16">
        <f>Tiers!B300</f>
        <v>297</v>
      </c>
      <c r="C299" s="17" t="str">
        <f>Tiers!Y300</f>
        <v>main-21|main-25|main-7|freeplayA-10|||||| x 1</v>
      </c>
      <c r="D299" s="18">
        <f>Tiers!C300</f>
        <v>41</v>
      </c>
      <c r="E299" s="19">
        <f>Frequency!E301</f>
        <v>11</v>
      </c>
      <c r="F299" s="19">
        <f t="shared" si="204"/>
        <v>451</v>
      </c>
      <c r="G299" s="19">
        <f>IF(Tiers!D300&gt;1,'Data Analysis'!E299,0)</f>
        <v>0</v>
      </c>
      <c r="H299" s="19">
        <f t="shared" si="205"/>
        <v>0</v>
      </c>
      <c r="I299" s="19">
        <f>IF(AND(D299/Summary!$C$4&gt;0, D299/Summary!$C$4&lt;5),E299,0) * D299</f>
        <v>0</v>
      </c>
      <c r="J299" s="19">
        <f>IF(AND(D299/Summary!$C$4&gt;= 5, D299/Summary!$C$4&lt;10),E299,0) * D299</f>
        <v>0</v>
      </c>
      <c r="K299" s="19">
        <f>IF(AND(D299/Summary!$C$4&gt;=10, D299/Summary!$C$4&lt;25),E299,0)*D299</f>
        <v>0</v>
      </c>
      <c r="L299" s="19">
        <f>IF(D299/Summary!$C$4&gt;=25,E299,0)*D299</f>
        <v>451</v>
      </c>
      <c r="M299" s="27">
        <f>IF(AND(D299/Summary!$C$4&gt;0, D299/Summary!$C$4&lt;1),E299,0)</f>
        <v>0</v>
      </c>
      <c r="N299" s="27">
        <f t="shared" si="206"/>
        <v>0</v>
      </c>
      <c r="O299" s="27">
        <f>IF(D299/Summary!$C$4=1,1,0)*E299</f>
        <v>0</v>
      </c>
      <c r="P299" s="27">
        <f t="shared" si="207"/>
        <v>0</v>
      </c>
      <c r="Q299" s="27">
        <f>IF(AND(D299/Summary!$C$4&gt;1, D299/Summary!$C$4&lt;=2),1,0)*E299</f>
        <v>0</v>
      </c>
      <c r="R299" s="27">
        <f t="shared" si="208"/>
        <v>0</v>
      </c>
      <c r="S299" s="27">
        <f>IF(AND(D299/Summary!$C$4&gt;2,D299/Summary!$C$4&lt;=5),1,0)*E299</f>
        <v>0</v>
      </c>
      <c r="T299" s="27">
        <f t="shared" si="209"/>
        <v>0</v>
      </c>
      <c r="U299" s="27">
        <f>IF(AND(D299/Summary!$C$4&gt;5, D299/Summary!$C$4&lt;=10),1,0)*E299</f>
        <v>0</v>
      </c>
      <c r="V299" s="27">
        <f t="shared" si="210"/>
        <v>0</v>
      </c>
      <c r="W299" s="27">
        <f>IF(AND(D299/Summary!$C$4&gt;10, D299/Summary!$C$4&lt;=20),1,0)*E299</f>
        <v>0</v>
      </c>
      <c r="X299" s="27">
        <f t="shared" si="211"/>
        <v>0</v>
      </c>
      <c r="Y299" s="27">
        <f>IF(AND(D299/Summary!$C$4&gt;20, D299/Summary!$C$4&lt;=30),1,0)*E299</f>
        <v>0</v>
      </c>
      <c r="Z299" s="27">
        <f t="shared" si="212"/>
        <v>0</v>
      </c>
      <c r="AA299" s="27">
        <f>IF(AND(D299/Summary!$C$4&gt;30, D299/Summary!$C$4&lt;=50),1,0)*E299</f>
        <v>11</v>
      </c>
      <c r="AB299" s="27">
        <f t="shared" si="213"/>
        <v>451</v>
      </c>
      <c r="AC299" s="27">
        <f>IF(AND(D299/Summary!$C$4&gt;50, D299/Summary!$C$4&lt;=100),1,0)*E299</f>
        <v>0</v>
      </c>
      <c r="AD299" s="27">
        <f t="shared" si="214"/>
        <v>0</v>
      </c>
      <c r="AE299" s="27">
        <f>IF(D299/Summary!$C$4&gt;100,1,0)*E299</f>
        <v>0</v>
      </c>
      <c r="AF299" s="27">
        <f t="shared" si="215"/>
        <v>0</v>
      </c>
      <c r="AG299" s="19">
        <f t="shared" si="216"/>
        <v>11</v>
      </c>
      <c r="AH299" s="19">
        <f t="shared" si="217"/>
        <v>0</v>
      </c>
      <c r="AI299" s="19">
        <f t="shared" si="218"/>
        <v>0</v>
      </c>
      <c r="AJ299" s="27">
        <f t="shared" si="219"/>
        <v>1</v>
      </c>
      <c r="AK299" s="27">
        <f t="shared" si="220"/>
        <v>11</v>
      </c>
      <c r="AL299" s="27">
        <f t="shared" si="221"/>
        <v>451</v>
      </c>
      <c r="AM299">
        <f t="shared" si="222"/>
        <v>0</v>
      </c>
      <c r="AN299">
        <f t="shared" si="223"/>
        <v>0</v>
      </c>
      <c r="AO299">
        <f t="shared" si="224"/>
        <v>0</v>
      </c>
      <c r="AP299">
        <f t="shared" si="225"/>
        <v>0</v>
      </c>
      <c r="AQ299">
        <f t="shared" si="226"/>
        <v>0</v>
      </c>
      <c r="AR299">
        <f t="shared" si="227"/>
        <v>0</v>
      </c>
      <c r="AS299">
        <f t="shared" si="228"/>
        <v>0</v>
      </c>
      <c r="AT299">
        <f t="shared" si="229"/>
        <v>0</v>
      </c>
      <c r="AU299">
        <f t="shared" si="230"/>
        <v>0</v>
      </c>
      <c r="AV299">
        <f t="shared" si="231"/>
        <v>11</v>
      </c>
      <c r="AW299">
        <f t="shared" si="232"/>
        <v>451</v>
      </c>
      <c r="AX299">
        <f t="shared" si="233"/>
        <v>0</v>
      </c>
      <c r="AY299">
        <f t="shared" si="234"/>
        <v>0</v>
      </c>
      <c r="AZ299">
        <f t="shared" si="235"/>
        <v>0</v>
      </c>
      <c r="BA299">
        <f t="shared" si="236"/>
        <v>0</v>
      </c>
      <c r="BB299">
        <f t="shared" si="237"/>
        <v>0</v>
      </c>
      <c r="BC299">
        <f t="shared" si="238"/>
        <v>0</v>
      </c>
      <c r="BD299">
        <f t="shared" si="239"/>
        <v>0</v>
      </c>
      <c r="BE299">
        <f t="shared" si="240"/>
        <v>0</v>
      </c>
      <c r="BF299">
        <f t="shared" si="241"/>
        <v>0</v>
      </c>
      <c r="BG299">
        <f t="shared" si="242"/>
        <v>0</v>
      </c>
      <c r="BH299">
        <f t="shared" si="243"/>
        <v>0</v>
      </c>
      <c r="BI299">
        <f t="shared" si="244"/>
        <v>0</v>
      </c>
      <c r="BJ299">
        <f t="shared" si="245"/>
        <v>0</v>
      </c>
      <c r="BK299">
        <f t="shared" si="246"/>
        <v>0</v>
      </c>
      <c r="BL299">
        <v>0</v>
      </c>
      <c r="BM299" t="str">
        <f t="shared" si="253"/>
        <v>Big Win</v>
      </c>
      <c r="BN299" s="32" t="str">
        <f t="shared" si="254"/>
        <v>Free Plays A</v>
      </c>
      <c r="BO299">
        <f>(D299/Summary!$C$4-Summary!$C$8)^2*E299</f>
        <v>17749.9179</v>
      </c>
      <c r="BP299">
        <f t="shared" si="247"/>
        <v>0</v>
      </c>
      <c r="BQ299">
        <f t="shared" si="248"/>
        <v>0</v>
      </c>
      <c r="BR299">
        <f t="shared" si="249"/>
        <v>0</v>
      </c>
      <c r="BS299">
        <f t="shared" si="250"/>
        <v>0</v>
      </c>
    </row>
    <row r="300" spans="2:71">
      <c r="B300" s="16">
        <f>Tiers!B301</f>
        <v>298</v>
      </c>
      <c r="C300" s="17" t="str">
        <f>Tiers!Y301</f>
        <v>main-5|main-25|main-25|freeplayA-4|||||| x 1</v>
      </c>
      <c r="D300" s="18">
        <f>Tiers!C301</f>
        <v>60.6</v>
      </c>
      <c r="E300" s="19">
        <f>Frequency!E302</f>
        <v>8</v>
      </c>
      <c r="F300" s="19">
        <f t="shared" si="204"/>
        <v>484.8</v>
      </c>
      <c r="G300" s="19">
        <f>IF(Tiers!D301&gt;1,'Data Analysis'!E300,0)</f>
        <v>0</v>
      </c>
      <c r="H300" s="19">
        <f t="shared" si="205"/>
        <v>0</v>
      </c>
      <c r="I300" s="19">
        <f>IF(AND(D300/Summary!$C$4&gt;0, D300/Summary!$C$4&lt;5),E300,0) * D300</f>
        <v>0</v>
      </c>
      <c r="J300" s="19">
        <f>IF(AND(D300/Summary!$C$4&gt;= 5, D300/Summary!$C$4&lt;10),E300,0) * D300</f>
        <v>0</v>
      </c>
      <c r="K300" s="19">
        <f>IF(AND(D300/Summary!$C$4&gt;=10, D300/Summary!$C$4&lt;25),E300,0)*D300</f>
        <v>0</v>
      </c>
      <c r="L300" s="19">
        <f>IF(D300/Summary!$C$4&gt;=25,E300,0)*D300</f>
        <v>484.8</v>
      </c>
      <c r="M300" s="27">
        <f>IF(AND(D300/Summary!$C$4&gt;0, D300/Summary!$C$4&lt;1),E300,0)</f>
        <v>0</v>
      </c>
      <c r="N300" s="27">
        <f t="shared" si="206"/>
        <v>0</v>
      </c>
      <c r="O300" s="27">
        <f>IF(D300/Summary!$C$4=1,1,0)*E300</f>
        <v>0</v>
      </c>
      <c r="P300" s="27">
        <f t="shared" si="207"/>
        <v>0</v>
      </c>
      <c r="Q300" s="27">
        <f>IF(AND(D300/Summary!$C$4&gt;1, D300/Summary!$C$4&lt;=2),1,0)*E300</f>
        <v>0</v>
      </c>
      <c r="R300" s="27">
        <f t="shared" si="208"/>
        <v>0</v>
      </c>
      <c r="S300" s="27">
        <f>IF(AND(D300/Summary!$C$4&gt;2,D300/Summary!$C$4&lt;=5),1,0)*E300</f>
        <v>0</v>
      </c>
      <c r="T300" s="27">
        <f t="shared" si="209"/>
        <v>0</v>
      </c>
      <c r="U300" s="27">
        <f>IF(AND(D300/Summary!$C$4&gt;5, D300/Summary!$C$4&lt;=10),1,0)*E300</f>
        <v>0</v>
      </c>
      <c r="V300" s="27">
        <f t="shared" si="210"/>
        <v>0</v>
      </c>
      <c r="W300" s="27">
        <f>IF(AND(D300/Summary!$C$4&gt;10, D300/Summary!$C$4&lt;=20),1,0)*E300</f>
        <v>0</v>
      </c>
      <c r="X300" s="27">
        <f t="shared" si="211"/>
        <v>0</v>
      </c>
      <c r="Y300" s="27">
        <f>IF(AND(D300/Summary!$C$4&gt;20, D300/Summary!$C$4&lt;=30),1,0)*E300</f>
        <v>0</v>
      </c>
      <c r="Z300" s="27">
        <f t="shared" si="212"/>
        <v>0</v>
      </c>
      <c r="AA300" s="27">
        <f>IF(AND(D300/Summary!$C$4&gt;30, D300/Summary!$C$4&lt;=50),1,0)*E300</f>
        <v>0</v>
      </c>
      <c r="AB300" s="27">
        <f t="shared" si="213"/>
        <v>0</v>
      </c>
      <c r="AC300" s="27">
        <f>IF(AND(D300/Summary!$C$4&gt;50, D300/Summary!$C$4&lt;=100),1,0)*E300</f>
        <v>8</v>
      </c>
      <c r="AD300" s="27">
        <f t="shared" si="214"/>
        <v>484.8</v>
      </c>
      <c r="AE300" s="27">
        <f>IF(D300/Summary!$C$4&gt;100,1,0)*E300</f>
        <v>0</v>
      </c>
      <c r="AF300" s="27">
        <f t="shared" si="215"/>
        <v>0</v>
      </c>
      <c r="AG300" s="19">
        <f t="shared" si="216"/>
        <v>8</v>
      </c>
      <c r="AH300" s="19">
        <f t="shared" si="217"/>
        <v>0</v>
      </c>
      <c r="AI300" s="19">
        <f t="shared" si="218"/>
        <v>0</v>
      </c>
      <c r="AJ300" s="27">
        <f t="shared" si="219"/>
        <v>1</v>
      </c>
      <c r="AK300" s="27">
        <f t="shared" si="220"/>
        <v>8</v>
      </c>
      <c r="AL300" s="27">
        <f t="shared" si="221"/>
        <v>484.8</v>
      </c>
      <c r="AM300">
        <f t="shared" si="222"/>
        <v>0</v>
      </c>
      <c r="AN300">
        <f t="shared" si="223"/>
        <v>0</v>
      </c>
      <c r="AO300">
        <f t="shared" si="224"/>
        <v>0</v>
      </c>
      <c r="AP300">
        <f t="shared" si="225"/>
        <v>0</v>
      </c>
      <c r="AQ300">
        <f t="shared" si="226"/>
        <v>0</v>
      </c>
      <c r="AR300">
        <f t="shared" si="227"/>
        <v>0</v>
      </c>
      <c r="AS300">
        <f t="shared" si="228"/>
        <v>0</v>
      </c>
      <c r="AT300">
        <f t="shared" si="229"/>
        <v>0</v>
      </c>
      <c r="AU300">
        <f t="shared" si="230"/>
        <v>0</v>
      </c>
      <c r="AV300">
        <f t="shared" si="231"/>
        <v>8</v>
      </c>
      <c r="AW300">
        <f t="shared" si="232"/>
        <v>484.8</v>
      </c>
      <c r="AX300">
        <f t="shared" si="233"/>
        <v>0</v>
      </c>
      <c r="AY300">
        <f t="shared" si="234"/>
        <v>0</v>
      </c>
      <c r="AZ300">
        <f t="shared" si="235"/>
        <v>0</v>
      </c>
      <c r="BA300">
        <f t="shared" si="236"/>
        <v>0</v>
      </c>
      <c r="BB300">
        <f t="shared" si="237"/>
        <v>0</v>
      </c>
      <c r="BC300">
        <f t="shared" si="238"/>
        <v>0</v>
      </c>
      <c r="BD300">
        <f t="shared" si="239"/>
        <v>0</v>
      </c>
      <c r="BE300">
        <f t="shared" si="240"/>
        <v>0</v>
      </c>
      <c r="BF300">
        <f t="shared" si="241"/>
        <v>0</v>
      </c>
      <c r="BG300">
        <f t="shared" si="242"/>
        <v>0</v>
      </c>
      <c r="BH300">
        <f t="shared" si="243"/>
        <v>0</v>
      </c>
      <c r="BI300">
        <f t="shared" si="244"/>
        <v>0</v>
      </c>
      <c r="BJ300">
        <f t="shared" si="245"/>
        <v>0</v>
      </c>
      <c r="BK300">
        <f t="shared" si="246"/>
        <v>0</v>
      </c>
      <c r="BL300">
        <v>0</v>
      </c>
      <c r="BM300" t="str">
        <f t="shared" si="253"/>
        <v>Huge Win</v>
      </c>
      <c r="BN300" s="32" t="str">
        <f t="shared" si="254"/>
        <v>Free Plays A</v>
      </c>
      <c r="BO300">
        <f>(D300/Summary!$C$4-Summary!$C$8)^2*E300</f>
        <v>28579.623200000002</v>
      </c>
      <c r="BP300">
        <f t="shared" si="247"/>
        <v>0</v>
      </c>
      <c r="BQ300">
        <f t="shared" si="248"/>
        <v>0</v>
      </c>
      <c r="BR300">
        <f t="shared" si="249"/>
        <v>0</v>
      </c>
      <c r="BS300">
        <f t="shared" si="250"/>
        <v>0</v>
      </c>
    </row>
    <row r="301" spans="2:71">
      <c r="B301" s="16">
        <f>Tiers!B302</f>
        <v>299</v>
      </c>
      <c r="C301" s="17" t="str">
        <f>Tiers!Y302</f>
        <v>main-5|main-3|main-5|main-15|freeplayA-4||||| x 1</v>
      </c>
      <c r="D301" s="18">
        <f>Tiers!C302</f>
        <v>38.6</v>
      </c>
      <c r="E301" s="19">
        <f>Frequency!E303</f>
        <v>50</v>
      </c>
      <c r="F301" s="19">
        <f t="shared" si="204"/>
        <v>1930</v>
      </c>
      <c r="G301" s="19">
        <f>IF(Tiers!D302&gt;1,'Data Analysis'!E301,0)</f>
        <v>0</v>
      </c>
      <c r="H301" s="19">
        <f t="shared" si="205"/>
        <v>0</v>
      </c>
      <c r="I301" s="19">
        <f>IF(AND(D301/Summary!$C$4&gt;0, D301/Summary!$C$4&lt;5),E301,0) * D301</f>
        <v>0</v>
      </c>
      <c r="J301" s="19">
        <f>IF(AND(D301/Summary!$C$4&gt;= 5, D301/Summary!$C$4&lt;10),E301,0) * D301</f>
        <v>0</v>
      </c>
      <c r="K301" s="19">
        <f>IF(AND(D301/Summary!$C$4&gt;=10, D301/Summary!$C$4&lt;25),E301,0)*D301</f>
        <v>0</v>
      </c>
      <c r="L301" s="19">
        <f>IF(D301/Summary!$C$4&gt;=25,E301,0)*D301</f>
        <v>1930</v>
      </c>
      <c r="M301" s="27">
        <f>IF(AND(D301/Summary!$C$4&gt;0, D301/Summary!$C$4&lt;1),E301,0)</f>
        <v>0</v>
      </c>
      <c r="N301" s="27">
        <f t="shared" si="206"/>
        <v>0</v>
      </c>
      <c r="O301" s="27">
        <f>IF(D301/Summary!$C$4=1,1,0)*E301</f>
        <v>0</v>
      </c>
      <c r="P301" s="27">
        <f t="shared" si="207"/>
        <v>0</v>
      </c>
      <c r="Q301" s="27">
        <f>IF(AND(D301/Summary!$C$4&gt;1, D301/Summary!$C$4&lt;=2),1,0)*E301</f>
        <v>0</v>
      </c>
      <c r="R301" s="27">
        <f t="shared" si="208"/>
        <v>0</v>
      </c>
      <c r="S301" s="27">
        <f>IF(AND(D301/Summary!$C$4&gt;2,D301/Summary!$C$4&lt;=5),1,0)*E301</f>
        <v>0</v>
      </c>
      <c r="T301" s="27">
        <f t="shared" si="209"/>
        <v>0</v>
      </c>
      <c r="U301" s="27">
        <f>IF(AND(D301/Summary!$C$4&gt;5, D301/Summary!$C$4&lt;=10),1,0)*E301</f>
        <v>0</v>
      </c>
      <c r="V301" s="27">
        <f t="shared" si="210"/>
        <v>0</v>
      </c>
      <c r="W301" s="27">
        <f>IF(AND(D301/Summary!$C$4&gt;10, D301/Summary!$C$4&lt;=20),1,0)*E301</f>
        <v>0</v>
      </c>
      <c r="X301" s="27">
        <f t="shared" si="211"/>
        <v>0</v>
      </c>
      <c r="Y301" s="27">
        <f>IF(AND(D301/Summary!$C$4&gt;20, D301/Summary!$C$4&lt;=30),1,0)*E301</f>
        <v>0</v>
      </c>
      <c r="Z301" s="27">
        <f t="shared" si="212"/>
        <v>0</v>
      </c>
      <c r="AA301" s="27">
        <f>IF(AND(D301/Summary!$C$4&gt;30, D301/Summary!$C$4&lt;=50),1,0)*E301</f>
        <v>50</v>
      </c>
      <c r="AB301" s="27">
        <f t="shared" si="213"/>
        <v>1930</v>
      </c>
      <c r="AC301" s="27">
        <f>IF(AND(D301/Summary!$C$4&gt;50, D301/Summary!$C$4&lt;=100),1,0)*E301</f>
        <v>0</v>
      </c>
      <c r="AD301" s="27">
        <f t="shared" si="214"/>
        <v>0</v>
      </c>
      <c r="AE301" s="27">
        <f>IF(D301/Summary!$C$4&gt;100,1,0)*E301</f>
        <v>0</v>
      </c>
      <c r="AF301" s="27">
        <f t="shared" si="215"/>
        <v>0</v>
      </c>
      <c r="AG301" s="19">
        <f t="shared" si="216"/>
        <v>50</v>
      </c>
      <c r="AH301" s="19">
        <f t="shared" si="217"/>
        <v>0</v>
      </c>
      <c r="AI301" s="19">
        <f t="shared" si="218"/>
        <v>0</v>
      </c>
      <c r="AJ301" s="27">
        <f t="shared" si="219"/>
        <v>1</v>
      </c>
      <c r="AK301" s="27">
        <f t="shared" si="220"/>
        <v>50</v>
      </c>
      <c r="AL301" s="27">
        <f t="shared" si="221"/>
        <v>1930</v>
      </c>
      <c r="AM301">
        <f t="shared" si="222"/>
        <v>0</v>
      </c>
      <c r="AN301">
        <f t="shared" si="223"/>
        <v>0</v>
      </c>
      <c r="AO301">
        <f t="shared" si="224"/>
        <v>0</v>
      </c>
      <c r="AP301">
        <f t="shared" si="225"/>
        <v>0</v>
      </c>
      <c r="AQ301">
        <f t="shared" si="226"/>
        <v>0</v>
      </c>
      <c r="AR301">
        <f t="shared" si="227"/>
        <v>0</v>
      </c>
      <c r="AS301">
        <f t="shared" si="228"/>
        <v>0</v>
      </c>
      <c r="AT301">
        <f t="shared" si="229"/>
        <v>0</v>
      </c>
      <c r="AU301">
        <f t="shared" si="230"/>
        <v>0</v>
      </c>
      <c r="AV301">
        <f t="shared" si="231"/>
        <v>50</v>
      </c>
      <c r="AW301">
        <f t="shared" si="232"/>
        <v>1930</v>
      </c>
      <c r="AX301">
        <f t="shared" si="233"/>
        <v>0</v>
      </c>
      <c r="AY301">
        <f t="shared" si="234"/>
        <v>0</v>
      </c>
      <c r="AZ301">
        <f t="shared" si="235"/>
        <v>0</v>
      </c>
      <c r="BA301">
        <f t="shared" si="236"/>
        <v>0</v>
      </c>
      <c r="BB301">
        <f t="shared" si="237"/>
        <v>0</v>
      </c>
      <c r="BC301">
        <f t="shared" si="238"/>
        <v>0</v>
      </c>
      <c r="BD301">
        <f t="shared" si="239"/>
        <v>0</v>
      </c>
      <c r="BE301">
        <f t="shared" si="240"/>
        <v>0</v>
      </c>
      <c r="BF301">
        <f t="shared" si="241"/>
        <v>0</v>
      </c>
      <c r="BG301">
        <f t="shared" si="242"/>
        <v>0</v>
      </c>
      <c r="BH301">
        <f t="shared" si="243"/>
        <v>0</v>
      </c>
      <c r="BI301">
        <f t="shared" si="244"/>
        <v>0</v>
      </c>
      <c r="BJ301">
        <f t="shared" si="245"/>
        <v>0</v>
      </c>
      <c r="BK301">
        <f t="shared" si="246"/>
        <v>0</v>
      </c>
      <c r="BL301">
        <v>0</v>
      </c>
      <c r="BM301" t="str">
        <f t="shared" si="253"/>
        <v>Big Win</v>
      </c>
      <c r="BN301" s="32" t="str">
        <f t="shared" si="254"/>
        <v>Free Plays A</v>
      </c>
      <c r="BO301">
        <f>(D301/Summary!$C$4-Summary!$C$8)^2*E301</f>
        <v>71328.645000000019</v>
      </c>
      <c r="BP301">
        <f t="shared" si="247"/>
        <v>0</v>
      </c>
      <c r="BQ301">
        <f t="shared" si="248"/>
        <v>0</v>
      </c>
      <c r="BR301">
        <f t="shared" si="249"/>
        <v>0</v>
      </c>
      <c r="BS301">
        <f t="shared" si="250"/>
        <v>0</v>
      </c>
    </row>
    <row r="302" spans="2:71">
      <c r="B302" s="16">
        <f>Tiers!B303</f>
        <v>300</v>
      </c>
      <c r="C302" s="17" t="str">
        <f>Tiers!Y303</f>
        <v>main-5|main-13|main-25|main-22|freeplayA-5||||| x 1</v>
      </c>
      <c r="D302" s="18">
        <f>Tiers!C303</f>
        <v>57.3</v>
      </c>
      <c r="E302" s="19">
        <f>Frequency!E304</f>
        <v>3</v>
      </c>
      <c r="F302" s="19">
        <f t="shared" si="204"/>
        <v>171.89999999999998</v>
      </c>
      <c r="G302" s="19">
        <f>IF(Tiers!D303&gt;1,'Data Analysis'!E302,0)</f>
        <v>0</v>
      </c>
      <c r="H302" s="19">
        <f t="shared" si="205"/>
        <v>0</v>
      </c>
      <c r="I302" s="19">
        <f>IF(AND(D302/Summary!$C$4&gt;0, D302/Summary!$C$4&lt;5),E302,0) * D302</f>
        <v>0</v>
      </c>
      <c r="J302" s="19">
        <f>IF(AND(D302/Summary!$C$4&gt;= 5, D302/Summary!$C$4&lt;10),E302,0) * D302</f>
        <v>0</v>
      </c>
      <c r="K302" s="19">
        <f>IF(AND(D302/Summary!$C$4&gt;=10, D302/Summary!$C$4&lt;25),E302,0)*D302</f>
        <v>0</v>
      </c>
      <c r="L302" s="19">
        <f>IF(D302/Summary!$C$4&gt;=25,E302,0)*D302</f>
        <v>171.89999999999998</v>
      </c>
      <c r="M302" s="27">
        <f>IF(AND(D302/Summary!$C$4&gt;0, D302/Summary!$C$4&lt;1),E302,0)</f>
        <v>0</v>
      </c>
      <c r="N302" s="27">
        <f t="shared" si="206"/>
        <v>0</v>
      </c>
      <c r="O302" s="27">
        <f>IF(D302/Summary!$C$4=1,1,0)*E302</f>
        <v>0</v>
      </c>
      <c r="P302" s="27">
        <f t="shared" si="207"/>
        <v>0</v>
      </c>
      <c r="Q302" s="27">
        <f>IF(AND(D302/Summary!$C$4&gt;1, D302/Summary!$C$4&lt;=2),1,0)*E302</f>
        <v>0</v>
      </c>
      <c r="R302" s="27">
        <f t="shared" si="208"/>
        <v>0</v>
      </c>
      <c r="S302" s="27">
        <f>IF(AND(D302/Summary!$C$4&gt;2,D302/Summary!$C$4&lt;=5),1,0)*E302</f>
        <v>0</v>
      </c>
      <c r="T302" s="27">
        <f t="shared" si="209"/>
        <v>0</v>
      </c>
      <c r="U302" s="27">
        <f>IF(AND(D302/Summary!$C$4&gt;5, D302/Summary!$C$4&lt;=10),1,0)*E302</f>
        <v>0</v>
      </c>
      <c r="V302" s="27">
        <f t="shared" si="210"/>
        <v>0</v>
      </c>
      <c r="W302" s="27">
        <f>IF(AND(D302/Summary!$C$4&gt;10, D302/Summary!$C$4&lt;=20),1,0)*E302</f>
        <v>0</v>
      </c>
      <c r="X302" s="27">
        <f t="shared" si="211"/>
        <v>0</v>
      </c>
      <c r="Y302" s="27">
        <f>IF(AND(D302/Summary!$C$4&gt;20, D302/Summary!$C$4&lt;=30),1,0)*E302</f>
        <v>0</v>
      </c>
      <c r="Z302" s="27">
        <f t="shared" si="212"/>
        <v>0</v>
      </c>
      <c r="AA302" s="27">
        <f>IF(AND(D302/Summary!$C$4&gt;30, D302/Summary!$C$4&lt;=50),1,0)*E302</f>
        <v>0</v>
      </c>
      <c r="AB302" s="27">
        <f t="shared" si="213"/>
        <v>0</v>
      </c>
      <c r="AC302" s="27">
        <f>IF(AND(D302/Summary!$C$4&gt;50, D302/Summary!$C$4&lt;=100),1,0)*E302</f>
        <v>3</v>
      </c>
      <c r="AD302" s="27">
        <f t="shared" si="214"/>
        <v>171.89999999999998</v>
      </c>
      <c r="AE302" s="27">
        <f>IF(D302/Summary!$C$4&gt;100,1,0)*E302</f>
        <v>0</v>
      </c>
      <c r="AF302" s="27">
        <f t="shared" si="215"/>
        <v>0</v>
      </c>
      <c r="AG302" s="19">
        <f t="shared" si="216"/>
        <v>3</v>
      </c>
      <c r="AH302" s="19">
        <f t="shared" si="217"/>
        <v>0</v>
      </c>
      <c r="AI302" s="19">
        <f t="shared" si="218"/>
        <v>0</v>
      </c>
      <c r="AJ302" s="27">
        <f t="shared" si="219"/>
        <v>1</v>
      </c>
      <c r="AK302" s="27">
        <f t="shared" si="220"/>
        <v>3</v>
      </c>
      <c r="AL302" s="27">
        <f t="shared" si="221"/>
        <v>171.89999999999998</v>
      </c>
      <c r="AM302">
        <f t="shared" si="222"/>
        <v>0</v>
      </c>
      <c r="AN302">
        <f t="shared" si="223"/>
        <v>0</v>
      </c>
      <c r="AO302">
        <f t="shared" si="224"/>
        <v>0</v>
      </c>
      <c r="AP302">
        <f t="shared" si="225"/>
        <v>0</v>
      </c>
      <c r="AQ302">
        <f t="shared" si="226"/>
        <v>0</v>
      </c>
      <c r="AR302">
        <f t="shared" si="227"/>
        <v>0</v>
      </c>
      <c r="AS302">
        <f t="shared" si="228"/>
        <v>0</v>
      </c>
      <c r="AT302">
        <f t="shared" si="229"/>
        <v>0</v>
      </c>
      <c r="AU302">
        <f t="shared" si="230"/>
        <v>0</v>
      </c>
      <c r="AV302">
        <f t="shared" si="231"/>
        <v>3</v>
      </c>
      <c r="AW302">
        <f t="shared" si="232"/>
        <v>171.89999999999998</v>
      </c>
      <c r="AX302">
        <f t="shared" si="233"/>
        <v>0</v>
      </c>
      <c r="AY302">
        <f t="shared" si="234"/>
        <v>0</v>
      </c>
      <c r="AZ302">
        <f t="shared" si="235"/>
        <v>0</v>
      </c>
      <c r="BA302">
        <f t="shared" si="236"/>
        <v>0</v>
      </c>
      <c r="BB302">
        <f t="shared" si="237"/>
        <v>0</v>
      </c>
      <c r="BC302">
        <f t="shared" si="238"/>
        <v>0</v>
      </c>
      <c r="BD302">
        <f t="shared" si="239"/>
        <v>0</v>
      </c>
      <c r="BE302">
        <f t="shared" si="240"/>
        <v>0</v>
      </c>
      <c r="BF302">
        <f t="shared" si="241"/>
        <v>0</v>
      </c>
      <c r="BG302">
        <f t="shared" si="242"/>
        <v>0</v>
      </c>
      <c r="BH302">
        <f t="shared" si="243"/>
        <v>0</v>
      </c>
      <c r="BI302">
        <f t="shared" si="244"/>
        <v>0</v>
      </c>
      <c r="BJ302">
        <f t="shared" si="245"/>
        <v>0</v>
      </c>
      <c r="BK302">
        <f t="shared" si="246"/>
        <v>0</v>
      </c>
      <c r="BL302">
        <v>0</v>
      </c>
      <c r="BM302" t="str">
        <f t="shared" si="253"/>
        <v>Huge Win</v>
      </c>
      <c r="BN302" s="32" t="str">
        <f t="shared" si="254"/>
        <v>Free Plays A</v>
      </c>
      <c r="BO302">
        <f>(D302/Summary!$C$4-Summary!$C$8)^2*E302</f>
        <v>9566.582699999999</v>
      </c>
      <c r="BP302">
        <f t="shared" si="247"/>
        <v>0</v>
      </c>
      <c r="BQ302">
        <f t="shared" si="248"/>
        <v>0</v>
      </c>
      <c r="BR302">
        <f t="shared" si="249"/>
        <v>0</v>
      </c>
      <c r="BS302">
        <f t="shared" si="250"/>
        <v>0</v>
      </c>
    </row>
    <row r="303" spans="2:71">
      <c r="B303" s="16">
        <f>Tiers!B304</f>
        <v>301</v>
      </c>
      <c r="C303" s="17" t="str">
        <f>Tiers!Y304</f>
        <v>main-22|main-13|main-34|main-25|freeplayA-6||||| x 1</v>
      </c>
      <c r="D303" s="18">
        <f>Tiers!C304</f>
        <v>79</v>
      </c>
      <c r="E303" s="19">
        <f>Frequency!E305</f>
        <v>3</v>
      </c>
      <c r="F303" s="19">
        <f t="shared" si="204"/>
        <v>237</v>
      </c>
      <c r="G303" s="19">
        <f>IF(Tiers!D304&gt;1,'Data Analysis'!E303,0)</f>
        <v>0</v>
      </c>
      <c r="H303" s="19">
        <f t="shared" si="205"/>
        <v>0</v>
      </c>
      <c r="I303" s="19">
        <f>IF(AND(D303/Summary!$C$4&gt;0, D303/Summary!$C$4&lt;5),E303,0) * D303</f>
        <v>0</v>
      </c>
      <c r="J303" s="19">
        <f>IF(AND(D303/Summary!$C$4&gt;= 5, D303/Summary!$C$4&lt;10),E303,0) * D303</f>
        <v>0</v>
      </c>
      <c r="K303" s="19">
        <f>IF(AND(D303/Summary!$C$4&gt;=10, D303/Summary!$C$4&lt;25),E303,0)*D303</f>
        <v>0</v>
      </c>
      <c r="L303" s="19">
        <f>IF(D303/Summary!$C$4&gt;=25,E303,0)*D303</f>
        <v>237</v>
      </c>
      <c r="M303" s="27">
        <f>IF(AND(D303/Summary!$C$4&gt;0, D303/Summary!$C$4&lt;1),E303,0)</f>
        <v>0</v>
      </c>
      <c r="N303" s="27">
        <f t="shared" si="206"/>
        <v>0</v>
      </c>
      <c r="O303" s="27">
        <f>IF(D303/Summary!$C$4=1,1,0)*E303</f>
        <v>0</v>
      </c>
      <c r="P303" s="27">
        <f t="shared" si="207"/>
        <v>0</v>
      </c>
      <c r="Q303" s="27">
        <f>IF(AND(D303/Summary!$C$4&gt;1, D303/Summary!$C$4&lt;=2),1,0)*E303</f>
        <v>0</v>
      </c>
      <c r="R303" s="27">
        <f t="shared" si="208"/>
        <v>0</v>
      </c>
      <c r="S303" s="27">
        <f>IF(AND(D303/Summary!$C$4&gt;2,D303/Summary!$C$4&lt;=5),1,0)*E303</f>
        <v>0</v>
      </c>
      <c r="T303" s="27">
        <f t="shared" si="209"/>
        <v>0</v>
      </c>
      <c r="U303" s="27">
        <f>IF(AND(D303/Summary!$C$4&gt;5, D303/Summary!$C$4&lt;=10),1,0)*E303</f>
        <v>0</v>
      </c>
      <c r="V303" s="27">
        <f t="shared" si="210"/>
        <v>0</v>
      </c>
      <c r="W303" s="27">
        <f>IF(AND(D303/Summary!$C$4&gt;10, D303/Summary!$C$4&lt;=20),1,0)*E303</f>
        <v>0</v>
      </c>
      <c r="X303" s="27">
        <f t="shared" si="211"/>
        <v>0</v>
      </c>
      <c r="Y303" s="27">
        <f>IF(AND(D303/Summary!$C$4&gt;20, D303/Summary!$C$4&lt;=30),1,0)*E303</f>
        <v>0</v>
      </c>
      <c r="Z303" s="27">
        <f t="shared" si="212"/>
        <v>0</v>
      </c>
      <c r="AA303" s="27">
        <f>IF(AND(D303/Summary!$C$4&gt;30, D303/Summary!$C$4&lt;=50),1,0)*E303</f>
        <v>0</v>
      </c>
      <c r="AB303" s="27">
        <f t="shared" si="213"/>
        <v>0</v>
      </c>
      <c r="AC303" s="27">
        <f>IF(AND(D303/Summary!$C$4&gt;50, D303/Summary!$C$4&lt;=100),1,0)*E303</f>
        <v>3</v>
      </c>
      <c r="AD303" s="27">
        <f t="shared" si="214"/>
        <v>237</v>
      </c>
      <c r="AE303" s="27">
        <f>IF(D303/Summary!$C$4&gt;100,1,0)*E303</f>
        <v>0</v>
      </c>
      <c r="AF303" s="27">
        <f t="shared" si="215"/>
        <v>0</v>
      </c>
      <c r="AG303" s="19">
        <f t="shared" si="216"/>
        <v>3</v>
      </c>
      <c r="AH303" s="19">
        <f t="shared" si="217"/>
        <v>0</v>
      </c>
      <c r="AI303" s="19">
        <f t="shared" si="218"/>
        <v>0</v>
      </c>
      <c r="AJ303" s="27">
        <f t="shared" si="219"/>
        <v>1</v>
      </c>
      <c r="AK303" s="27">
        <f t="shared" si="220"/>
        <v>3</v>
      </c>
      <c r="AL303" s="27">
        <f t="shared" si="221"/>
        <v>237</v>
      </c>
      <c r="AM303">
        <f t="shared" si="222"/>
        <v>0</v>
      </c>
      <c r="AN303">
        <f t="shared" si="223"/>
        <v>0</v>
      </c>
      <c r="AO303">
        <f t="shared" si="224"/>
        <v>0</v>
      </c>
      <c r="AP303">
        <f t="shared" si="225"/>
        <v>0</v>
      </c>
      <c r="AQ303">
        <f t="shared" si="226"/>
        <v>0</v>
      </c>
      <c r="AR303">
        <f t="shared" si="227"/>
        <v>0</v>
      </c>
      <c r="AS303">
        <f t="shared" si="228"/>
        <v>0</v>
      </c>
      <c r="AT303">
        <f t="shared" si="229"/>
        <v>0</v>
      </c>
      <c r="AU303">
        <f t="shared" si="230"/>
        <v>0</v>
      </c>
      <c r="AV303">
        <f t="shared" si="231"/>
        <v>3</v>
      </c>
      <c r="AW303">
        <f t="shared" si="232"/>
        <v>237</v>
      </c>
      <c r="AX303">
        <f t="shared" si="233"/>
        <v>0</v>
      </c>
      <c r="AY303">
        <f t="shared" si="234"/>
        <v>0</v>
      </c>
      <c r="AZ303">
        <f t="shared" si="235"/>
        <v>0</v>
      </c>
      <c r="BA303">
        <f t="shared" si="236"/>
        <v>0</v>
      </c>
      <c r="BB303">
        <f t="shared" si="237"/>
        <v>0</v>
      </c>
      <c r="BC303">
        <f t="shared" si="238"/>
        <v>0</v>
      </c>
      <c r="BD303">
        <f t="shared" si="239"/>
        <v>0</v>
      </c>
      <c r="BE303">
        <f t="shared" si="240"/>
        <v>0</v>
      </c>
      <c r="BF303">
        <f t="shared" si="241"/>
        <v>0</v>
      </c>
      <c r="BG303">
        <f t="shared" si="242"/>
        <v>0</v>
      </c>
      <c r="BH303">
        <f t="shared" si="243"/>
        <v>0</v>
      </c>
      <c r="BI303">
        <f t="shared" si="244"/>
        <v>0</v>
      </c>
      <c r="BJ303">
        <f t="shared" si="245"/>
        <v>0</v>
      </c>
      <c r="BK303">
        <f t="shared" si="246"/>
        <v>0</v>
      </c>
      <c r="BL303">
        <v>0</v>
      </c>
      <c r="BM303" t="str">
        <f t="shared" si="253"/>
        <v>Huge Win</v>
      </c>
      <c r="BN303" s="32" t="str">
        <f t="shared" si="254"/>
        <v>Free Plays A</v>
      </c>
      <c r="BO303">
        <f>(D303/Summary!$C$4-Summary!$C$8)^2*E303</f>
        <v>18331.646700000001</v>
      </c>
      <c r="BP303">
        <f t="shared" si="247"/>
        <v>0</v>
      </c>
      <c r="BQ303">
        <f t="shared" si="248"/>
        <v>0</v>
      </c>
      <c r="BR303">
        <f t="shared" si="249"/>
        <v>0</v>
      </c>
      <c r="BS303">
        <f t="shared" si="250"/>
        <v>0</v>
      </c>
    </row>
    <row r="304" spans="2:71">
      <c r="B304" s="16">
        <f>Tiers!B305</f>
        <v>302</v>
      </c>
      <c r="C304" s="17" t="str">
        <f>Tiers!Y305</f>
        <v>main-3|main-12|main-3|main-2|freeplayA-7||||| x 1</v>
      </c>
      <c r="D304" s="18">
        <f>Tiers!C305</f>
        <v>46.4</v>
      </c>
      <c r="E304" s="19">
        <f>Frequency!E306</f>
        <v>10</v>
      </c>
      <c r="F304" s="19">
        <f t="shared" si="204"/>
        <v>464</v>
      </c>
      <c r="G304" s="19">
        <f>IF(Tiers!D305&gt;1,'Data Analysis'!E304,0)</f>
        <v>0</v>
      </c>
      <c r="H304" s="19">
        <f t="shared" si="205"/>
        <v>0</v>
      </c>
      <c r="I304" s="19">
        <f>IF(AND(D304/Summary!$C$4&gt;0, D304/Summary!$C$4&lt;5),E304,0) * D304</f>
        <v>0</v>
      </c>
      <c r="J304" s="19">
        <f>IF(AND(D304/Summary!$C$4&gt;= 5, D304/Summary!$C$4&lt;10),E304,0) * D304</f>
        <v>0</v>
      </c>
      <c r="K304" s="19">
        <f>IF(AND(D304/Summary!$C$4&gt;=10, D304/Summary!$C$4&lt;25),E304,0)*D304</f>
        <v>0</v>
      </c>
      <c r="L304" s="19">
        <f>IF(D304/Summary!$C$4&gt;=25,E304,0)*D304</f>
        <v>464</v>
      </c>
      <c r="M304" s="27">
        <f>IF(AND(D304/Summary!$C$4&gt;0, D304/Summary!$C$4&lt;1),E304,0)</f>
        <v>0</v>
      </c>
      <c r="N304" s="27">
        <f t="shared" si="206"/>
        <v>0</v>
      </c>
      <c r="O304" s="27">
        <f>IF(D304/Summary!$C$4=1,1,0)*E304</f>
        <v>0</v>
      </c>
      <c r="P304" s="27">
        <f t="shared" si="207"/>
        <v>0</v>
      </c>
      <c r="Q304" s="27">
        <f>IF(AND(D304/Summary!$C$4&gt;1, D304/Summary!$C$4&lt;=2),1,0)*E304</f>
        <v>0</v>
      </c>
      <c r="R304" s="27">
        <f t="shared" si="208"/>
        <v>0</v>
      </c>
      <c r="S304" s="27">
        <f>IF(AND(D304/Summary!$C$4&gt;2,D304/Summary!$C$4&lt;=5),1,0)*E304</f>
        <v>0</v>
      </c>
      <c r="T304" s="27">
        <f t="shared" si="209"/>
        <v>0</v>
      </c>
      <c r="U304" s="27">
        <f>IF(AND(D304/Summary!$C$4&gt;5, D304/Summary!$C$4&lt;=10),1,0)*E304</f>
        <v>0</v>
      </c>
      <c r="V304" s="27">
        <f t="shared" si="210"/>
        <v>0</v>
      </c>
      <c r="W304" s="27">
        <f>IF(AND(D304/Summary!$C$4&gt;10, D304/Summary!$C$4&lt;=20),1,0)*E304</f>
        <v>0</v>
      </c>
      <c r="X304" s="27">
        <f t="shared" si="211"/>
        <v>0</v>
      </c>
      <c r="Y304" s="27">
        <f>IF(AND(D304/Summary!$C$4&gt;20, D304/Summary!$C$4&lt;=30),1,0)*E304</f>
        <v>0</v>
      </c>
      <c r="Z304" s="27">
        <f t="shared" si="212"/>
        <v>0</v>
      </c>
      <c r="AA304" s="27">
        <f>IF(AND(D304/Summary!$C$4&gt;30, D304/Summary!$C$4&lt;=50),1,0)*E304</f>
        <v>10</v>
      </c>
      <c r="AB304" s="27">
        <f t="shared" si="213"/>
        <v>464</v>
      </c>
      <c r="AC304" s="27">
        <f>IF(AND(D304/Summary!$C$4&gt;50, D304/Summary!$C$4&lt;=100),1,0)*E304</f>
        <v>0</v>
      </c>
      <c r="AD304" s="27">
        <f t="shared" si="214"/>
        <v>0</v>
      </c>
      <c r="AE304" s="27">
        <f>IF(D304/Summary!$C$4&gt;100,1,0)*E304</f>
        <v>0</v>
      </c>
      <c r="AF304" s="27">
        <f t="shared" si="215"/>
        <v>0</v>
      </c>
      <c r="AG304" s="19">
        <f t="shared" si="216"/>
        <v>10</v>
      </c>
      <c r="AH304" s="19">
        <f t="shared" si="217"/>
        <v>0</v>
      </c>
      <c r="AI304" s="19">
        <f t="shared" si="218"/>
        <v>0</v>
      </c>
      <c r="AJ304" s="27">
        <f t="shared" si="219"/>
        <v>1</v>
      </c>
      <c r="AK304" s="27">
        <f t="shared" si="220"/>
        <v>10</v>
      </c>
      <c r="AL304" s="27">
        <f t="shared" si="221"/>
        <v>464</v>
      </c>
      <c r="AM304">
        <f t="shared" si="222"/>
        <v>0</v>
      </c>
      <c r="AN304">
        <f t="shared" si="223"/>
        <v>0</v>
      </c>
      <c r="AO304">
        <f t="shared" si="224"/>
        <v>0</v>
      </c>
      <c r="AP304">
        <f t="shared" si="225"/>
        <v>0</v>
      </c>
      <c r="AQ304">
        <f t="shared" si="226"/>
        <v>0</v>
      </c>
      <c r="AR304">
        <f t="shared" si="227"/>
        <v>0</v>
      </c>
      <c r="AS304">
        <f t="shared" si="228"/>
        <v>0</v>
      </c>
      <c r="AT304">
        <f t="shared" si="229"/>
        <v>0</v>
      </c>
      <c r="AU304">
        <f t="shared" si="230"/>
        <v>0</v>
      </c>
      <c r="AV304">
        <f t="shared" si="231"/>
        <v>10</v>
      </c>
      <c r="AW304">
        <f t="shared" si="232"/>
        <v>464</v>
      </c>
      <c r="AX304">
        <f t="shared" si="233"/>
        <v>0</v>
      </c>
      <c r="AY304">
        <f t="shared" si="234"/>
        <v>0</v>
      </c>
      <c r="AZ304">
        <f t="shared" si="235"/>
        <v>0</v>
      </c>
      <c r="BA304">
        <f t="shared" si="236"/>
        <v>0</v>
      </c>
      <c r="BB304">
        <f t="shared" si="237"/>
        <v>0</v>
      </c>
      <c r="BC304">
        <f t="shared" si="238"/>
        <v>0</v>
      </c>
      <c r="BD304">
        <f t="shared" si="239"/>
        <v>0</v>
      </c>
      <c r="BE304">
        <f t="shared" si="240"/>
        <v>0</v>
      </c>
      <c r="BF304">
        <f t="shared" si="241"/>
        <v>0</v>
      </c>
      <c r="BG304">
        <f t="shared" si="242"/>
        <v>0</v>
      </c>
      <c r="BH304">
        <f t="shared" si="243"/>
        <v>0</v>
      </c>
      <c r="BI304">
        <f t="shared" si="244"/>
        <v>0</v>
      </c>
      <c r="BJ304">
        <f t="shared" si="245"/>
        <v>0</v>
      </c>
      <c r="BK304">
        <f t="shared" si="246"/>
        <v>0</v>
      </c>
      <c r="BL304">
        <v>0</v>
      </c>
      <c r="BM304" t="str">
        <f t="shared" si="253"/>
        <v>Big Win</v>
      </c>
      <c r="BN304" s="32" t="str">
        <f t="shared" si="254"/>
        <v>Free Plays A</v>
      </c>
      <c r="BO304">
        <f>(D304/Summary!$C$4-Summary!$C$8)^2*E304</f>
        <v>20766.249000000003</v>
      </c>
      <c r="BP304">
        <f t="shared" si="247"/>
        <v>0</v>
      </c>
      <c r="BQ304">
        <f t="shared" si="248"/>
        <v>0</v>
      </c>
      <c r="BR304">
        <f t="shared" si="249"/>
        <v>0</v>
      </c>
      <c r="BS304">
        <f t="shared" si="250"/>
        <v>0</v>
      </c>
    </row>
    <row r="305" spans="2:71">
      <c r="B305" s="16">
        <f>Tiers!B306</f>
        <v>303</v>
      </c>
      <c r="C305" s="17" t="str">
        <f>Tiers!Y306</f>
        <v>main-8|main-5|main-12|main-3|freeplayA-8||||| x 1</v>
      </c>
      <c r="D305" s="18">
        <f>Tiers!C306</f>
        <v>37</v>
      </c>
      <c r="E305" s="19">
        <f>Frequency!E307</f>
        <v>131</v>
      </c>
      <c r="F305" s="19">
        <f t="shared" si="204"/>
        <v>4847</v>
      </c>
      <c r="G305" s="19">
        <f>IF(Tiers!D306&gt;1,'Data Analysis'!E305,0)</f>
        <v>0</v>
      </c>
      <c r="H305" s="19">
        <f t="shared" si="205"/>
        <v>0</v>
      </c>
      <c r="I305" s="19">
        <f>IF(AND(D305/Summary!$C$4&gt;0, D305/Summary!$C$4&lt;5),E305,0) * D305</f>
        <v>0</v>
      </c>
      <c r="J305" s="19">
        <f>IF(AND(D305/Summary!$C$4&gt;= 5, D305/Summary!$C$4&lt;10),E305,0) * D305</f>
        <v>0</v>
      </c>
      <c r="K305" s="19">
        <f>IF(AND(D305/Summary!$C$4&gt;=10, D305/Summary!$C$4&lt;25),E305,0)*D305</f>
        <v>0</v>
      </c>
      <c r="L305" s="19">
        <f>IF(D305/Summary!$C$4&gt;=25,E305,0)*D305</f>
        <v>4847</v>
      </c>
      <c r="M305" s="27">
        <f>IF(AND(D305/Summary!$C$4&gt;0, D305/Summary!$C$4&lt;1),E305,0)</f>
        <v>0</v>
      </c>
      <c r="N305" s="27">
        <f t="shared" si="206"/>
        <v>0</v>
      </c>
      <c r="O305" s="27">
        <f>IF(D305/Summary!$C$4=1,1,0)*E305</f>
        <v>0</v>
      </c>
      <c r="P305" s="27">
        <f t="shared" si="207"/>
        <v>0</v>
      </c>
      <c r="Q305" s="27">
        <f>IF(AND(D305/Summary!$C$4&gt;1, D305/Summary!$C$4&lt;=2),1,0)*E305</f>
        <v>0</v>
      </c>
      <c r="R305" s="27">
        <f t="shared" si="208"/>
        <v>0</v>
      </c>
      <c r="S305" s="27">
        <f>IF(AND(D305/Summary!$C$4&gt;2,D305/Summary!$C$4&lt;=5),1,0)*E305</f>
        <v>0</v>
      </c>
      <c r="T305" s="27">
        <f t="shared" si="209"/>
        <v>0</v>
      </c>
      <c r="U305" s="27">
        <f>IF(AND(D305/Summary!$C$4&gt;5, D305/Summary!$C$4&lt;=10),1,0)*E305</f>
        <v>0</v>
      </c>
      <c r="V305" s="27">
        <f t="shared" si="210"/>
        <v>0</v>
      </c>
      <c r="W305" s="27">
        <f>IF(AND(D305/Summary!$C$4&gt;10, D305/Summary!$C$4&lt;=20),1,0)*E305</f>
        <v>0</v>
      </c>
      <c r="X305" s="27">
        <f t="shared" si="211"/>
        <v>0</v>
      </c>
      <c r="Y305" s="27">
        <f>IF(AND(D305/Summary!$C$4&gt;20, D305/Summary!$C$4&lt;=30),1,0)*E305</f>
        <v>0</v>
      </c>
      <c r="Z305" s="27">
        <f t="shared" si="212"/>
        <v>0</v>
      </c>
      <c r="AA305" s="27">
        <f>IF(AND(D305/Summary!$C$4&gt;30, D305/Summary!$C$4&lt;=50),1,0)*E305</f>
        <v>131</v>
      </c>
      <c r="AB305" s="27">
        <f t="shared" si="213"/>
        <v>4847</v>
      </c>
      <c r="AC305" s="27">
        <f>IF(AND(D305/Summary!$C$4&gt;50, D305/Summary!$C$4&lt;=100),1,0)*E305</f>
        <v>0</v>
      </c>
      <c r="AD305" s="27">
        <f t="shared" si="214"/>
        <v>0</v>
      </c>
      <c r="AE305" s="27">
        <f>IF(D305/Summary!$C$4&gt;100,1,0)*E305</f>
        <v>0</v>
      </c>
      <c r="AF305" s="27">
        <f t="shared" si="215"/>
        <v>0</v>
      </c>
      <c r="AG305" s="19">
        <f t="shared" si="216"/>
        <v>131</v>
      </c>
      <c r="AH305" s="19">
        <f t="shared" si="217"/>
        <v>0</v>
      </c>
      <c r="AI305" s="19">
        <f t="shared" si="218"/>
        <v>0</v>
      </c>
      <c r="AJ305" s="27">
        <f t="shared" si="219"/>
        <v>1</v>
      </c>
      <c r="AK305" s="27">
        <f t="shared" si="220"/>
        <v>131</v>
      </c>
      <c r="AL305" s="27">
        <f t="shared" si="221"/>
        <v>4847</v>
      </c>
      <c r="AM305">
        <f t="shared" si="222"/>
        <v>0</v>
      </c>
      <c r="AN305">
        <f t="shared" si="223"/>
        <v>0</v>
      </c>
      <c r="AO305">
        <f t="shared" si="224"/>
        <v>0</v>
      </c>
      <c r="AP305">
        <f t="shared" si="225"/>
        <v>0</v>
      </c>
      <c r="AQ305">
        <f t="shared" si="226"/>
        <v>0</v>
      </c>
      <c r="AR305">
        <f t="shared" si="227"/>
        <v>0</v>
      </c>
      <c r="AS305">
        <f t="shared" si="228"/>
        <v>0</v>
      </c>
      <c r="AT305">
        <f t="shared" si="229"/>
        <v>0</v>
      </c>
      <c r="AU305">
        <f t="shared" si="230"/>
        <v>0</v>
      </c>
      <c r="AV305">
        <f t="shared" si="231"/>
        <v>131</v>
      </c>
      <c r="AW305">
        <f t="shared" si="232"/>
        <v>4847</v>
      </c>
      <c r="AX305">
        <f t="shared" si="233"/>
        <v>0</v>
      </c>
      <c r="AY305">
        <f t="shared" si="234"/>
        <v>0</v>
      </c>
      <c r="AZ305">
        <f t="shared" si="235"/>
        <v>0</v>
      </c>
      <c r="BA305">
        <f t="shared" si="236"/>
        <v>0</v>
      </c>
      <c r="BB305">
        <f t="shared" si="237"/>
        <v>0</v>
      </c>
      <c r="BC305">
        <f t="shared" si="238"/>
        <v>0</v>
      </c>
      <c r="BD305">
        <f t="shared" si="239"/>
        <v>0</v>
      </c>
      <c r="BE305">
        <f t="shared" si="240"/>
        <v>0</v>
      </c>
      <c r="BF305">
        <f t="shared" si="241"/>
        <v>0</v>
      </c>
      <c r="BG305">
        <f t="shared" si="242"/>
        <v>0</v>
      </c>
      <c r="BH305">
        <f t="shared" si="243"/>
        <v>0</v>
      </c>
      <c r="BI305">
        <f t="shared" si="244"/>
        <v>0</v>
      </c>
      <c r="BJ305">
        <f t="shared" si="245"/>
        <v>0</v>
      </c>
      <c r="BK305">
        <f t="shared" si="246"/>
        <v>0</v>
      </c>
      <c r="BL305">
        <v>0</v>
      </c>
      <c r="BM305" t="str">
        <f t="shared" si="253"/>
        <v>Big Win</v>
      </c>
      <c r="BN305" s="32" t="str">
        <f t="shared" si="254"/>
        <v>Free Plays A</v>
      </c>
      <c r="BO305">
        <f>(D305/Summary!$C$4-Summary!$C$8)^2*E305</f>
        <v>171383.22589999999</v>
      </c>
      <c r="BP305">
        <f t="shared" si="247"/>
        <v>0</v>
      </c>
      <c r="BQ305">
        <f t="shared" si="248"/>
        <v>0</v>
      </c>
      <c r="BR305">
        <f t="shared" si="249"/>
        <v>0</v>
      </c>
      <c r="BS305">
        <f t="shared" si="250"/>
        <v>0</v>
      </c>
    </row>
    <row r="306" spans="2:71">
      <c r="B306" s="16">
        <f>Tiers!B307</f>
        <v>304</v>
      </c>
      <c r="C306" s="17" t="str">
        <f>Tiers!Y307</f>
        <v>main-9|main-4|main-11|main-15|freeplayA-9||||| x 1</v>
      </c>
      <c r="D306" s="18">
        <f>Tiers!C307</f>
        <v>72.099999999999994</v>
      </c>
      <c r="E306" s="19">
        <f>Frequency!E308</f>
        <v>68</v>
      </c>
      <c r="F306" s="19">
        <f t="shared" si="204"/>
        <v>4902.7999999999993</v>
      </c>
      <c r="G306" s="19">
        <f>IF(Tiers!D307&gt;1,'Data Analysis'!E306,0)</f>
        <v>0</v>
      </c>
      <c r="H306" s="19">
        <f t="shared" si="205"/>
        <v>0</v>
      </c>
      <c r="I306" s="19">
        <f>IF(AND(D306/Summary!$C$4&gt;0, D306/Summary!$C$4&lt;5),E306,0) * D306</f>
        <v>0</v>
      </c>
      <c r="J306" s="19">
        <f>IF(AND(D306/Summary!$C$4&gt;= 5, D306/Summary!$C$4&lt;10),E306,0) * D306</f>
        <v>0</v>
      </c>
      <c r="K306" s="19">
        <f>IF(AND(D306/Summary!$C$4&gt;=10, D306/Summary!$C$4&lt;25),E306,0)*D306</f>
        <v>0</v>
      </c>
      <c r="L306" s="19">
        <f>IF(D306/Summary!$C$4&gt;=25,E306,0)*D306</f>
        <v>4902.7999999999993</v>
      </c>
      <c r="M306" s="27">
        <f>IF(AND(D306/Summary!$C$4&gt;0, D306/Summary!$C$4&lt;1),E306,0)</f>
        <v>0</v>
      </c>
      <c r="N306" s="27">
        <f t="shared" si="206"/>
        <v>0</v>
      </c>
      <c r="O306" s="27">
        <f>IF(D306/Summary!$C$4=1,1,0)*E306</f>
        <v>0</v>
      </c>
      <c r="P306" s="27">
        <f t="shared" si="207"/>
        <v>0</v>
      </c>
      <c r="Q306" s="27">
        <f>IF(AND(D306/Summary!$C$4&gt;1, D306/Summary!$C$4&lt;=2),1,0)*E306</f>
        <v>0</v>
      </c>
      <c r="R306" s="27">
        <f t="shared" si="208"/>
        <v>0</v>
      </c>
      <c r="S306" s="27">
        <f>IF(AND(D306/Summary!$C$4&gt;2,D306/Summary!$C$4&lt;=5),1,0)*E306</f>
        <v>0</v>
      </c>
      <c r="T306" s="27">
        <f t="shared" si="209"/>
        <v>0</v>
      </c>
      <c r="U306" s="27">
        <f>IF(AND(D306/Summary!$C$4&gt;5, D306/Summary!$C$4&lt;=10),1,0)*E306</f>
        <v>0</v>
      </c>
      <c r="V306" s="27">
        <f t="shared" si="210"/>
        <v>0</v>
      </c>
      <c r="W306" s="27">
        <f>IF(AND(D306/Summary!$C$4&gt;10, D306/Summary!$C$4&lt;=20),1,0)*E306</f>
        <v>0</v>
      </c>
      <c r="X306" s="27">
        <f t="shared" si="211"/>
        <v>0</v>
      </c>
      <c r="Y306" s="27">
        <f>IF(AND(D306/Summary!$C$4&gt;20, D306/Summary!$C$4&lt;=30),1,0)*E306</f>
        <v>0</v>
      </c>
      <c r="Z306" s="27">
        <f t="shared" si="212"/>
        <v>0</v>
      </c>
      <c r="AA306" s="27">
        <f>IF(AND(D306/Summary!$C$4&gt;30, D306/Summary!$C$4&lt;=50),1,0)*E306</f>
        <v>0</v>
      </c>
      <c r="AB306" s="27">
        <f t="shared" si="213"/>
        <v>0</v>
      </c>
      <c r="AC306" s="27">
        <f>IF(AND(D306/Summary!$C$4&gt;50, D306/Summary!$C$4&lt;=100),1,0)*E306</f>
        <v>68</v>
      </c>
      <c r="AD306" s="27">
        <f t="shared" si="214"/>
        <v>4902.7999999999993</v>
      </c>
      <c r="AE306" s="27">
        <f>IF(D306/Summary!$C$4&gt;100,1,0)*E306</f>
        <v>0</v>
      </c>
      <c r="AF306" s="27">
        <f t="shared" si="215"/>
        <v>0</v>
      </c>
      <c r="AG306" s="19">
        <f t="shared" si="216"/>
        <v>68</v>
      </c>
      <c r="AH306" s="19">
        <f t="shared" si="217"/>
        <v>0</v>
      </c>
      <c r="AI306" s="19">
        <f t="shared" si="218"/>
        <v>0</v>
      </c>
      <c r="AJ306" s="27">
        <f t="shared" si="219"/>
        <v>1</v>
      </c>
      <c r="AK306" s="27">
        <f t="shared" si="220"/>
        <v>68</v>
      </c>
      <c r="AL306" s="27">
        <f t="shared" si="221"/>
        <v>4902.7999999999993</v>
      </c>
      <c r="AM306">
        <f t="shared" si="222"/>
        <v>0</v>
      </c>
      <c r="AN306">
        <f t="shared" si="223"/>
        <v>0</v>
      </c>
      <c r="AO306">
        <f t="shared" si="224"/>
        <v>0</v>
      </c>
      <c r="AP306">
        <f t="shared" si="225"/>
        <v>0</v>
      </c>
      <c r="AQ306">
        <f t="shared" si="226"/>
        <v>0</v>
      </c>
      <c r="AR306">
        <f t="shared" si="227"/>
        <v>0</v>
      </c>
      <c r="AS306">
        <f t="shared" si="228"/>
        <v>0</v>
      </c>
      <c r="AT306">
        <f t="shared" si="229"/>
        <v>0</v>
      </c>
      <c r="AU306">
        <f t="shared" si="230"/>
        <v>0</v>
      </c>
      <c r="AV306">
        <f t="shared" si="231"/>
        <v>68</v>
      </c>
      <c r="AW306">
        <f t="shared" si="232"/>
        <v>4902.7999999999993</v>
      </c>
      <c r="AX306">
        <f t="shared" si="233"/>
        <v>0</v>
      </c>
      <c r="AY306">
        <f t="shared" si="234"/>
        <v>0</v>
      </c>
      <c r="AZ306">
        <f t="shared" si="235"/>
        <v>0</v>
      </c>
      <c r="BA306">
        <f t="shared" si="236"/>
        <v>0</v>
      </c>
      <c r="BB306">
        <f t="shared" si="237"/>
        <v>0</v>
      </c>
      <c r="BC306">
        <f t="shared" si="238"/>
        <v>0</v>
      </c>
      <c r="BD306">
        <f t="shared" si="239"/>
        <v>0</v>
      </c>
      <c r="BE306">
        <f t="shared" si="240"/>
        <v>0</v>
      </c>
      <c r="BF306">
        <f t="shared" si="241"/>
        <v>0</v>
      </c>
      <c r="BG306">
        <f t="shared" si="242"/>
        <v>0</v>
      </c>
      <c r="BH306">
        <f t="shared" si="243"/>
        <v>0</v>
      </c>
      <c r="BI306">
        <f t="shared" si="244"/>
        <v>0</v>
      </c>
      <c r="BJ306">
        <f t="shared" si="245"/>
        <v>0</v>
      </c>
      <c r="BK306">
        <f t="shared" si="246"/>
        <v>0</v>
      </c>
      <c r="BL306">
        <v>0</v>
      </c>
      <c r="BM306" t="str">
        <f t="shared" si="253"/>
        <v>Huge Win</v>
      </c>
      <c r="BN306" s="32" t="str">
        <f t="shared" si="254"/>
        <v>Free Plays A</v>
      </c>
      <c r="BO306">
        <f>(D306/Summary!$C$4-Summary!$C$8)^2*E306</f>
        <v>345400.07719999994</v>
      </c>
      <c r="BP306">
        <f t="shared" si="247"/>
        <v>0</v>
      </c>
      <c r="BQ306">
        <f t="shared" si="248"/>
        <v>0</v>
      </c>
      <c r="BR306">
        <f t="shared" si="249"/>
        <v>0</v>
      </c>
      <c r="BS306">
        <f t="shared" si="250"/>
        <v>0</v>
      </c>
    </row>
    <row r="307" spans="2:71">
      <c r="B307" s="16">
        <f>Tiers!B308</f>
        <v>305</v>
      </c>
      <c r="C307" s="17" t="str">
        <f>Tiers!Y308</f>
        <v>main-4|main-25|main-8|main-2|freeplayA-10||||| x 1</v>
      </c>
      <c r="D307" s="18">
        <f>Tiers!C308</f>
        <v>43</v>
      </c>
      <c r="E307" s="19">
        <f>Frequency!E309</f>
        <v>11</v>
      </c>
      <c r="F307" s="19">
        <f t="shared" si="204"/>
        <v>473</v>
      </c>
      <c r="G307" s="19">
        <f>IF(Tiers!D308&gt;1,'Data Analysis'!E307,0)</f>
        <v>0</v>
      </c>
      <c r="H307" s="19">
        <f t="shared" si="205"/>
        <v>0</v>
      </c>
      <c r="I307" s="19">
        <f>IF(AND(D307/Summary!$C$4&gt;0, D307/Summary!$C$4&lt;5),E307,0) * D307</f>
        <v>0</v>
      </c>
      <c r="J307" s="19">
        <f>IF(AND(D307/Summary!$C$4&gt;= 5, D307/Summary!$C$4&lt;10),E307,0) * D307</f>
        <v>0</v>
      </c>
      <c r="K307" s="19">
        <f>IF(AND(D307/Summary!$C$4&gt;=10, D307/Summary!$C$4&lt;25),E307,0)*D307</f>
        <v>0</v>
      </c>
      <c r="L307" s="19">
        <f>IF(D307/Summary!$C$4&gt;=25,E307,0)*D307</f>
        <v>473</v>
      </c>
      <c r="M307" s="27">
        <f>IF(AND(D307/Summary!$C$4&gt;0, D307/Summary!$C$4&lt;1),E307,0)</f>
        <v>0</v>
      </c>
      <c r="N307" s="27">
        <f t="shared" si="206"/>
        <v>0</v>
      </c>
      <c r="O307" s="27">
        <f>IF(D307/Summary!$C$4=1,1,0)*E307</f>
        <v>0</v>
      </c>
      <c r="P307" s="27">
        <f t="shared" si="207"/>
        <v>0</v>
      </c>
      <c r="Q307" s="27">
        <f>IF(AND(D307/Summary!$C$4&gt;1, D307/Summary!$C$4&lt;=2),1,0)*E307</f>
        <v>0</v>
      </c>
      <c r="R307" s="27">
        <f t="shared" si="208"/>
        <v>0</v>
      </c>
      <c r="S307" s="27">
        <f>IF(AND(D307/Summary!$C$4&gt;2,D307/Summary!$C$4&lt;=5),1,0)*E307</f>
        <v>0</v>
      </c>
      <c r="T307" s="27">
        <f t="shared" si="209"/>
        <v>0</v>
      </c>
      <c r="U307" s="27">
        <f>IF(AND(D307/Summary!$C$4&gt;5, D307/Summary!$C$4&lt;=10),1,0)*E307</f>
        <v>0</v>
      </c>
      <c r="V307" s="27">
        <f t="shared" si="210"/>
        <v>0</v>
      </c>
      <c r="W307" s="27">
        <f>IF(AND(D307/Summary!$C$4&gt;10, D307/Summary!$C$4&lt;=20),1,0)*E307</f>
        <v>0</v>
      </c>
      <c r="X307" s="27">
        <f t="shared" si="211"/>
        <v>0</v>
      </c>
      <c r="Y307" s="27">
        <f>IF(AND(D307/Summary!$C$4&gt;20, D307/Summary!$C$4&lt;=30),1,0)*E307</f>
        <v>0</v>
      </c>
      <c r="Z307" s="27">
        <f t="shared" si="212"/>
        <v>0</v>
      </c>
      <c r="AA307" s="27">
        <f>IF(AND(D307/Summary!$C$4&gt;30, D307/Summary!$C$4&lt;=50),1,0)*E307</f>
        <v>11</v>
      </c>
      <c r="AB307" s="27">
        <f t="shared" si="213"/>
        <v>473</v>
      </c>
      <c r="AC307" s="27">
        <f>IF(AND(D307/Summary!$C$4&gt;50, D307/Summary!$C$4&lt;=100),1,0)*E307</f>
        <v>0</v>
      </c>
      <c r="AD307" s="27">
        <f t="shared" si="214"/>
        <v>0</v>
      </c>
      <c r="AE307" s="27">
        <f>IF(D307/Summary!$C$4&gt;100,1,0)*E307</f>
        <v>0</v>
      </c>
      <c r="AF307" s="27">
        <f t="shared" si="215"/>
        <v>0</v>
      </c>
      <c r="AG307" s="19">
        <f t="shared" si="216"/>
        <v>11</v>
      </c>
      <c r="AH307" s="19">
        <f t="shared" si="217"/>
        <v>0</v>
      </c>
      <c r="AI307" s="19">
        <f t="shared" si="218"/>
        <v>0</v>
      </c>
      <c r="AJ307" s="27">
        <f t="shared" si="219"/>
        <v>1</v>
      </c>
      <c r="AK307" s="27">
        <f t="shared" si="220"/>
        <v>11</v>
      </c>
      <c r="AL307" s="27">
        <f t="shared" si="221"/>
        <v>473</v>
      </c>
      <c r="AM307">
        <f t="shared" si="222"/>
        <v>0</v>
      </c>
      <c r="AN307">
        <f t="shared" si="223"/>
        <v>0</v>
      </c>
      <c r="AO307">
        <f t="shared" si="224"/>
        <v>0</v>
      </c>
      <c r="AP307">
        <f t="shared" si="225"/>
        <v>0</v>
      </c>
      <c r="AQ307">
        <f t="shared" si="226"/>
        <v>0</v>
      </c>
      <c r="AR307">
        <f t="shared" si="227"/>
        <v>0</v>
      </c>
      <c r="AS307">
        <f t="shared" si="228"/>
        <v>0</v>
      </c>
      <c r="AT307">
        <f t="shared" si="229"/>
        <v>0</v>
      </c>
      <c r="AU307">
        <f t="shared" si="230"/>
        <v>0</v>
      </c>
      <c r="AV307">
        <f t="shared" si="231"/>
        <v>11</v>
      </c>
      <c r="AW307">
        <f t="shared" si="232"/>
        <v>473</v>
      </c>
      <c r="AX307">
        <f t="shared" si="233"/>
        <v>0</v>
      </c>
      <c r="AY307">
        <f t="shared" si="234"/>
        <v>0</v>
      </c>
      <c r="AZ307">
        <f t="shared" si="235"/>
        <v>0</v>
      </c>
      <c r="BA307">
        <f t="shared" si="236"/>
        <v>0</v>
      </c>
      <c r="BB307">
        <f t="shared" si="237"/>
        <v>0</v>
      </c>
      <c r="BC307">
        <f t="shared" si="238"/>
        <v>0</v>
      </c>
      <c r="BD307">
        <f t="shared" si="239"/>
        <v>0</v>
      </c>
      <c r="BE307">
        <f t="shared" si="240"/>
        <v>0</v>
      </c>
      <c r="BF307">
        <f t="shared" si="241"/>
        <v>0</v>
      </c>
      <c r="BG307">
        <f t="shared" si="242"/>
        <v>0</v>
      </c>
      <c r="BH307">
        <f t="shared" si="243"/>
        <v>0</v>
      </c>
      <c r="BI307">
        <f t="shared" si="244"/>
        <v>0</v>
      </c>
      <c r="BJ307">
        <f t="shared" si="245"/>
        <v>0</v>
      </c>
      <c r="BK307">
        <f t="shared" si="246"/>
        <v>0</v>
      </c>
      <c r="BL307">
        <v>0</v>
      </c>
      <c r="BM307" t="str">
        <f t="shared" si="253"/>
        <v>Big Win</v>
      </c>
      <c r="BN307" s="32" t="str">
        <f t="shared" si="254"/>
        <v>Free Plays A</v>
      </c>
      <c r="BO307">
        <f>(D307/Summary!$C$4-Summary!$C$8)^2*E307</f>
        <v>19561.397900000004</v>
      </c>
      <c r="BP307">
        <f t="shared" si="247"/>
        <v>0</v>
      </c>
      <c r="BQ307">
        <f t="shared" si="248"/>
        <v>0</v>
      </c>
      <c r="BR307">
        <f t="shared" si="249"/>
        <v>0</v>
      </c>
      <c r="BS307">
        <f t="shared" si="250"/>
        <v>0</v>
      </c>
    </row>
    <row r="308" spans="2:71">
      <c r="B308" s="16">
        <f>Tiers!B309</f>
        <v>306</v>
      </c>
      <c r="C308" s="17" t="str">
        <f>Tiers!Y309</f>
        <v>main-3|main-31|main-4|main-16|main-3|freeplayA-3|||| x 1</v>
      </c>
      <c r="D308" s="18">
        <f>Tiers!C309</f>
        <v>63.5</v>
      </c>
      <c r="E308" s="19">
        <f>Frequency!E310</f>
        <v>7</v>
      </c>
      <c r="F308" s="19">
        <f t="shared" si="204"/>
        <v>444.5</v>
      </c>
      <c r="G308" s="19">
        <f>IF(Tiers!D309&gt;1,'Data Analysis'!E308,0)</f>
        <v>0</v>
      </c>
      <c r="H308" s="19">
        <f t="shared" si="205"/>
        <v>0</v>
      </c>
      <c r="I308" s="19">
        <f>IF(AND(D308/Summary!$C$4&gt;0, D308/Summary!$C$4&lt;5),E308,0) * D308</f>
        <v>0</v>
      </c>
      <c r="J308" s="19">
        <f>IF(AND(D308/Summary!$C$4&gt;= 5, D308/Summary!$C$4&lt;10),E308,0) * D308</f>
        <v>0</v>
      </c>
      <c r="K308" s="19">
        <f>IF(AND(D308/Summary!$C$4&gt;=10, D308/Summary!$C$4&lt;25),E308,0)*D308</f>
        <v>0</v>
      </c>
      <c r="L308" s="19">
        <f>IF(D308/Summary!$C$4&gt;=25,E308,0)*D308</f>
        <v>444.5</v>
      </c>
      <c r="M308" s="27">
        <f>IF(AND(D308/Summary!$C$4&gt;0, D308/Summary!$C$4&lt;1),E308,0)</f>
        <v>0</v>
      </c>
      <c r="N308" s="27">
        <f t="shared" si="206"/>
        <v>0</v>
      </c>
      <c r="O308" s="27">
        <f>IF(D308/Summary!$C$4=1,1,0)*E308</f>
        <v>0</v>
      </c>
      <c r="P308" s="27">
        <f t="shared" si="207"/>
        <v>0</v>
      </c>
      <c r="Q308" s="27">
        <f>IF(AND(D308/Summary!$C$4&gt;1, D308/Summary!$C$4&lt;=2),1,0)*E308</f>
        <v>0</v>
      </c>
      <c r="R308" s="27">
        <f t="shared" si="208"/>
        <v>0</v>
      </c>
      <c r="S308" s="27">
        <f>IF(AND(D308/Summary!$C$4&gt;2,D308/Summary!$C$4&lt;=5),1,0)*E308</f>
        <v>0</v>
      </c>
      <c r="T308" s="27">
        <f t="shared" si="209"/>
        <v>0</v>
      </c>
      <c r="U308" s="27">
        <f>IF(AND(D308/Summary!$C$4&gt;5, D308/Summary!$C$4&lt;=10),1,0)*E308</f>
        <v>0</v>
      </c>
      <c r="V308" s="27">
        <f t="shared" si="210"/>
        <v>0</v>
      </c>
      <c r="W308" s="27">
        <f>IF(AND(D308/Summary!$C$4&gt;10, D308/Summary!$C$4&lt;=20),1,0)*E308</f>
        <v>0</v>
      </c>
      <c r="X308" s="27">
        <f t="shared" si="211"/>
        <v>0</v>
      </c>
      <c r="Y308" s="27">
        <f>IF(AND(D308/Summary!$C$4&gt;20, D308/Summary!$C$4&lt;=30),1,0)*E308</f>
        <v>0</v>
      </c>
      <c r="Z308" s="27">
        <f t="shared" si="212"/>
        <v>0</v>
      </c>
      <c r="AA308" s="27">
        <f>IF(AND(D308/Summary!$C$4&gt;30, D308/Summary!$C$4&lt;=50),1,0)*E308</f>
        <v>0</v>
      </c>
      <c r="AB308" s="27">
        <f t="shared" si="213"/>
        <v>0</v>
      </c>
      <c r="AC308" s="27">
        <f>IF(AND(D308/Summary!$C$4&gt;50, D308/Summary!$C$4&lt;=100),1,0)*E308</f>
        <v>7</v>
      </c>
      <c r="AD308" s="27">
        <f t="shared" si="214"/>
        <v>444.5</v>
      </c>
      <c r="AE308" s="27">
        <f>IF(D308/Summary!$C$4&gt;100,1,0)*E308</f>
        <v>0</v>
      </c>
      <c r="AF308" s="27">
        <f t="shared" si="215"/>
        <v>0</v>
      </c>
      <c r="AG308" s="19">
        <f t="shared" si="216"/>
        <v>7</v>
      </c>
      <c r="AH308" s="19">
        <f t="shared" si="217"/>
        <v>0</v>
      </c>
      <c r="AI308" s="19">
        <f t="shared" si="218"/>
        <v>0</v>
      </c>
      <c r="AJ308" s="27">
        <f t="shared" si="219"/>
        <v>1</v>
      </c>
      <c r="AK308" s="27">
        <f t="shared" si="220"/>
        <v>7</v>
      </c>
      <c r="AL308" s="27">
        <f t="shared" si="221"/>
        <v>444.5</v>
      </c>
      <c r="AM308">
        <f t="shared" si="222"/>
        <v>0</v>
      </c>
      <c r="AN308">
        <f t="shared" si="223"/>
        <v>0</v>
      </c>
      <c r="AO308">
        <f t="shared" si="224"/>
        <v>0</v>
      </c>
      <c r="AP308">
        <f t="shared" si="225"/>
        <v>0</v>
      </c>
      <c r="AQ308">
        <f t="shared" si="226"/>
        <v>0</v>
      </c>
      <c r="AR308">
        <f t="shared" si="227"/>
        <v>0</v>
      </c>
      <c r="AS308">
        <f t="shared" si="228"/>
        <v>0</v>
      </c>
      <c r="AT308">
        <f t="shared" si="229"/>
        <v>0</v>
      </c>
      <c r="AU308">
        <f t="shared" si="230"/>
        <v>0</v>
      </c>
      <c r="AV308">
        <f t="shared" si="231"/>
        <v>7</v>
      </c>
      <c r="AW308">
        <f t="shared" si="232"/>
        <v>444.5</v>
      </c>
      <c r="AX308">
        <f t="shared" si="233"/>
        <v>0</v>
      </c>
      <c r="AY308">
        <f t="shared" si="234"/>
        <v>0</v>
      </c>
      <c r="AZ308">
        <f t="shared" si="235"/>
        <v>0</v>
      </c>
      <c r="BA308">
        <f t="shared" si="236"/>
        <v>0</v>
      </c>
      <c r="BB308">
        <f t="shared" si="237"/>
        <v>0</v>
      </c>
      <c r="BC308">
        <f t="shared" si="238"/>
        <v>0</v>
      </c>
      <c r="BD308">
        <f t="shared" si="239"/>
        <v>0</v>
      </c>
      <c r="BE308">
        <f t="shared" si="240"/>
        <v>0</v>
      </c>
      <c r="BF308">
        <f t="shared" si="241"/>
        <v>0</v>
      </c>
      <c r="BG308">
        <f t="shared" si="242"/>
        <v>0</v>
      </c>
      <c r="BH308">
        <f t="shared" si="243"/>
        <v>0</v>
      </c>
      <c r="BI308">
        <f t="shared" si="244"/>
        <v>0</v>
      </c>
      <c r="BJ308">
        <f t="shared" si="245"/>
        <v>0</v>
      </c>
      <c r="BK308">
        <f t="shared" si="246"/>
        <v>0</v>
      </c>
      <c r="BL308">
        <v>0</v>
      </c>
      <c r="BM308" t="str">
        <f t="shared" si="253"/>
        <v>Huge Win</v>
      </c>
      <c r="BN308" s="32" t="str">
        <f t="shared" si="254"/>
        <v>Free Plays A</v>
      </c>
      <c r="BO308">
        <f>(D308/Summary!$C$4-Summary!$C$8)^2*E308</f>
        <v>27492.702300000001</v>
      </c>
      <c r="BP308">
        <f t="shared" si="247"/>
        <v>0</v>
      </c>
      <c r="BQ308">
        <f t="shared" si="248"/>
        <v>0</v>
      </c>
      <c r="BR308">
        <f t="shared" si="249"/>
        <v>0</v>
      </c>
      <c r="BS308">
        <f t="shared" si="250"/>
        <v>0</v>
      </c>
    </row>
    <row r="309" spans="2:71">
      <c r="B309" s="16">
        <f>Tiers!B310</f>
        <v>307</v>
      </c>
      <c r="C309" s="17" t="str">
        <f>Tiers!Y310</f>
        <v>main-3|main-4|main-2|main-8|main-5|freeplayA-4|||| x 1</v>
      </c>
      <c r="D309" s="18">
        <f>Tiers!C310</f>
        <v>28.6</v>
      </c>
      <c r="E309" s="19">
        <f>Frequency!E311</f>
        <v>100</v>
      </c>
      <c r="F309" s="19">
        <f t="shared" si="204"/>
        <v>2860</v>
      </c>
      <c r="G309" s="19">
        <f>IF(Tiers!D310&gt;1,'Data Analysis'!E309,0)</f>
        <v>0</v>
      </c>
      <c r="H309" s="19">
        <f t="shared" si="205"/>
        <v>0</v>
      </c>
      <c r="I309" s="19">
        <f>IF(AND(D309/Summary!$C$4&gt;0, D309/Summary!$C$4&lt;5),E309,0) * D309</f>
        <v>0</v>
      </c>
      <c r="J309" s="19">
        <f>IF(AND(D309/Summary!$C$4&gt;= 5, D309/Summary!$C$4&lt;10),E309,0) * D309</f>
        <v>0</v>
      </c>
      <c r="K309" s="19">
        <f>IF(AND(D309/Summary!$C$4&gt;=10, D309/Summary!$C$4&lt;25),E309,0)*D309</f>
        <v>0</v>
      </c>
      <c r="L309" s="19">
        <f>IF(D309/Summary!$C$4&gt;=25,E309,0)*D309</f>
        <v>2860</v>
      </c>
      <c r="M309" s="27">
        <f>IF(AND(D309/Summary!$C$4&gt;0, D309/Summary!$C$4&lt;1),E309,0)</f>
        <v>0</v>
      </c>
      <c r="N309" s="27">
        <f t="shared" si="206"/>
        <v>0</v>
      </c>
      <c r="O309" s="27">
        <f>IF(D309/Summary!$C$4=1,1,0)*E309</f>
        <v>0</v>
      </c>
      <c r="P309" s="27">
        <f t="shared" si="207"/>
        <v>0</v>
      </c>
      <c r="Q309" s="27">
        <f>IF(AND(D309/Summary!$C$4&gt;1, D309/Summary!$C$4&lt;=2),1,0)*E309</f>
        <v>0</v>
      </c>
      <c r="R309" s="27">
        <f t="shared" si="208"/>
        <v>0</v>
      </c>
      <c r="S309" s="27">
        <f>IF(AND(D309/Summary!$C$4&gt;2,D309/Summary!$C$4&lt;=5),1,0)*E309</f>
        <v>0</v>
      </c>
      <c r="T309" s="27">
        <f t="shared" si="209"/>
        <v>0</v>
      </c>
      <c r="U309" s="27">
        <f>IF(AND(D309/Summary!$C$4&gt;5, D309/Summary!$C$4&lt;=10),1,0)*E309</f>
        <v>0</v>
      </c>
      <c r="V309" s="27">
        <f t="shared" si="210"/>
        <v>0</v>
      </c>
      <c r="W309" s="27">
        <f>IF(AND(D309/Summary!$C$4&gt;10, D309/Summary!$C$4&lt;=20),1,0)*E309</f>
        <v>0</v>
      </c>
      <c r="X309" s="27">
        <f t="shared" si="211"/>
        <v>0</v>
      </c>
      <c r="Y309" s="27">
        <f>IF(AND(D309/Summary!$C$4&gt;20, D309/Summary!$C$4&lt;=30),1,0)*E309</f>
        <v>100</v>
      </c>
      <c r="Z309" s="27">
        <f t="shared" si="212"/>
        <v>2860</v>
      </c>
      <c r="AA309" s="27">
        <f>IF(AND(D309/Summary!$C$4&gt;30, D309/Summary!$C$4&lt;=50),1,0)*E309</f>
        <v>0</v>
      </c>
      <c r="AB309" s="27">
        <f t="shared" si="213"/>
        <v>0</v>
      </c>
      <c r="AC309" s="27">
        <f>IF(AND(D309/Summary!$C$4&gt;50, D309/Summary!$C$4&lt;=100),1,0)*E309</f>
        <v>0</v>
      </c>
      <c r="AD309" s="27">
        <f t="shared" si="214"/>
        <v>0</v>
      </c>
      <c r="AE309" s="27">
        <f>IF(D309/Summary!$C$4&gt;100,1,0)*E309</f>
        <v>0</v>
      </c>
      <c r="AF309" s="27">
        <f t="shared" si="215"/>
        <v>0</v>
      </c>
      <c r="AG309" s="19">
        <f t="shared" si="216"/>
        <v>100</v>
      </c>
      <c r="AH309" s="19">
        <f t="shared" si="217"/>
        <v>0</v>
      </c>
      <c r="AI309" s="19">
        <f t="shared" si="218"/>
        <v>0</v>
      </c>
      <c r="AJ309" s="27">
        <f t="shared" si="219"/>
        <v>1</v>
      </c>
      <c r="AK309" s="27">
        <f t="shared" si="220"/>
        <v>100</v>
      </c>
      <c r="AL309" s="27">
        <f t="shared" si="221"/>
        <v>2860</v>
      </c>
      <c r="AM309">
        <f t="shared" si="222"/>
        <v>0</v>
      </c>
      <c r="AN309">
        <f t="shared" si="223"/>
        <v>0</v>
      </c>
      <c r="AO309">
        <f t="shared" si="224"/>
        <v>0</v>
      </c>
      <c r="AP309">
        <f t="shared" si="225"/>
        <v>0</v>
      </c>
      <c r="AQ309">
        <f t="shared" si="226"/>
        <v>0</v>
      </c>
      <c r="AR309">
        <f t="shared" si="227"/>
        <v>0</v>
      </c>
      <c r="AS309">
        <f t="shared" si="228"/>
        <v>0</v>
      </c>
      <c r="AT309">
        <f t="shared" si="229"/>
        <v>0</v>
      </c>
      <c r="AU309">
        <f t="shared" si="230"/>
        <v>0</v>
      </c>
      <c r="AV309">
        <f t="shared" si="231"/>
        <v>100</v>
      </c>
      <c r="AW309">
        <f t="shared" si="232"/>
        <v>2860</v>
      </c>
      <c r="AX309">
        <f t="shared" si="233"/>
        <v>0</v>
      </c>
      <c r="AY309">
        <f t="shared" si="234"/>
        <v>0</v>
      </c>
      <c r="AZ309">
        <f t="shared" si="235"/>
        <v>0</v>
      </c>
      <c r="BA309">
        <f t="shared" si="236"/>
        <v>0</v>
      </c>
      <c r="BB309">
        <f t="shared" si="237"/>
        <v>0</v>
      </c>
      <c r="BC309">
        <f t="shared" si="238"/>
        <v>0</v>
      </c>
      <c r="BD309">
        <f t="shared" si="239"/>
        <v>0</v>
      </c>
      <c r="BE309">
        <f t="shared" si="240"/>
        <v>0</v>
      </c>
      <c r="BF309">
        <f t="shared" si="241"/>
        <v>0</v>
      </c>
      <c r="BG309">
        <f t="shared" si="242"/>
        <v>0</v>
      </c>
      <c r="BH309">
        <f t="shared" si="243"/>
        <v>0</v>
      </c>
      <c r="BI309">
        <f t="shared" si="244"/>
        <v>0</v>
      </c>
      <c r="BJ309">
        <f t="shared" si="245"/>
        <v>0</v>
      </c>
      <c r="BK309">
        <f t="shared" si="246"/>
        <v>0</v>
      </c>
      <c r="BL309">
        <v>0</v>
      </c>
      <c r="BM309" t="str">
        <f t="shared" si="253"/>
        <v>Big Win</v>
      </c>
      <c r="BN309" s="32" t="str">
        <f t="shared" si="254"/>
        <v>Free Plays A</v>
      </c>
      <c r="BO309">
        <f>(D309/Summary!$C$4-Summary!$C$8)^2*E309</f>
        <v>77117.290000000008</v>
      </c>
      <c r="BP309">
        <f t="shared" si="247"/>
        <v>0</v>
      </c>
      <c r="BQ309">
        <f t="shared" si="248"/>
        <v>0</v>
      </c>
      <c r="BR309">
        <f t="shared" si="249"/>
        <v>0</v>
      </c>
      <c r="BS309">
        <f t="shared" si="250"/>
        <v>0</v>
      </c>
    </row>
    <row r="310" spans="2:71">
      <c r="B310" s="16">
        <f>Tiers!B311</f>
        <v>308</v>
      </c>
      <c r="C310" s="17" t="str">
        <f>Tiers!Y311</f>
        <v>main-6|main-32|main-31|main-8|main-4|freeplayA-5|||| x 1</v>
      </c>
      <c r="D310" s="18">
        <f>Tiers!C311</f>
        <v>49.3</v>
      </c>
      <c r="E310" s="19">
        <f>Frequency!E312</f>
        <v>9</v>
      </c>
      <c r="F310" s="19">
        <f t="shared" si="204"/>
        <v>443.7</v>
      </c>
      <c r="G310" s="19">
        <f>IF(Tiers!D311&gt;1,'Data Analysis'!E310,0)</f>
        <v>0</v>
      </c>
      <c r="H310" s="19">
        <f t="shared" si="205"/>
        <v>0</v>
      </c>
      <c r="I310" s="19">
        <f>IF(AND(D310/Summary!$C$4&gt;0, D310/Summary!$C$4&lt;5),E310,0) * D310</f>
        <v>0</v>
      </c>
      <c r="J310" s="19">
        <f>IF(AND(D310/Summary!$C$4&gt;= 5, D310/Summary!$C$4&lt;10),E310,0) * D310</f>
        <v>0</v>
      </c>
      <c r="K310" s="19">
        <f>IF(AND(D310/Summary!$C$4&gt;=10, D310/Summary!$C$4&lt;25),E310,0)*D310</f>
        <v>0</v>
      </c>
      <c r="L310" s="19">
        <f>IF(D310/Summary!$C$4&gt;=25,E310,0)*D310</f>
        <v>443.7</v>
      </c>
      <c r="M310" s="27">
        <f>IF(AND(D310/Summary!$C$4&gt;0, D310/Summary!$C$4&lt;1),E310,0)</f>
        <v>0</v>
      </c>
      <c r="N310" s="27">
        <f t="shared" si="206"/>
        <v>0</v>
      </c>
      <c r="O310" s="27">
        <f>IF(D310/Summary!$C$4=1,1,0)*E310</f>
        <v>0</v>
      </c>
      <c r="P310" s="27">
        <f t="shared" si="207"/>
        <v>0</v>
      </c>
      <c r="Q310" s="27">
        <f>IF(AND(D310/Summary!$C$4&gt;1, D310/Summary!$C$4&lt;=2),1,0)*E310</f>
        <v>0</v>
      </c>
      <c r="R310" s="27">
        <f t="shared" si="208"/>
        <v>0</v>
      </c>
      <c r="S310" s="27">
        <f>IF(AND(D310/Summary!$C$4&gt;2,D310/Summary!$C$4&lt;=5),1,0)*E310</f>
        <v>0</v>
      </c>
      <c r="T310" s="27">
        <f t="shared" si="209"/>
        <v>0</v>
      </c>
      <c r="U310" s="27">
        <f>IF(AND(D310/Summary!$C$4&gt;5, D310/Summary!$C$4&lt;=10),1,0)*E310</f>
        <v>0</v>
      </c>
      <c r="V310" s="27">
        <f t="shared" si="210"/>
        <v>0</v>
      </c>
      <c r="W310" s="27">
        <f>IF(AND(D310/Summary!$C$4&gt;10, D310/Summary!$C$4&lt;=20),1,0)*E310</f>
        <v>0</v>
      </c>
      <c r="X310" s="27">
        <f t="shared" si="211"/>
        <v>0</v>
      </c>
      <c r="Y310" s="27">
        <f>IF(AND(D310/Summary!$C$4&gt;20, D310/Summary!$C$4&lt;=30),1,0)*E310</f>
        <v>0</v>
      </c>
      <c r="Z310" s="27">
        <f t="shared" si="212"/>
        <v>0</v>
      </c>
      <c r="AA310" s="27">
        <f>IF(AND(D310/Summary!$C$4&gt;30, D310/Summary!$C$4&lt;=50),1,0)*E310</f>
        <v>9</v>
      </c>
      <c r="AB310" s="27">
        <f t="shared" si="213"/>
        <v>443.7</v>
      </c>
      <c r="AC310" s="27">
        <f>IF(AND(D310/Summary!$C$4&gt;50, D310/Summary!$C$4&lt;=100),1,0)*E310</f>
        <v>0</v>
      </c>
      <c r="AD310" s="27">
        <f t="shared" si="214"/>
        <v>0</v>
      </c>
      <c r="AE310" s="27">
        <f>IF(D310/Summary!$C$4&gt;100,1,0)*E310</f>
        <v>0</v>
      </c>
      <c r="AF310" s="27">
        <f t="shared" si="215"/>
        <v>0</v>
      </c>
      <c r="AG310" s="19">
        <f t="shared" si="216"/>
        <v>9</v>
      </c>
      <c r="AH310" s="19">
        <f t="shared" si="217"/>
        <v>0</v>
      </c>
      <c r="AI310" s="19">
        <f t="shared" si="218"/>
        <v>0</v>
      </c>
      <c r="AJ310" s="27">
        <f t="shared" si="219"/>
        <v>1</v>
      </c>
      <c r="AK310" s="27">
        <f t="shared" si="220"/>
        <v>9</v>
      </c>
      <c r="AL310" s="27">
        <f t="shared" si="221"/>
        <v>443.7</v>
      </c>
      <c r="AM310">
        <f t="shared" si="222"/>
        <v>0</v>
      </c>
      <c r="AN310">
        <f t="shared" si="223"/>
        <v>0</v>
      </c>
      <c r="AO310">
        <f t="shared" si="224"/>
        <v>0</v>
      </c>
      <c r="AP310">
        <f t="shared" si="225"/>
        <v>0</v>
      </c>
      <c r="AQ310">
        <f t="shared" si="226"/>
        <v>0</v>
      </c>
      <c r="AR310">
        <f t="shared" si="227"/>
        <v>0</v>
      </c>
      <c r="AS310">
        <f t="shared" si="228"/>
        <v>0</v>
      </c>
      <c r="AT310">
        <f t="shared" si="229"/>
        <v>0</v>
      </c>
      <c r="AU310">
        <f t="shared" si="230"/>
        <v>0</v>
      </c>
      <c r="AV310">
        <f t="shared" si="231"/>
        <v>9</v>
      </c>
      <c r="AW310">
        <f t="shared" si="232"/>
        <v>443.7</v>
      </c>
      <c r="AX310">
        <f t="shared" si="233"/>
        <v>0</v>
      </c>
      <c r="AY310">
        <f t="shared" si="234"/>
        <v>0</v>
      </c>
      <c r="AZ310">
        <f t="shared" si="235"/>
        <v>0</v>
      </c>
      <c r="BA310">
        <f t="shared" si="236"/>
        <v>0</v>
      </c>
      <c r="BB310">
        <f t="shared" si="237"/>
        <v>0</v>
      </c>
      <c r="BC310">
        <f t="shared" si="238"/>
        <v>0</v>
      </c>
      <c r="BD310">
        <f t="shared" si="239"/>
        <v>0</v>
      </c>
      <c r="BE310">
        <f t="shared" si="240"/>
        <v>0</v>
      </c>
      <c r="BF310">
        <f t="shared" si="241"/>
        <v>0</v>
      </c>
      <c r="BG310">
        <f t="shared" si="242"/>
        <v>0</v>
      </c>
      <c r="BH310">
        <f t="shared" si="243"/>
        <v>0</v>
      </c>
      <c r="BI310">
        <f t="shared" si="244"/>
        <v>0</v>
      </c>
      <c r="BJ310">
        <f t="shared" si="245"/>
        <v>0</v>
      </c>
      <c r="BK310">
        <f t="shared" si="246"/>
        <v>0</v>
      </c>
      <c r="BL310">
        <v>0</v>
      </c>
      <c r="BM310" t="str">
        <f t="shared" si="253"/>
        <v>Big Win</v>
      </c>
      <c r="BN310" s="32" t="str">
        <f t="shared" si="254"/>
        <v>Free Plays A</v>
      </c>
      <c r="BO310">
        <f>(D310/Summary!$C$4-Summary!$C$8)^2*E310</f>
        <v>21144.068099999997</v>
      </c>
      <c r="BP310">
        <f t="shared" si="247"/>
        <v>0</v>
      </c>
      <c r="BQ310">
        <f t="shared" si="248"/>
        <v>0</v>
      </c>
      <c r="BR310">
        <f t="shared" si="249"/>
        <v>0</v>
      </c>
      <c r="BS310">
        <f t="shared" si="250"/>
        <v>0</v>
      </c>
    </row>
    <row r="311" spans="2:71">
      <c r="B311" s="16">
        <f>Tiers!B312</f>
        <v>309</v>
      </c>
      <c r="C311" s="17" t="str">
        <f>Tiers!Y312</f>
        <v>main-4|main-4|main-4|main-3|main-34|freeplayA-6|||| x 1</v>
      </c>
      <c r="D311" s="18">
        <f>Tiers!C312</f>
        <v>54.5</v>
      </c>
      <c r="E311" s="19">
        <f>Frequency!E313</f>
        <v>9</v>
      </c>
      <c r="F311" s="19">
        <f t="shared" si="204"/>
        <v>490.5</v>
      </c>
      <c r="G311" s="19">
        <f>IF(Tiers!D312&gt;1,'Data Analysis'!E311,0)</f>
        <v>0</v>
      </c>
      <c r="H311" s="19">
        <f t="shared" si="205"/>
        <v>0</v>
      </c>
      <c r="I311" s="19">
        <f>IF(AND(D311/Summary!$C$4&gt;0, D311/Summary!$C$4&lt;5),E311,0) * D311</f>
        <v>0</v>
      </c>
      <c r="J311" s="19">
        <f>IF(AND(D311/Summary!$C$4&gt;= 5, D311/Summary!$C$4&lt;10),E311,0) * D311</f>
        <v>0</v>
      </c>
      <c r="K311" s="19">
        <f>IF(AND(D311/Summary!$C$4&gt;=10, D311/Summary!$C$4&lt;25),E311,0)*D311</f>
        <v>0</v>
      </c>
      <c r="L311" s="19">
        <f>IF(D311/Summary!$C$4&gt;=25,E311,0)*D311</f>
        <v>490.5</v>
      </c>
      <c r="M311" s="27">
        <f>IF(AND(D311/Summary!$C$4&gt;0, D311/Summary!$C$4&lt;1),E311,0)</f>
        <v>0</v>
      </c>
      <c r="N311" s="27">
        <f t="shared" si="206"/>
        <v>0</v>
      </c>
      <c r="O311" s="27">
        <f>IF(D311/Summary!$C$4=1,1,0)*E311</f>
        <v>0</v>
      </c>
      <c r="P311" s="27">
        <f t="shared" si="207"/>
        <v>0</v>
      </c>
      <c r="Q311" s="27">
        <f>IF(AND(D311/Summary!$C$4&gt;1, D311/Summary!$C$4&lt;=2),1,0)*E311</f>
        <v>0</v>
      </c>
      <c r="R311" s="27">
        <f t="shared" si="208"/>
        <v>0</v>
      </c>
      <c r="S311" s="27">
        <f>IF(AND(D311/Summary!$C$4&gt;2,D311/Summary!$C$4&lt;=5),1,0)*E311</f>
        <v>0</v>
      </c>
      <c r="T311" s="27">
        <f t="shared" si="209"/>
        <v>0</v>
      </c>
      <c r="U311" s="27">
        <f>IF(AND(D311/Summary!$C$4&gt;5, D311/Summary!$C$4&lt;=10),1,0)*E311</f>
        <v>0</v>
      </c>
      <c r="V311" s="27">
        <f t="shared" si="210"/>
        <v>0</v>
      </c>
      <c r="W311" s="27">
        <f>IF(AND(D311/Summary!$C$4&gt;10, D311/Summary!$C$4&lt;=20),1,0)*E311</f>
        <v>0</v>
      </c>
      <c r="X311" s="27">
        <f t="shared" si="211"/>
        <v>0</v>
      </c>
      <c r="Y311" s="27">
        <f>IF(AND(D311/Summary!$C$4&gt;20, D311/Summary!$C$4&lt;=30),1,0)*E311</f>
        <v>0</v>
      </c>
      <c r="Z311" s="27">
        <f t="shared" si="212"/>
        <v>0</v>
      </c>
      <c r="AA311" s="27">
        <f>IF(AND(D311/Summary!$C$4&gt;30, D311/Summary!$C$4&lt;=50),1,0)*E311</f>
        <v>0</v>
      </c>
      <c r="AB311" s="27">
        <f t="shared" si="213"/>
        <v>0</v>
      </c>
      <c r="AC311" s="27">
        <f>IF(AND(D311/Summary!$C$4&gt;50, D311/Summary!$C$4&lt;=100),1,0)*E311</f>
        <v>9</v>
      </c>
      <c r="AD311" s="27">
        <f t="shared" si="214"/>
        <v>490.5</v>
      </c>
      <c r="AE311" s="27">
        <f>IF(D311/Summary!$C$4&gt;100,1,0)*E311</f>
        <v>0</v>
      </c>
      <c r="AF311" s="27">
        <f t="shared" si="215"/>
        <v>0</v>
      </c>
      <c r="AG311" s="19">
        <f t="shared" si="216"/>
        <v>9</v>
      </c>
      <c r="AH311" s="19">
        <f t="shared" si="217"/>
        <v>0</v>
      </c>
      <c r="AI311" s="19">
        <f t="shared" si="218"/>
        <v>0</v>
      </c>
      <c r="AJ311" s="27">
        <f t="shared" si="219"/>
        <v>1</v>
      </c>
      <c r="AK311" s="27">
        <f t="shared" si="220"/>
        <v>9</v>
      </c>
      <c r="AL311" s="27">
        <f t="shared" si="221"/>
        <v>490.5</v>
      </c>
      <c r="AM311">
        <f t="shared" si="222"/>
        <v>0</v>
      </c>
      <c r="AN311">
        <f t="shared" si="223"/>
        <v>0</v>
      </c>
      <c r="AO311">
        <f t="shared" si="224"/>
        <v>0</v>
      </c>
      <c r="AP311">
        <f t="shared" si="225"/>
        <v>0</v>
      </c>
      <c r="AQ311">
        <f t="shared" si="226"/>
        <v>0</v>
      </c>
      <c r="AR311">
        <f t="shared" si="227"/>
        <v>0</v>
      </c>
      <c r="AS311">
        <f t="shared" si="228"/>
        <v>0</v>
      </c>
      <c r="AT311">
        <f t="shared" si="229"/>
        <v>0</v>
      </c>
      <c r="AU311">
        <f t="shared" si="230"/>
        <v>0</v>
      </c>
      <c r="AV311">
        <f t="shared" si="231"/>
        <v>9</v>
      </c>
      <c r="AW311">
        <f t="shared" si="232"/>
        <v>490.5</v>
      </c>
      <c r="AX311">
        <f t="shared" si="233"/>
        <v>0</v>
      </c>
      <c r="AY311">
        <f t="shared" si="234"/>
        <v>0</v>
      </c>
      <c r="AZ311">
        <f t="shared" si="235"/>
        <v>0</v>
      </c>
      <c r="BA311">
        <f t="shared" si="236"/>
        <v>0</v>
      </c>
      <c r="BB311">
        <f t="shared" si="237"/>
        <v>0</v>
      </c>
      <c r="BC311">
        <f t="shared" si="238"/>
        <v>0</v>
      </c>
      <c r="BD311">
        <f t="shared" si="239"/>
        <v>0</v>
      </c>
      <c r="BE311">
        <f t="shared" si="240"/>
        <v>0</v>
      </c>
      <c r="BF311">
        <f t="shared" si="241"/>
        <v>0</v>
      </c>
      <c r="BG311">
        <f t="shared" si="242"/>
        <v>0</v>
      </c>
      <c r="BH311">
        <f t="shared" si="243"/>
        <v>0</v>
      </c>
      <c r="BI311">
        <f t="shared" si="244"/>
        <v>0</v>
      </c>
      <c r="BJ311">
        <f t="shared" si="245"/>
        <v>0</v>
      </c>
      <c r="BK311">
        <f t="shared" si="246"/>
        <v>0</v>
      </c>
      <c r="BL311">
        <v>0</v>
      </c>
      <c r="BM311" t="str">
        <f t="shared" si="253"/>
        <v>Huge Win</v>
      </c>
      <c r="BN311" s="32" t="str">
        <f t="shared" si="254"/>
        <v>Free Plays A</v>
      </c>
      <c r="BO311">
        <f>(D311/Summary!$C$4-Summary!$C$8)^2*E311</f>
        <v>25924.220100000002</v>
      </c>
      <c r="BP311">
        <f t="shared" si="247"/>
        <v>0</v>
      </c>
      <c r="BQ311">
        <f t="shared" si="248"/>
        <v>0</v>
      </c>
      <c r="BR311">
        <f t="shared" si="249"/>
        <v>0</v>
      </c>
      <c r="BS311">
        <f t="shared" si="250"/>
        <v>0</v>
      </c>
    </row>
    <row r="312" spans="2:71">
      <c r="B312" s="16">
        <f>Tiers!B313</f>
        <v>310</v>
      </c>
      <c r="C312" s="17" t="str">
        <f>Tiers!Y313</f>
        <v>main-5|main-21|main-4|main-4|main-1|freeplayA-7|||| x 1</v>
      </c>
      <c r="D312" s="18">
        <f>Tiers!C313</f>
        <v>49.1</v>
      </c>
      <c r="E312" s="19">
        <f>Frequency!E314</f>
        <v>9</v>
      </c>
      <c r="F312" s="19">
        <f t="shared" si="204"/>
        <v>441.90000000000003</v>
      </c>
      <c r="G312" s="19">
        <f>IF(Tiers!D313&gt;1,'Data Analysis'!E312,0)</f>
        <v>0</v>
      </c>
      <c r="H312" s="19">
        <f t="shared" si="205"/>
        <v>0</v>
      </c>
      <c r="I312" s="19">
        <f>IF(AND(D312/Summary!$C$4&gt;0, D312/Summary!$C$4&lt;5),E312,0) * D312</f>
        <v>0</v>
      </c>
      <c r="J312" s="19">
        <f>IF(AND(D312/Summary!$C$4&gt;= 5, D312/Summary!$C$4&lt;10),E312,0) * D312</f>
        <v>0</v>
      </c>
      <c r="K312" s="19">
        <f>IF(AND(D312/Summary!$C$4&gt;=10, D312/Summary!$C$4&lt;25),E312,0)*D312</f>
        <v>0</v>
      </c>
      <c r="L312" s="19">
        <f>IF(D312/Summary!$C$4&gt;=25,E312,0)*D312</f>
        <v>441.90000000000003</v>
      </c>
      <c r="M312" s="27">
        <f>IF(AND(D312/Summary!$C$4&gt;0, D312/Summary!$C$4&lt;1),E312,0)</f>
        <v>0</v>
      </c>
      <c r="N312" s="27">
        <f t="shared" si="206"/>
        <v>0</v>
      </c>
      <c r="O312" s="27">
        <f>IF(D312/Summary!$C$4=1,1,0)*E312</f>
        <v>0</v>
      </c>
      <c r="P312" s="27">
        <f t="shared" si="207"/>
        <v>0</v>
      </c>
      <c r="Q312" s="27">
        <f>IF(AND(D312/Summary!$C$4&gt;1, D312/Summary!$C$4&lt;=2),1,0)*E312</f>
        <v>0</v>
      </c>
      <c r="R312" s="27">
        <f t="shared" si="208"/>
        <v>0</v>
      </c>
      <c r="S312" s="27">
        <f>IF(AND(D312/Summary!$C$4&gt;2,D312/Summary!$C$4&lt;=5),1,0)*E312</f>
        <v>0</v>
      </c>
      <c r="T312" s="27">
        <f t="shared" si="209"/>
        <v>0</v>
      </c>
      <c r="U312" s="27">
        <f>IF(AND(D312/Summary!$C$4&gt;5, D312/Summary!$C$4&lt;=10),1,0)*E312</f>
        <v>0</v>
      </c>
      <c r="V312" s="27">
        <f t="shared" si="210"/>
        <v>0</v>
      </c>
      <c r="W312" s="27">
        <f>IF(AND(D312/Summary!$C$4&gt;10, D312/Summary!$C$4&lt;=20),1,0)*E312</f>
        <v>0</v>
      </c>
      <c r="X312" s="27">
        <f t="shared" si="211"/>
        <v>0</v>
      </c>
      <c r="Y312" s="27">
        <f>IF(AND(D312/Summary!$C$4&gt;20, D312/Summary!$C$4&lt;=30),1,0)*E312</f>
        <v>0</v>
      </c>
      <c r="Z312" s="27">
        <f t="shared" si="212"/>
        <v>0</v>
      </c>
      <c r="AA312" s="27">
        <f>IF(AND(D312/Summary!$C$4&gt;30, D312/Summary!$C$4&lt;=50),1,0)*E312</f>
        <v>9</v>
      </c>
      <c r="AB312" s="27">
        <f t="shared" si="213"/>
        <v>441.90000000000003</v>
      </c>
      <c r="AC312" s="27">
        <f>IF(AND(D312/Summary!$C$4&gt;50, D312/Summary!$C$4&lt;=100),1,0)*E312</f>
        <v>0</v>
      </c>
      <c r="AD312" s="27">
        <f t="shared" si="214"/>
        <v>0</v>
      </c>
      <c r="AE312" s="27">
        <f>IF(D312/Summary!$C$4&gt;100,1,0)*E312</f>
        <v>0</v>
      </c>
      <c r="AF312" s="27">
        <f t="shared" si="215"/>
        <v>0</v>
      </c>
      <c r="AG312" s="19">
        <f t="shared" si="216"/>
        <v>9</v>
      </c>
      <c r="AH312" s="19">
        <f t="shared" si="217"/>
        <v>0</v>
      </c>
      <c r="AI312" s="19">
        <f t="shared" si="218"/>
        <v>0</v>
      </c>
      <c r="AJ312" s="27">
        <f t="shared" si="219"/>
        <v>1</v>
      </c>
      <c r="AK312" s="27">
        <f t="shared" si="220"/>
        <v>9</v>
      </c>
      <c r="AL312" s="27">
        <f t="shared" si="221"/>
        <v>441.90000000000003</v>
      </c>
      <c r="AM312">
        <f t="shared" si="222"/>
        <v>0</v>
      </c>
      <c r="AN312">
        <f t="shared" si="223"/>
        <v>0</v>
      </c>
      <c r="AO312">
        <f t="shared" si="224"/>
        <v>0</v>
      </c>
      <c r="AP312">
        <f t="shared" si="225"/>
        <v>0</v>
      </c>
      <c r="AQ312">
        <f t="shared" si="226"/>
        <v>0</v>
      </c>
      <c r="AR312">
        <f t="shared" si="227"/>
        <v>0</v>
      </c>
      <c r="AS312">
        <f t="shared" si="228"/>
        <v>0</v>
      </c>
      <c r="AT312">
        <f t="shared" si="229"/>
        <v>0</v>
      </c>
      <c r="AU312">
        <f t="shared" si="230"/>
        <v>0</v>
      </c>
      <c r="AV312">
        <f t="shared" si="231"/>
        <v>9</v>
      </c>
      <c r="AW312">
        <f t="shared" si="232"/>
        <v>441.90000000000003</v>
      </c>
      <c r="AX312">
        <f t="shared" si="233"/>
        <v>0</v>
      </c>
      <c r="AY312">
        <f t="shared" si="234"/>
        <v>0</v>
      </c>
      <c r="AZ312">
        <f t="shared" si="235"/>
        <v>0</v>
      </c>
      <c r="BA312">
        <f t="shared" si="236"/>
        <v>0</v>
      </c>
      <c r="BB312">
        <f t="shared" si="237"/>
        <v>0</v>
      </c>
      <c r="BC312">
        <f t="shared" si="238"/>
        <v>0</v>
      </c>
      <c r="BD312">
        <f t="shared" si="239"/>
        <v>0</v>
      </c>
      <c r="BE312">
        <f t="shared" si="240"/>
        <v>0</v>
      </c>
      <c r="BF312">
        <f t="shared" si="241"/>
        <v>0</v>
      </c>
      <c r="BG312">
        <f t="shared" si="242"/>
        <v>0</v>
      </c>
      <c r="BH312">
        <f t="shared" si="243"/>
        <v>0</v>
      </c>
      <c r="BI312">
        <f t="shared" si="244"/>
        <v>0</v>
      </c>
      <c r="BJ312">
        <f t="shared" si="245"/>
        <v>0</v>
      </c>
      <c r="BK312">
        <f t="shared" si="246"/>
        <v>0</v>
      </c>
      <c r="BL312">
        <v>0</v>
      </c>
      <c r="BM312" t="str">
        <f t="shared" si="253"/>
        <v>Big Win</v>
      </c>
      <c r="BN312" s="32" t="str">
        <f t="shared" si="254"/>
        <v>Free Plays A</v>
      </c>
      <c r="BO312">
        <f>(D312/Summary!$C$4-Summary!$C$8)^2*E312</f>
        <v>20969.936100000003</v>
      </c>
      <c r="BP312">
        <f t="shared" si="247"/>
        <v>0</v>
      </c>
      <c r="BQ312">
        <f t="shared" si="248"/>
        <v>0</v>
      </c>
      <c r="BR312">
        <f t="shared" si="249"/>
        <v>0</v>
      </c>
      <c r="BS312">
        <f t="shared" si="250"/>
        <v>0</v>
      </c>
    </row>
    <row r="313" spans="2:71">
      <c r="B313" s="16">
        <f>Tiers!B314</f>
        <v>311</v>
      </c>
      <c r="C313" s="17" t="str">
        <f>Tiers!Y314</f>
        <v>main-7|main-5|main-5|main-14|main-3|freeplayA-8|||| x 1</v>
      </c>
      <c r="D313" s="18">
        <f>Tiers!C314</f>
        <v>45</v>
      </c>
      <c r="E313" s="19">
        <f>Frequency!E315</f>
        <v>10</v>
      </c>
      <c r="F313" s="19">
        <f t="shared" si="204"/>
        <v>450</v>
      </c>
      <c r="G313" s="19">
        <f>IF(Tiers!D314&gt;1,'Data Analysis'!E313,0)</f>
        <v>0</v>
      </c>
      <c r="H313" s="19">
        <f t="shared" si="205"/>
        <v>0</v>
      </c>
      <c r="I313" s="19">
        <f>IF(AND(D313/Summary!$C$4&gt;0, D313/Summary!$C$4&lt;5),E313,0) * D313</f>
        <v>0</v>
      </c>
      <c r="J313" s="19">
        <f>IF(AND(D313/Summary!$C$4&gt;= 5, D313/Summary!$C$4&lt;10),E313,0) * D313</f>
        <v>0</v>
      </c>
      <c r="K313" s="19">
        <f>IF(AND(D313/Summary!$C$4&gt;=10, D313/Summary!$C$4&lt;25),E313,0)*D313</f>
        <v>0</v>
      </c>
      <c r="L313" s="19">
        <f>IF(D313/Summary!$C$4&gt;=25,E313,0)*D313</f>
        <v>450</v>
      </c>
      <c r="M313" s="27">
        <f>IF(AND(D313/Summary!$C$4&gt;0, D313/Summary!$C$4&lt;1),E313,0)</f>
        <v>0</v>
      </c>
      <c r="N313" s="27">
        <f t="shared" si="206"/>
        <v>0</v>
      </c>
      <c r="O313" s="27">
        <f>IF(D313/Summary!$C$4=1,1,0)*E313</f>
        <v>0</v>
      </c>
      <c r="P313" s="27">
        <f t="shared" si="207"/>
        <v>0</v>
      </c>
      <c r="Q313" s="27">
        <f>IF(AND(D313/Summary!$C$4&gt;1, D313/Summary!$C$4&lt;=2),1,0)*E313</f>
        <v>0</v>
      </c>
      <c r="R313" s="27">
        <f t="shared" si="208"/>
        <v>0</v>
      </c>
      <c r="S313" s="27">
        <f>IF(AND(D313/Summary!$C$4&gt;2,D313/Summary!$C$4&lt;=5),1,0)*E313</f>
        <v>0</v>
      </c>
      <c r="T313" s="27">
        <f t="shared" si="209"/>
        <v>0</v>
      </c>
      <c r="U313" s="27">
        <f>IF(AND(D313/Summary!$C$4&gt;5, D313/Summary!$C$4&lt;=10),1,0)*E313</f>
        <v>0</v>
      </c>
      <c r="V313" s="27">
        <f t="shared" si="210"/>
        <v>0</v>
      </c>
      <c r="W313" s="27">
        <f>IF(AND(D313/Summary!$C$4&gt;10, D313/Summary!$C$4&lt;=20),1,0)*E313</f>
        <v>0</v>
      </c>
      <c r="X313" s="27">
        <f t="shared" si="211"/>
        <v>0</v>
      </c>
      <c r="Y313" s="27">
        <f>IF(AND(D313/Summary!$C$4&gt;20, D313/Summary!$C$4&lt;=30),1,0)*E313</f>
        <v>0</v>
      </c>
      <c r="Z313" s="27">
        <f t="shared" si="212"/>
        <v>0</v>
      </c>
      <c r="AA313" s="27">
        <f>IF(AND(D313/Summary!$C$4&gt;30, D313/Summary!$C$4&lt;=50),1,0)*E313</f>
        <v>10</v>
      </c>
      <c r="AB313" s="27">
        <f t="shared" si="213"/>
        <v>450</v>
      </c>
      <c r="AC313" s="27">
        <f>IF(AND(D313/Summary!$C$4&gt;50, D313/Summary!$C$4&lt;=100),1,0)*E313</f>
        <v>0</v>
      </c>
      <c r="AD313" s="27">
        <f t="shared" si="214"/>
        <v>0</v>
      </c>
      <c r="AE313" s="27">
        <f>IF(D313/Summary!$C$4&gt;100,1,0)*E313</f>
        <v>0</v>
      </c>
      <c r="AF313" s="27">
        <f t="shared" si="215"/>
        <v>0</v>
      </c>
      <c r="AG313" s="19">
        <f t="shared" si="216"/>
        <v>10</v>
      </c>
      <c r="AH313" s="19">
        <f t="shared" si="217"/>
        <v>0</v>
      </c>
      <c r="AI313" s="19">
        <f t="shared" si="218"/>
        <v>0</v>
      </c>
      <c r="AJ313" s="27">
        <f t="shared" si="219"/>
        <v>1</v>
      </c>
      <c r="AK313" s="27">
        <f t="shared" si="220"/>
        <v>10</v>
      </c>
      <c r="AL313" s="27">
        <f t="shared" si="221"/>
        <v>450</v>
      </c>
      <c r="AM313">
        <f t="shared" si="222"/>
        <v>0</v>
      </c>
      <c r="AN313">
        <f t="shared" si="223"/>
        <v>0</v>
      </c>
      <c r="AO313">
        <f t="shared" si="224"/>
        <v>0</v>
      </c>
      <c r="AP313">
        <f t="shared" si="225"/>
        <v>0</v>
      </c>
      <c r="AQ313">
        <f t="shared" si="226"/>
        <v>0</v>
      </c>
      <c r="AR313">
        <f t="shared" si="227"/>
        <v>0</v>
      </c>
      <c r="AS313">
        <f t="shared" si="228"/>
        <v>0</v>
      </c>
      <c r="AT313">
        <f t="shared" si="229"/>
        <v>0</v>
      </c>
      <c r="AU313">
        <f t="shared" si="230"/>
        <v>0</v>
      </c>
      <c r="AV313">
        <f t="shared" si="231"/>
        <v>10</v>
      </c>
      <c r="AW313">
        <f t="shared" si="232"/>
        <v>450</v>
      </c>
      <c r="AX313">
        <f t="shared" si="233"/>
        <v>0</v>
      </c>
      <c r="AY313">
        <f t="shared" si="234"/>
        <v>0</v>
      </c>
      <c r="AZ313">
        <f t="shared" si="235"/>
        <v>0</v>
      </c>
      <c r="BA313">
        <f t="shared" si="236"/>
        <v>0</v>
      </c>
      <c r="BB313">
        <f t="shared" si="237"/>
        <v>0</v>
      </c>
      <c r="BC313">
        <f t="shared" si="238"/>
        <v>0</v>
      </c>
      <c r="BD313">
        <f t="shared" si="239"/>
        <v>0</v>
      </c>
      <c r="BE313">
        <f t="shared" si="240"/>
        <v>0</v>
      </c>
      <c r="BF313">
        <f t="shared" si="241"/>
        <v>0</v>
      </c>
      <c r="BG313">
        <f t="shared" si="242"/>
        <v>0</v>
      </c>
      <c r="BH313">
        <f t="shared" si="243"/>
        <v>0</v>
      </c>
      <c r="BI313">
        <f t="shared" si="244"/>
        <v>0</v>
      </c>
      <c r="BJ313">
        <f t="shared" si="245"/>
        <v>0</v>
      </c>
      <c r="BK313">
        <f t="shared" si="246"/>
        <v>0</v>
      </c>
      <c r="BL313">
        <v>0</v>
      </c>
      <c r="BM313" t="str">
        <f t="shared" si="253"/>
        <v>Big Win</v>
      </c>
      <c r="BN313" s="32" t="str">
        <f t="shared" si="254"/>
        <v>Free Plays A</v>
      </c>
      <c r="BO313">
        <f>(D313/Summary!$C$4-Summary!$C$8)^2*E313</f>
        <v>19509.888999999999</v>
      </c>
      <c r="BP313">
        <f t="shared" si="247"/>
        <v>0</v>
      </c>
      <c r="BQ313">
        <f t="shared" si="248"/>
        <v>0</v>
      </c>
      <c r="BR313">
        <f t="shared" si="249"/>
        <v>0</v>
      </c>
      <c r="BS313">
        <f t="shared" si="250"/>
        <v>0</v>
      </c>
    </row>
    <row r="314" spans="2:71">
      <c r="B314" s="16">
        <f>Tiers!B315</f>
        <v>312</v>
      </c>
      <c r="C314" s="17" t="str">
        <f>Tiers!Y315</f>
        <v>main-0|freeplayA-3|||||||| x 20</v>
      </c>
      <c r="D314" s="18">
        <f>Tiers!C315</f>
        <v>37</v>
      </c>
      <c r="E314" s="19">
        <f>Frequency!E316</f>
        <v>100</v>
      </c>
      <c r="F314" s="19">
        <f t="shared" si="204"/>
        <v>3700</v>
      </c>
      <c r="G314" s="19">
        <f>IF(Tiers!D315&gt;1,'Data Analysis'!E314,0)</f>
        <v>100</v>
      </c>
      <c r="H314" s="19">
        <f t="shared" si="205"/>
        <v>3700</v>
      </c>
      <c r="I314" s="19">
        <f>IF(AND(D314/Summary!$C$4&gt;0, D314/Summary!$C$4&lt;5),E314,0) * D314</f>
        <v>0</v>
      </c>
      <c r="J314" s="19">
        <f>IF(AND(D314/Summary!$C$4&gt;= 5, D314/Summary!$C$4&lt;10),E314,0) * D314</f>
        <v>0</v>
      </c>
      <c r="K314" s="19">
        <f>IF(AND(D314/Summary!$C$4&gt;=10, D314/Summary!$C$4&lt;25),E314,0)*D314</f>
        <v>0</v>
      </c>
      <c r="L314" s="19">
        <f>IF(D314/Summary!$C$4&gt;=25,E314,0)*D314</f>
        <v>3700</v>
      </c>
      <c r="M314" s="27">
        <f>IF(AND(D314/Summary!$C$4&gt;0, D314/Summary!$C$4&lt;1),E314,0)</f>
        <v>0</v>
      </c>
      <c r="N314" s="27">
        <f t="shared" si="206"/>
        <v>0</v>
      </c>
      <c r="O314" s="27">
        <f>IF(D314/Summary!$C$4=1,1,0)*E314</f>
        <v>0</v>
      </c>
      <c r="P314" s="27">
        <f t="shared" si="207"/>
        <v>0</v>
      </c>
      <c r="Q314" s="27">
        <f>IF(AND(D314/Summary!$C$4&gt;1, D314/Summary!$C$4&lt;=2),1,0)*E314</f>
        <v>0</v>
      </c>
      <c r="R314" s="27">
        <f t="shared" si="208"/>
        <v>0</v>
      </c>
      <c r="S314" s="27">
        <f>IF(AND(D314/Summary!$C$4&gt;2,D314/Summary!$C$4&lt;=5),1,0)*E314</f>
        <v>0</v>
      </c>
      <c r="T314" s="27">
        <f t="shared" si="209"/>
        <v>0</v>
      </c>
      <c r="U314" s="27">
        <f>IF(AND(D314/Summary!$C$4&gt;5, D314/Summary!$C$4&lt;=10),1,0)*E314</f>
        <v>0</v>
      </c>
      <c r="V314" s="27">
        <f t="shared" si="210"/>
        <v>0</v>
      </c>
      <c r="W314" s="27">
        <f>IF(AND(D314/Summary!$C$4&gt;10, D314/Summary!$C$4&lt;=20),1,0)*E314</f>
        <v>0</v>
      </c>
      <c r="X314" s="27">
        <f t="shared" si="211"/>
        <v>0</v>
      </c>
      <c r="Y314" s="27">
        <f>IF(AND(D314/Summary!$C$4&gt;20, D314/Summary!$C$4&lt;=30),1,0)*E314</f>
        <v>0</v>
      </c>
      <c r="Z314" s="27">
        <f t="shared" si="212"/>
        <v>0</v>
      </c>
      <c r="AA314" s="27">
        <f>IF(AND(D314/Summary!$C$4&gt;30, D314/Summary!$C$4&lt;=50),1,0)*E314</f>
        <v>100</v>
      </c>
      <c r="AB314" s="27">
        <f t="shared" si="213"/>
        <v>3700</v>
      </c>
      <c r="AC314" s="27">
        <f>IF(AND(D314/Summary!$C$4&gt;50, D314/Summary!$C$4&lt;=100),1,0)*E314</f>
        <v>0</v>
      </c>
      <c r="AD314" s="27">
        <f t="shared" si="214"/>
        <v>0</v>
      </c>
      <c r="AE314" s="27">
        <f>IF(D314/Summary!$C$4&gt;100,1,0)*E314</f>
        <v>0</v>
      </c>
      <c r="AF314" s="27">
        <f t="shared" si="215"/>
        <v>0</v>
      </c>
      <c r="AG314" s="19">
        <f t="shared" si="216"/>
        <v>100</v>
      </c>
      <c r="AH314" s="19">
        <f t="shared" si="217"/>
        <v>0</v>
      </c>
      <c r="AI314" s="19">
        <f t="shared" si="218"/>
        <v>0</v>
      </c>
      <c r="AJ314" s="27">
        <f t="shared" si="219"/>
        <v>1</v>
      </c>
      <c r="AK314" s="27">
        <f t="shared" si="220"/>
        <v>100</v>
      </c>
      <c r="AL314" s="27">
        <f t="shared" si="221"/>
        <v>3700</v>
      </c>
      <c r="AM314">
        <f t="shared" si="222"/>
        <v>0</v>
      </c>
      <c r="AN314">
        <f t="shared" si="223"/>
        <v>0</v>
      </c>
      <c r="AO314">
        <f t="shared" si="224"/>
        <v>0</v>
      </c>
      <c r="AP314">
        <f t="shared" si="225"/>
        <v>0</v>
      </c>
      <c r="AQ314">
        <f t="shared" si="226"/>
        <v>0</v>
      </c>
      <c r="AR314">
        <f t="shared" si="227"/>
        <v>0</v>
      </c>
      <c r="AS314">
        <f t="shared" si="228"/>
        <v>0</v>
      </c>
      <c r="AT314">
        <f t="shared" si="229"/>
        <v>0</v>
      </c>
      <c r="AU314">
        <f t="shared" si="230"/>
        <v>0</v>
      </c>
      <c r="AV314">
        <f t="shared" si="231"/>
        <v>100</v>
      </c>
      <c r="AW314">
        <f t="shared" si="232"/>
        <v>3700</v>
      </c>
      <c r="AX314">
        <f t="shared" si="233"/>
        <v>0</v>
      </c>
      <c r="AY314">
        <f t="shared" si="234"/>
        <v>0</v>
      </c>
      <c r="AZ314">
        <f t="shared" si="235"/>
        <v>0</v>
      </c>
      <c r="BA314">
        <f t="shared" si="236"/>
        <v>0</v>
      </c>
      <c r="BB314">
        <f t="shared" si="237"/>
        <v>0</v>
      </c>
      <c r="BC314">
        <f t="shared" si="238"/>
        <v>0</v>
      </c>
      <c r="BD314">
        <f t="shared" si="239"/>
        <v>0</v>
      </c>
      <c r="BE314">
        <f t="shared" si="240"/>
        <v>0</v>
      </c>
      <c r="BF314">
        <f t="shared" si="241"/>
        <v>0</v>
      </c>
      <c r="BG314">
        <f t="shared" si="242"/>
        <v>0</v>
      </c>
      <c r="BH314">
        <f t="shared" si="243"/>
        <v>0</v>
      </c>
      <c r="BI314">
        <f t="shared" si="244"/>
        <v>0</v>
      </c>
      <c r="BJ314">
        <f t="shared" si="245"/>
        <v>0</v>
      </c>
      <c r="BK314">
        <f t="shared" si="246"/>
        <v>0</v>
      </c>
      <c r="BL314">
        <v>0</v>
      </c>
      <c r="BM314" t="str">
        <f t="shared" si="253"/>
        <v>Big Win</v>
      </c>
      <c r="BN314" s="32" t="str">
        <f t="shared" si="254"/>
        <v>Free Plays A</v>
      </c>
      <c r="BO314">
        <f>(D314/Summary!$C$4-Summary!$C$8)^2*E314</f>
        <v>130826.89</v>
      </c>
      <c r="BP314">
        <f t="shared" si="247"/>
        <v>0</v>
      </c>
      <c r="BQ314">
        <f t="shared" si="248"/>
        <v>0</v>
      </c>
      <c r="BR314">
        <f t="shared" si="249"/>
        <v>0</v>
      </c>
      <c r="BS314">
        <f t="shared" si="250"/>
        <v>0</v>
      </c>
    </row>
    <row r="315" spans="2:71">
      <c r="B315" s="16">
        <f>Tiers!B316</f>
        <v>313</v>
      </c>
      <c r="C315" s="17" t="str">
        <f>Tiers!Y316</f>
        <v>main-1|freeplayA-4|||||||| x 20</v>
      </c>
      <c r="D315" s="18">
        <f>Tiers!C316</f>
        <v>22.6</v>
      </c>
      <c r="E315" s="19">
        <f>Frequency!E317</f>
        <v>100</v>
      </c>
      <c r="F315" s="19">
        <f t="shared" si="204"/>
        <v>2260</v>
      </c>
      <c r="G315" s="19">
        <f>IF(Tiers!D316&gt;1,'Data Analysis'!E315,0)</f>
        <v>100</v>
      </c>
      <c r="H315" s="19">
        <f t="shared" si="205"/>
        <v>2260</v>
      </c>
      <c r="I315" s="19">
        <f>IF(AND(D315/Summary!$C$4&gt;0, D315/Summary!$C$4&lt;5),E315,0) * D315</f>
        <v>0</v>
      </c>
      <c r="J315" s="19">
        <f>IF(AND(D315/Summary!$C$4&gt;= 5, D315/Summary!$C$4&lt;10),E315,0) * D315</f>
        <v>0</v>
      </c>
      <c r="K315" s="19">
        <f>IF(AND(D315/Summary!$C$4&gt;=10, D315/Summary!$C$4&lt;25),E315,0)*D315</f>
        <v>2260</v>
      </c>
      <c r="L315" s="19">
        <f>IF(D315/Summary!$C$4&gt;=25,E315,0)*D315</f>
        <v>0</v>
      </c>
      <c r="M315" s="27">
        <f>IF(AND(D315/Summary!$C$4&gt;0, D315/Summary!$C$4&lt;1),E315,0)</f>
        <v>0</v>
      </c>
      <c r="N315" s="27">
        <f t="shared" si="206"/>
        <v>0</v>
      </c>
      <c r="O315" s="27">
        <f>IF(D315/Summary!$C$4=1,1,0)*E315</f>
        <v>0</v>
      </c>
      <c r="P315" s="27">
        <f t="shared" si="207"/>
        <v>0</v>
      </c>
      <c r="Q315" s="27">
        <f>IF(AND(D315/Summary!$C$4&gt;1, D315/Summary!$C$4&lt;=2),1,0)*E315</f>
        <v>0</v>
      </c>
      <c r="R315" s="27">
        <f t="shared" si="208"/>
        <v>0</v>
      </c>
      <c r="S315" s="27">
        <f>IF(AND(D315/Summary!$C$4&gt;2,D315/Summary!$C$4&lt;=5),1,0)*E315</f>
        <v>0</v>
      </c>
      <c r="T315" s="27">
        <f t="shared" si="209"/>
        <v>0</v>
      </c>
      <c r="U315" s="27">
        <f>IF(AND(D315/Summary!$C$4&gt;5, D315/Summary!$C$4&lt;=10),1,0)*E315</f>
        <v>0</v>
      </c>
      <c r="V315" s="27">
        <f t="shared" si="210"/>
        <v>0</v>
      </c>
      <c r="W315" s="27">
        <f>IF(AND(D315/Summary!$C$4&gt;10, D315/Summary!$C$4&lt;=20),1,0)*E315</f>
        <v>0</v>
      </c>
      <c r="X315" s="27">
        <f t="shared" si="211"/>
        <v>0</v>
      </c>
      <c r="Y315" s="27">
        <f>IF(AND(D315/Summary!$C$4&gt;20, D315/Summary!$C$4&lt;=30),1,0)*E315</f>
        <v>100</v>
      </c>
      <c r="Z315" s="27">
        <f t="shared" si="212"/>
        <v>2260</v>
      </c>
      <c r="AA315" s="27">
        <f>IF(AND(D315/Summary!$C$4&gt;30, D315/Summary!$C$4&lt;=50),1,0)*E315</f>
        <v>0</v>
      </c>
      <c r="AB315" s="27">
        <f t="shared" si="213"/>
        <v>0</v>
      </c>
      <c r="AC315" s="27">
        <f>IF(AND(D315/Summary!$C$4&gt;50, D315/Summary!$C$4&lt;=100),1,0)*E315</f>
        <v>0</v>
      </c>
      <c r="AD315" s="27">
        <f t="shared" si="214"/>
        <v>0</v>
      </c>
      <c r="AE315" s="27">
        <f>IF(D315/Summary!$C$4&gt;100,1,0)*E315</f>
        <v>0</v>
      </c>
      <c r="AF315" s="27">
        <f t="shared" si="215"/>
        <v>0</v>
      </c>
      <c r="AG315" s="19">
        <f t="shared" si="216"/>
        <v>100</v>
      </c>
      <c r="AH315" s="19">
        <f t="shared" si="217"/>
        <v>0</v>
      </c>
      <c r="AI315" s="19">
        <f t="shared" si="218"/>
        <v>0</v>
      </c>
      <c r="AJ315" s="27">
        <f t="shared" si="219"/>
        <v>1</v>
      </c>
      <c r="AK315" s="27">
        <f t="shared" si="220"/>
        <v>100</v>
      </c>
      <c r="AL315" s="27">
        <f t="shared" si="221"/>
        <v>2260</v>
      </c>
      <c r="AM315">
        <f t="shared" si="222"/>
        <v>0</v>
      </c>
      <c r="AN315">
        <f t="shared" si="223"/>
        <v>0</v>
      </c>
      <c r="AO315">
        <f t="shared" si="224"/>
        <v>0</v>
      </c>
      <c r="AP315">
        <f t="shared" si="225"/>
        <v>0</v>
      </c>
      <c r="AQ315">
        <f t="shared" si="226"/>
        <v>0</v>
      </c>
      <c r="AR315">
        <f t="shared" si="227"/>
        <v>0</v>
      </c>
      <c r="AS315">
        <f t="shared" si="228"/>
        <v>0</v>
      </c>
      <c r="AT315">
        <f t="shared" si="229"/>
        <v>0</v>
      </c>
      <c r="AU315">
        <f t="shared" si="230"/>
        <v>0</v>
      </c>
      <c r="AV315">
        <f t="shared" si="231"/>
        <v>100</v>
      </c>
      <c r="AW315">
        <f t="shared" si="232"/>
        <v>2260</v>
      </c>
      <c r="AX315">
        <f t="shared" si="233"/>
        <v>0</v>
      </c>
      <c r="AY315">
        <f t="shared" si="234"/>
        <v>0</v>
      </c>
      <c r="AZ315">
        <f t="shared" si="235"/>
        <v>0</v>
      </c>
      <c r="BA315">
        <f t="shared" si="236"/>
        <v>0</v>
      </c>
      <c r="BB315">
        <f t="shared" si="237"/>
        <v>0</v>
      </c>
      <c r="BC315">
        <f t="shared" si="238"/>
        <v>0</v>
      </c>
      <c r="BD315">
        <f t="shared" si="239"/>
        <v>0</v>
      </c>
      <c r="BE315">
        <f t="shared" si="240"/>
        <v>0</v>
      </c>
      <c r="BF315">
        <f t="shared" si="241"/>
        <v>0</v>
      </c>
      <c r="BG315">
        <f t="shared" si="242"/>
        <v>0</v>
      </c>
      <c r="BH315">
        <f t="shared" si="243"/>
        <v>0</v>
      </c>
      <c r="BI315">
        <f t="shared" si="244"/>
        <v>0</v>
      </c>
      <c r="BJ315">
        <f t="shared" si="245"/>
        <v>0</v>
      </c>
      <c r="BK315">
        <f t="shared" si="246"/>
        <v>0</v>
      </c>
      <c r="BL315">
        <v>0</v>
      </c>
      <c r="BM315" t="str">
        <f t="shared" si="253"/>
        <v>Big Win</v>
      </c>
      <c r="BN315" s="32" t="str">
        <f t="shared" si="254"/>
        <v>Free Plays A</v>
      </c>
      <c r="BO315">
        <f>(D315/Summary!$C$4-Summary!$C$8)^2*E315</f>
        <v>47393.290000000015</v>
      </c>
      <c r="BP315">
        <f t="shared" si="247"/>
        <v>0</v>
      </c>
      <c r="BQ315">
        <f t="shared" si="248"/>
        <v>0</v>
      </c>
      <c r="BR315">
        <f t="shared" si="249"/>
        <v>0</v>
      </c>
      <c r="BS315">
        <f t="shared" si="250"/>
        <v>0</v>
      </c>
    </row>
    <row r="316" spans="2:71">
      <c r="B316" s="16">
        <f>Tiers!B317</f>
        <v>314</v>
      </c>
      <c r="C316" s="17" t="str">
        <f>Tiers!Y317</f>
        <v>main-2|freeplayA-5|||||||| x 20</v>
      </c>
      <c r="D316" s="18">
        <f>Tiers!C317</f>
        <v>35.299999999999997</v>
      </c>
      <c r="E316" s="19">
        <f>Frequency!E318</f>
        <v>100</v>
      </c>
      <c r="F316" s="19">
        <f t="shared" si="204"/>
        <v>3529.9999999999995</v>
      </c>
      <c r="G316" s="19">
        <f>IF(Tiers!D317&gt;1,'Data Analysis'!E316,0)</f>
        <v>100</v>
      </c>
      <c r="H316" s="19">
        <f t="shared" si="205"/>
        <v>3529.9999999999995</v>
      </c>
      <c r="I316" s="19">
        <f>IF(AND(D316/Summary!$C$4&gt;0, D316/Summary!$C$4&lt;5),E316,0) * D316</f>
        <v>0</v>
      </c>
      <c r="J316" s="19">
        <f>IF(AND(D316/Summary!$C$4&gt;= 5, D316/Summary!$C$4&lt;10),E316,0) * D316</f>
        <v>0</v>
      </c>
      <c r="K316" s="19">
        <f>IF(AND(D316/Summary!$C$4&gt;=10, D316/Summary!$C$4&lt;25),E316,0)*D316</f>
        <v>0</v>
      </c>
      <c r="L316" s="19">
        <f>IF(D316/Summary!$C$4&gt;=25,E316,0)*D316</f>
        <v>3529.9999999999995</v>
      </c>
      <c r="M316" s="27">
        <f>IF(AND(D316/Summary!$C$4&gt;0, D316/Summary!$C$4&lt;1),E316,0)</f>
        <v>0</v>
      </c>
      <c r="N316" s="27">
        <f t="shared" si="206"/>
        <v>0</v>
      </c>
      <c r="O316" s="27">
        <f>IF(D316/Summary!$C$4=1,1,0)*E316</f>
        <v>0</v>
      </c>
      <c r="P316" s="27">
        <f t="shared" si="207"/>
        <v>0</v>
      </c>
      <c r="Q316" s="27">
        <f>IF(AND(D316/Summary!$C$4&gt;1, D316/Summary!$C$4&lt;=2),1,0)*E316</f>
        <v>0</v>
      </c>
      <c r="R316" s="27">
        <f t="shared" si="208"/>
        <v>0</v>
      </c>
      <c r="S316" s="27">
        <f>IF(AND(D316/Summary!$C$4&gt;2,D316/Summary!$C$4&lt;=5),1,0)*E316</f>
        <v>0</v>
      </c>
      <c r="T316" s="27">
        <f t="shared" si="209"/>
        <v>0</v>
      </c>
      <c r="U316" s="27">
        <f>IF(AND(D316/Summary!$C$4&gt;5, D316/Summary!$C$4&lt;=10),1,0)*E316</f>
        <v>0</v>
      </c>
      <c r="V316" s="27">
        <f t="shared" si="210"/>
        <v>0</v>
      </c>
      <c r="W316" s="27">
        <f>IF(AND(D316/Summary!$C$4&gt;10, D316/Summary!$C$4&lt;=20),1,0)*E316</f>
        <v>0</v>
      </c>
      <c r="X316" s="27">
        <f t="shared" si="211"/>
        <v>0</v>
      </c>
      <c r="Y316" s="27">
        <f>IF(AND(D316/Summary!$C$4&gt;20, D316/Summary!$C$4&lt;=30),1,0)*E316</f>
        <v>0</v>
      </c>
      <c r="Z316" s="27">
        <f t="shared" si="212"/>
        <v>0</v>
      </c>
      <c r="AA316" s="27">
        <f>IF(AND(D316/Summary!$C$4&gt;30, D316/Summary!$C$4&lt;=50),1,0)*E316</f>
        <v>100</v>
      </c>
      <c r="AB316" s="27">
        <f t="shared" si="213"/>
        <v>3529.9999999999995</v>
      </c>
      <c r="AC316" s="27">
        <f>IF(AND(D316/Summary!$C$4&gt;50, D316/Summary!$C$4&lt;=100),1,0)*E316</f>
        <v>0</v>
      </c>
      <c r="AD316" s="27">
        <f t="shared" si="214"/>
        <v>0</v>
      </c>
      <c r="AE316" s="27">
        <f>IF(D316/Summary!$C$4&gt;100,1,0)*E316</f>
        <v>0</v>
      </c>
      <c r="AF316" s="27">
        <f t="shared" si="215"/>
        <v>0</v>
      </c>
      <c r="AG316" s="19">
        <f t="shared" si="216"/>
        <v>100</v>
      </c>
      <c r="AH316" s="19">
        <f t="shared" si="217"/>
        <v>0</v>
      </c>
      <c r="AI316" s="19">
        <f t="shared" si="218"/>
        <v>0</v>
      </c>
      <c r="AJ316" s="27">
        <f t="shared" si="219"/>
        <v>1</v>
      </c>
      <c r="AK316" s="27">
        <f t="shared" si="220"/>
        <v>100</v>
      </c>
      <c r="AL316" s="27">
        <f t="shared" si="221"/>
        <v>3529.9999999999995</v>
      </c>
      <c r="AM316">
        <f t="shared" si="222"/>
        <v>0</v>
      </c>
      <c r="AN316">
        <f t="shared" si="223"/>
        <v>0</v>
      </c>
      <c r="AO316">
        <f t="shared" si="224"/>
        <v>0</v>
      </c>
      <c r="AP316">
        <f t="shared" si="225"/>
        <v>0</v>
      </c>
      <c r="AQ316">
        <f t="shared" si="226"/>
        <v>0</v>
      </c>
      <c r="AR316">
        <f t="shared" si="227"/>
        <v>0</v>
      </c>
      <c r="AS316">
        <f t="shared" si="228"/>
        <v>0</v>
      </c>
      <c r="AT316">
        <f t="shared" si="229"/>
        <v>0</v>
      </c>
      <c r="AU316">
        <f t="shared" si="230"/>
        <v>0</v>
      </c>
      <c r="AV316">
        <f t="shared" si="231"/>
        <v>100</v>
      </c>
      <c r="AW316">
        <f t="shared" si="232"/>
        <v>3529.9999999999995</v>
      </c>
      <c r="AX316">
        <f t="shared" si="233"/>
        <v>0</v>
      </c>
      <c r="AY316">
        <f t="shared" si="234"/>
        <v>0</v>
      </c>
      <c r="AZ316">
        <f t="shared" si="235"/>
        <v>0</v>
      </c>
      <c r="BA316">
        <f t="shared" si="236"/>
        <v>0</v>
      </c>
      <c r="BB316">
        <f t="shared" si="237"/>
        <v>0</v>
      </c>
      <c r="BC316">
        <f t="shared" si="238"/>
        <v>0</v>
      </c>
      <c r="BD316">
        <f t="shared" si="239"/>
        <v>0</v>
      </c>
      <c r="BE316">
        <f t="shared" si="240"/>
        <v>0</v>
      </c>
      <c r="BF316">
        <f t="shared" si="241"/>
        <v>0</v>
      </c>
      <c r="BG316">
        <f t="shared" si="242"/>
        <v>0</v>
      </c>
      <c r="BH316">
        <f t="shared" si="243"/>
        <v>0</v>
      </c>
      <c r="BI316">
        <f t="shared" si="244"/>
        <v>0</v>
      </c>
      <c r="BJ316">
        <f t="shared" si="245"/>
        <v>0</v>
      </c>
      <c r="BK316">
        <f t="shared" si="246"/>
        <v>0</v>
      </c>
      <c r="BL316">
        <v>0</v>
      </c>
      <c r="BM316" t="str">
        <f t="shared" si="253"/>
        <v>Big Win</v>
      </c>
      <c r="BN316" s="32" t="str">
        <f t="shared" si="254"/>
        <v>Free Plays A</v>
      </c>
      <c r="BO316">
        <f>(D316/Summary!$C$4-Summary!$C$8)^2*E316</f>
        <v>118818.08999999998</v>
      </c>
      <c r="BP316">
        <f t="shared" si="247"/>
        <v>0</v>
      </c>
      <c r="BQ316">
        <f t="shared" si="248"/>
        <v>0</v>
      </c>
      <c r="BR316">
        <f t="shared" si="249"/>
        <v>0</v>
      </c>
      <c r="BS316">
        <f t="shared" si="250"/>
        <v>0</v>
      </c>
    </row>
    <row r="317" spans="2:71">
      <c r="B317" s="16">
        <f>Tiers!B318</f>
        <v>315</v>
      </c>
      <c r="C317" s="17" t="str">
        <f>Tiers!Y318</f>
        <v>main-3|freeplayA-6|||||||| x 20</v>
      </c>
      <c r="D317" s="18">
        <f>Tiers!C318</f>
        <v>49</v>
      </c>
      <c r="E317" s="19">
        <f>Frequency!E319</f>
        <v>9</v>
      </c>
      <c r="F317" s="19">
        <f t="shared" si="204"/>
        <v>441</v>
      </c>
      <c r="G317" s="19">
        <f>IF(Tiers!D318&gt;1,'Data Analysis'!E317,0)</f>
        <v>9</v>
      </c>
      <c r="H317" s="19">
        <f t="shared" si="205"/>
        <v>441</v>
      </c>
      <c r="I317" s="19">
        <f>IF(AND(D317/Summary!$C$4&gt;0, D317/Summary!$C$4&lt;5),E317,0) * D317</f>
        <v>0</v>
      </c>
      <c r="J317" s="19">
        <f>IF(AND(D317/Summary!$C$4&gt;= 5, D317/Summary!$C$4&lt;10),E317,0) * D317</f>
        <v>0</v>
      </c>
      <c r="K317" s="19">
        <f>IF(AND(D317/Summary!$C$4&gt;=10, D317/Summary!$C$4&lt;25),E317,0)*D317</f>
        <v>0</v>
      </c>
      <c r="L317" s="19">
        <f>IF(D317/Summary!$C$4&gt;=25,E317,0)*D317</f>
        <v>441</v>
      </c>
      <c r="M317" s="27">
        <f>IF(AND(D317/Summary!$C$4&gt;0, D317/Summary!$C$4&lt;1),E317,0)</f>
        <v>0</v>
      </c>
      <c r="N317" s="27">
        <f t="shared" si="206"/>
        <v>0</v>
      </c>
      <c r="O317" s="27">
        <f>IF(D317/Summary!$C$4=1,1,0)*E317</f>
        <v>0</v>
      </c>
      <c r="P317" s="27">
        <f t="shared" si="207"/>
        <v>0</v>
      </c>
      <c r="Q317" s="27">
        <f>IF(AND(D317/Summary!$C$4&gt;1, D317/Summary!$C$4&lt;=2),1,0)*E317</f>
        <v>0</v>
      </c>
      <c r="R317" s="27">
        <f t="shared" si="208"/>
        <v>0</v>
      </c>
      <c r="S317" s="27">
        <f>IF(AND(D317/Summary!$C$4&gt;2,D317/Summary!$C$4&lt;=5),1,0)*E317</f>
        <v>0</v>
      </c>
      <c r="T317" s="27">
        <f t="shared" si="209"/>
        <v>0</v>
      </c>
      <c r="U317" s="27">
        <f>IF(AND(D317/Summary!$C$4&gt;5, D317/Summary!$C$4&lt;=10),1,0)*E317</f>
        <v>0</v>
      </c>
      <c r="V317" s="27">
        <f t="shared" si="210"/>
        <v>0</v>
      </c>
      <c r="W317" s="27">
        <f>IF(AND(D317/Summary!$C$4&gt;10, D317/Summary!$C$4&lt;=20),1,0)*E317</f>
        <v>0</v>
      </c>
      <c r="X317" s="27">
        <f t="shared" si="211"/>
        <v>0</v>
      </c>
      <c r="Y317" s="27">
        <f>IF(AND(D317/Summary!$C$4&gt;20, D317/Summary!$C$4&lt;=30),1,0)*E317</f>
        <v>0</v>
      </c>
      <c r="Z317" s="27">
        <f t="shared" si="212"/>
        <v>0</v>
      </c>
      <c r="AA317" s="27">
        <f>IF(AND(D317/Summary!$C$4&gt;30, D317/Summary!$C$4&lt;=50),1,0)*E317</f>
        <v>9</v>
      </c>
      <c r="AB317" s="27">
        <f t="shared" si="213"/>
        <v>441</v>
      </c>
      <c r="AC317" s="27">
        <f>IF(AND(D317/Summary!$C$4&gt;50, D317/Summary!$C$4&lt;=100),1,0)*E317</f>
        <v>0</v>
      </c>
      <c r="AD317" s="27">
        <f t="shared" si="214"/>
        <v>0</v>
      </c>
      <c r="AE317" s="27">
        <f>IF(D317/Summary!$C$4&gt;100,1,0)*E317</f>
        <v>0</v>
      </c>
      <c r="AF317" s="27">
        <f t="shared" si="215"/>
        <v>0</v>
      </c>
      <c r="AG317" s="19">
        <f t="shared" si="216"/>
        <v>9</v>
      </c>
      <c r="AH317" s="19">
        <f t="shared" si="217"/>
        <v>0</v>
      </c>
      <c r="AI317" s="19">
        <f t="shared" si="218"/>
        <v>0</v>
      </c>
      <c r="AJ317" s="27">
        <f t="shared" si="219"/>
        <v>1</v>
      </c>
      <c r="AK317" s="27">
        <f t="shared" si="220"/>
        <v>9</v>
      </c>
      <c r="AL317" s="27">
        <f t="shared" si="221"/>
        <v>441</v>
      </c>
      <c r="AM317">
        <f t="shared" si="222"/>
        <v>0</v>
      </c>
      <c r="AN317">
        <f t="shared" si="223"/>
        <v>0</v>
      </c>
      <c r="AO317">
        <f t="shared" si="224"/>
        <v>0</v>
      </c>
      <c r="AP317">
        <f t="shared" si="225"/>
        <v>0</v>
      </c>
      <c r="AQ317">
        <f t="shared" si="226"/>
        <v>0</v>
      </c>
      <c r="AR317">
        <f t="shared" si="227"/>
        <v>0</v>
      </c>
      <c r="AS317">
        <f t="shared" si="228"/>
        <v>0</v>
      </c>
      <c r="AT317">
        <f t="shared" si="229"/>
        <v>0</v>
      </c>
      <c r="AU317">
        <f t="shared" si="230"/>
        <v>0</v>
      </c>
      <c r="AV317">
        <f t="shared" si="231"/>
        <v>9</v>
      </c>
      <c r="AW317">
        <f t="shared" si="232"/>
        <v>441</v>
      </c>
      <c r="AX317">
        <f t="shared" si="233"/>
        <v>0</v>
      </c>
      <c r="AY317">
        <f t="shared" si="234"/>
        <v>0</v>
      </c>
      <c r="AZ317">
        <f t="shared" si="235"/>
        <v>0</v>
      </c>
      <c r="BA317">
        <f t="shared" si="236"/>
        <v>0</v>
      </c>
      <c r="BB317">
        <f t="shared" si="237"/>
        <v>0</v>
      </c>
      <c r="BC317">
        <f t="shared" si="238"/>
        <v>0</v>
      </c>
      <c r="BD317">
        <f t="shared" si="239"/>
        <v>0</v>
      </c>
      <c r="BE317">
        <f t="shared" si="240"/>
        <v>0</v>
      </c>
      <c r="BF317">
        <f t="shared" si="241"/>
        <v>0</v>
      </c>
      <c r="BG317">
        <f t="shared" si="242"/>
        <v>0</v>
      </c>
      <c r="BH317">
        <f t="shared" si="243"/>
        <v>0</v>
      </c>
      <c r="BI317">
        <f t="shared" si="244"/>
        <v>0</v>
      </c>
      <c r="BJ317">
        <f t="shared" si="245"/>
        <v>0</v>
      </c>
      <c r="BK317">
        <f t="shared" si="246"/>
        <v>0</v>
      </c>
      <c r="BL317">
        <v>0</v>
      </c>
      <c r="BM317" t="str">
        <f t="shared" si="253"/>
        <v>Big Win</v>
      </c>
      <c r="BN317" s="32" t="str">
        <f t="shared" si="254"/>
        <v>Free Plays A</v>
      </c>
      <c r="BO317">
        <f>(D317/Summary!$C$4-Summary!$C$8)^2*E317</f>
        <v>20883.140100000001</v>
      </c>
      <c r="BP317">
        <f t="shared" si="247"/>
        <v>0</v>
      </c>
      <c r="BQ317">
        <f t="shared" si="248"/>
        <v>0</v>
      </c>
      <c r="BR317">
        <f t="shared" si="249"/>
        <v>0</v>
      </c>
      <c r="BS317">
        <f t="shared" si="250"/>
        <v>0</v>
      </c>
    </row>
    <row r="318" spans="2:71">
      <c r="B318" s="16">
        <f>Tiers!B319</f>
        <v>316</v>
      </c>
      <c r="C318" s="17" t="str">
        <f>Tiers!Y319</f>
        <v>main-4|freeplayA-7|||||||| x 20</v>
      </c>
      <c r="D318" s="18">
        <f>Tiers!C319</f>
        <v>71.900000000000006</v>
      </c>
      <c r="E318" s="19">
        <f>Frequency!E320</f>
        <v>6</v>
      </c>
      <c r="F318" s="19">
        <f t="shared" si="204"/>
        <v>431.40000000000003</v>
      </c>
      <c r="G318" s="19">
        <f>IF(Tiers!D319&gt;1,'Data Analysis'!E318,0)</f>
        <v>6</v>
      </c>
      <c r="H318" s="19">
        <f t="shared" si="205"/>
        <v>431.40000000000003</v>
      </c>
      <c r="I318" s="19">
        <f>IF(AND(D318/Summary!$C$4&gt;0, D318/Summary!$C$4&lt;5),E318,0) * D318</f>
        <v>0</v>
      </c>
      <c r="J318" s="19">
        <f>IF(AND(D318/Summary!$C$4&gt;= 5, D318/Summary!$C$4&lt;10),E318,0) * D318</f>
        <v>0</v>
      </c>
      <c r="K318" s="19">
        <f>IF(AND(D318/Summary!$C$4&gt;=10, D318/Summary!$C$4&lt;25),E318,0)*D318</f>
        <v>0</v>
      </c>
      <c r="L318" s="19">
        <f>IF(D318/Summary!$C$4&gt;=25,E318,0)*D318</f>
        <v>431.40000000000003</v>
      </c>
      <c r="M318" s="27">
        <f>IF(AND(D318/Summary!$C$4&gt;0, D318/Summary!$C$4&lt;1),E318,0)</f>
        <v>0</v>
      </c>
      <c r="N318" s="27">
        <f t="shared" si="206"/>
        <v>0</v>
      </c>
      <c r="O318" s="27">
        <f>IF(D318/Summary!$C$4=1,1,0)*E318</f>
        <v>0</v>
      </c>
      <c r="P318" s="27">
        <f t="shared" si="207"/>
        <v>0</v>
      </c>
      <c r="Q318" s="27">
        <f>IF(AND(D318/Summary!$C$4&gt;1, D318/Summary!$C$4&lt;=2),1,0)*E318</f>
        <v>0</v>
      </c>
      <c r="R318" s="27">
        <f t="shared" si="208"/>
        <v>0</v>
      </c>
      <c r="S318" s="27">
        <f>IF(AND(D318/Summary!$C$4&gt;2,D318/Summary!$C$4&lt;=5),1,0)*E318</f>
        <v>0</v>
      </c>
      <c r="T318" s="27">
        <f t="shared" si="209"/>
        <v>0</v>
      </c>
      <c r="U318" s="27">
        <f>IF(AND(D318/Summary!$C$4&gt;5, D318/Summary!$C$4&lt;=10),1,0)*E318</f>
        <v>0</v>
      </c>
      <c r="V318" s="27">
        <f t="shared" si="210"/>
        <v>0</v>
      </c>
      <c r="W318" s="27">
        <f>IF(AND(D318/Summary!$C$4&gt;10, D318/Summary!$C$4&lt;=20),1,0)*E318</f>
        <v>0</v>
      </c>
      <c r="X318" s="27">
        <f t="shared" si="211"/>
        <v>0</v>
      </c>
      <c r="Y318" s="27">
        <f>IF(AND(D318/Summary!$C$4&gt;20, D318/Summary!$C$4&lt;=30),1,0)*E318</f>
        <v>0</v>
      </c>
      <c r="Z318" s="27">
        <f t="shared" si="212"/>
        <v>0</v>
      </c>
      <c r="AA318" s="27">
        <f>IF(AND(D318/Summary!$C$4&gt;30, D318/Summary!$C$4&lt;=50),1,0)*E318</f>
        <v>0</v>
      </c>
      <c r="AB318" s="27">
        <f t="shared" si="213"/>
        <v>0</v>
      </c>
      <c r="AC318" s="27">
        <f>IF(AND(D318/Summary!$C$4&gt;50, D318/Summary!$C$4&lt;=100),1,0)*E318</f>
        <v>6</v>
      </c>
      <c r="AD318" s="27">
        <f t="shared" si="214"/>
        <v>431.40000000000003</v>
      </c>
      <c r="AE318" s="27">
        <f>IF(D318/Summary!$C$4&gt;100,1,0)*E318</f>
        <v>0</v>
      </c>
      <c r="AF318" s="27">
        <f t="shared" si="215"/>
        <v>0</v>
      </c>
      <c r="AG318" s="19">
        <f t="shared" si="216"/>
        <v>6</v>
      </c>
      <c r="AH318" s="19">
        <f t="shared" si="217"/>
        <v>0</v>
      </c>
      <c r="AI318" s="19">
        <f t="shared" si="218"/>
        <v>0</v>
      </c>
      <c r="AJ318" s="27">
        <f t="shared" si="219"/>
        <v>1</v>
      </c>
      <c r="AK318" s="27">
        <f t="shared" si="220"/>
        <v>6</v>
      </c>
      <c r="AL318" s="27">
        <f t="shared" si="221"/>
        <v>431.40000000000003</v>
      </c>
      <c r="AM318">
        <f t="shared" si="222"/>
        <v>0</v>
      </c>
      <c r="AN318">
        <f t="shared" si="223"/>
        <v>0</v>
      </c>
      <c r="AO318">
        <f t="shared" si="224"/>
        <v>0</v>
      </c>
      <c r="AP318">
        <f t="shared" si="225"/>
        <v>0</v>
      </c>
      <c r="AQ318">
        <f t="shared" si="226"/>
        <v>0</v>
      </c>
      <c r="AR318">
        <f t="shared" si="227"/>
        <v>0</v>
      </c>
      <c r="AS318">
        <f t="shared" si="228"/>
        <v>0</v>
      </c>
      <c r="AT318">
        <f t="shared" si="229"/>
        <v>0</v>
      </c>
      <c r="AU318">
        <f t="shared" si="230"/>
        <v>0</v>
      </c>
      <c r="AV318">
        <f t="shared" si="231"/>
        <v>6</v>
      </c>
      <c r="AW318">
        <f t="shared" si="232"/>
        <v>431.40000000000003</v>
      </c>
      <c r="AX318">
        <f t="shared" si="233"/>
        <v>0</v>
      </c>
      <c r="AY318">
        <f t="shared" si="234"/>
        <v>0</v>
      </c>
      <c r="AZ318">
        <f t="shared" si="235"/>
        <v>0</v>
      </c>
      <c r="BA318">
        <f t="shared" si="236"/>
        <v>0</v>
      </c>
      <c r="BB318">
        <f t="shared" si="237"/>
        <v>0</v>
      </c>
      <c r="BC318">
        <f t="shared" si="238"/>
        <v>0</v>
      </c>
      <c r="BD318">
        <f t="shared" si="239"/>
        <v>0</v>
      </c>
      <c r="BE318">
        <f t="shared" si="240"/>
        <v>0</v>
      </c>
      <c r="BF318">
        <f t="shared" si="241"/>
        <v>0</v>
      </c>
      <c r="BG318">
        <f t="shared" si="242"/>
        <v>0</v>
      </c>
      <c r="BH318">
        <f t="shared" si="243"/>
        <v>0</v>
      </c>
      <c r="BI318">
        <f t="shared" si="244"/>
        <v>0</v>
      </c>
      <c r="BJ318">
        <f t="shared" si="245"/>
        <v>0</v>
      </c>
      <c r="BK318">
        <f t="shared" si="246"/>
        <v>0</v>
      </c>
      <c r="BL318">
        <v>0</v>
      </c>
      <c r="BM318" t="str">
        <f t="shared" si="253"/>
        <v>Huge Win</v>
      </c>
      <c r="BN318" s="32" t="str">
        <f t="shared" si="254"/>
        <v>Free Plays A</v>
      </c>
      <c r="BO318">
        <f>(D318/Summary!$C$4-Summary!$C$8)^2*E318</f>
        <v>30305.669400000006</v>
      </c>
      <c r="BP318">
        <f t="shared" si="247"/>
        <v>0</v>
      </c>
      <c r="BQ318">
        <f t="shared" si="248"/>
        <v>0</v>
      </c>
      <c r="BR318">
        <f t="shared" si="249"/>
        <v>0</v>
      </c>
      <c r="BS318">
        <f t="shared" si="250"/>
        <v>0</v>
      </c>
    </row>
    <row r="319" spans="2:71">
      <c r="B319" s="16">
        <f>Tiers!B320</f>
        <v>317</v>
      </c>
      <c r="C319" s="17" t="str">
        <f>Tiers!Y320</f>
        <v>main-5|freeplayA-8|||||||| x 20</v>
      </c>
      <c r="D319" s="18">
        <f>Tiers!C320</f>
        <v>67</v>
      </c>
      <c r="E319" s="19">
        <f>Frequency!E321</f>
        <v>73</v>
      </c>
      <c r="F319" s="19">
        <f t="shared" si="204"/>
        <v>4891</v>
      </c>
      <c r="G319" s="19">
        <f>IF(Tiers!D320&gt;1,'Data Analysis'!E319,0)</f>
        <v>73</v>
      </c>
      <c r="H319" s="19">
        <f t="shared" si="205"/>
        <v>4891</v>
      </c>
      <c r="I319" s="19">
        <f>IF(AND(D319/Summary!$C$4&gt;0, D319/Summary!$C$4&lt;5),E319,0) * D319</f>
        <v>0</v>
      </c>
      <c r="J319" s="19">
        <f>IF(AND(D319/Summary!$C$4&gt;= 5, D319/Summary!$C$4&lt;10),E319,0) * D319</f>
        <v>0</v>
      </c>
      <c r="K319" s="19">
        <f>IF(AND(D319/Summary!$C$4&gt;=10, D319/Summary!$C$4&lt;25),E319,0)*D319</f>
        <v>0</v>
      </c>
      <c r="L319" s="19">
        <f>IF(D319/Summary!$C$4&gt;=25,E319,0)*D319</f>
        <v>4891</v>
      </c>
      <c r="M319" s="27">
        <f>IF(AND(D319/Summary!$C$4&gt;0, D319/Summary!$C$4&lt;1),E319,0)</f>
        <v>0</v>
      </c>
      <c r="N319" s="27">
        <f t="shared" si="206"/>
        <v>0</v>
      </c>
      <c r="O319" s="27">
        <f>IF(D319/Summary!$C$4=1,1,0)*E319</f>
        <v>0</v>
      </c>
      <c r="P319" s="27">
        <f t="shared" si="207"/>
        <v>0</v>
      </c>
      <c r="Q319" s="27">
        <f>IF(AND(D319/Summary!$C$4&gt;1, D319/Summary!$C$4&lt;=2),1,0)*E319</f>
        <v>0</v>
      </c>
      <c r="R319" s="27">
        <f t="shared" si="208"/>
        <v>0</v>
      </c>
      <c r="S319" s="27">
        <f>IF(AND(D319/Summary!$C$4&gt;2,D319/Summary!$C$4&lt;=5),1,0)*E319</f>
        <v>0</v>
      </c>
      <c r="T319" s="27">
        <f t="shared" si="209"/>
        <v>0</v>
      </c>
      <c r="U319" s="27">
        <f>IF(AND(D319/Summary!$C$4&gt;5, D319/Summary!$C$4&lt;=10),1,0)*E319</f>
        <v>0</v>
      </c>
      <c r="V319" s="27">
        <f t="shared" si="210"/>
        <v>0</v>
      </c>
      <c r="W319" s="27">
        <f>IF(AND(D319/Summary!$C$4&gt;10, D319/Summary!$C$4&lt;=20),1,0)*E319</f>
        <v>0</v>
      </c>
      <c r="X319" s="27">
        <f t="shared" si="211"/>
        <v>0</v>
      </c>
      <c r="Y319" s="27">
        <f>IF(AND(D319/Summary!$C$4&gt;20, D319/Summary!$C$4&lt;=30),1,0)*E319</f>
        <v>0</v>
      </c>
      <c r="Z319" s="27">
        <f t="shared" si="212"/>
        <v>0</v>
      </c>
      <c r="AA319" s="27">
        <f>IF(AND(D319/Summary!$C$4&gt;30, D319/Summary!$C$4&lt;=50),1,0)*E319</f>
        <v>0</v>
      </c>
      <c r="AB319" s="27">
        <f t="shared" si="213"/>
        <v>0</v>
      </c>
      <c r="AC319" s="27">
        <f>IF(AND(D319/Summary!$C$4&gt;50, D319/Summary!$C$4&lt;=100),1,0)*E319</f>
        <v>73</v>
      </c>
      <c r="AD319" s="27">
        <f t="shared" si="214"/>
        <v>4891</v>
      </c>
      <c r="AE319" s="27">
        <f>IF(D319/Summary!$C$4&gt;100,1,0)*E319</f>
        <v>0</v>
      </c>
      <c r="AF319" s="27">
        <f t="shared" si="215"/>
        <v>0</v>
      </c>
      <c r="AG319" s="19">
        <f t="shared" si="216"/>
        <v>73</v>
      </c>
      <c r="AH319" s="19">
        <f t="shared" si="217"/>
        <v>0</v>
      </c>
      <c r="AI319" s="19">
        <f t="shared" si="218"/>
        <v>0</v>
      </c>
      <c r="AJ319" s="27">
        <f t="shared" si="219"/>
        <v>1</v>
      </c>
      <c r="AK319" s="27">
        <f t="shared" si="220"/>
        <v>73</v>
      </c>
      <c r="AL319" s="27">
        <f t="shared" si="221"/>
        <v>4891</v>
      </c>
      <c r="AM319">
        <f t="shared" si="222"/>
        <v>0</v>
      </c>
      <c r="AN319">
        <f t="shared" si="223"/>
        <v>0</v>
      </c>
      <c r="AO319">
        <f t="shared" si="224"/>
        <v>0</v>
      </c>
      <c r="AP319">
        <f t="shared" si="225"/>
        <v>0</v>
      </c>
      <c r="AQ319">
        <f t="shared" si="226"/>
        <v>0</v>
      </c>
      <c r="AR319">
        <f t="shared" si="227"/>
        <v>0</v>
      </c>
      <c r="AS319">
        <f t="shared" si="228"/>
        <v>0</v>
      </c>
      <c r="AT319">
        <f t="shared" si="229"/>
        <v>0</v>
      </c>
      <c r="AU319">
        <f t="shared" si="230"/>
        <v>0</v>
      </c>
      <c r="AV319">
        <f t="shared" si="231"/>
        <v>73</v>
      </c>
      <c r="AW319">
        <f t="shared" si="232"/>
        <v>4891</v>
      </c>
      <c r="AX319">
        <f t="shared" si="233"/>
        <v>0</v>
      </c>
      <c r="AY319">
        <f t="shared" si="234"/>
        <v>0</v>
      </c>
      <c r="AZ319">
        <f t="shared" si="235"/>
        <v>0</v>
      </c>
      <c r="BA319">
        <f t="shared" si="236"/>
        <v>0</v>
      </c>
      <c r="BB319">
        <f t="shared" si="237"/>
        <v>0</v>
      </c>
      <c r="BC319">
        <f t="shared" si="238"/>
        <v>0</v>
      </c>
      <c r="BD319">
        <f t="shared" si="239"/>
        <v>0</v>
      </c>
      <c r="BE319">
        <f t="shared" si="240"/>
        <v>0</v>
      </c>
      <c r="BF319">
        <f t="shared" si="241"/>
        <v>0</v>
      </c>
      <c r="BG319">
        <f t="shared" si="242"/>
        <v>0</v>
      </c>
      <c r="BH319">
        <f t="shared" si="243"/>
        <v>0</v>
      </c>
      <c r="BI319">
        <f t="shared" si="244"/>
        <v>0</v>
      </c>
      <c r="BJ319">
        <f t="shared" si="245"/>
        <v>0</v>
      </c>
      <c r="BK319">
        <f t="shared" si="246"/>
        <v>0</v>
      </c>
      <c r="BL319">
        <v>0</v>
      </c>
      <c r="BM319" t="str">
        <f t="shared" si="253"/>
        <v>Huge Win</v>
      </c>
      <c r="BN319" s="32" t="str">
        <f t="shared" si="254"/>
        <v>Free Plays A</v>
      </c>
      <c r="BO319">
        <f>(D319/Summary!$C$4-Summary!$C$8)^2*E319</f>
        <v>319628.22969999997</v>
      </c>
      <c r="BP319">
        <f t="shared" si="247"/>
        <v>0</v>
      </c>
      <c r="BQ319">
        <f t="shared" si="248"/>
        <v>0</v>
      </c>
      <c r="BR319">
        <f t="shared" si="249"/>
        <v>0</v>
      </c>
      <c r="BS319">
        <f t="shared" si="250"/>
        <v>0</v>
      </c>
    </row>
    <row r="320" spans="2:71">
      <c r="B320" s="16">
        <f>Tiers!B321</f>
        <v>318</v>
      </c>
      <c r="C320" s="17" t="str">
        <f>Tiers!Y321</f>
        <v>main-10|freeplayA-4|||||||| x 20</v>
      </c>
      <c r="D320" s="18">
        <f>Tiers!C321</f>
        <v>38.6</v>
      </c>
      <c r="E320" s="19">
        <f>Frequency!E322</f>
        <v>100</v>
      </c>
      <c r="F320" s="19">
        <f t="shared" si="204"/>
        <v>3860</v>
      </c>
      <c r="G320" s="19">
        <f>IF(Tiers!D321&gt;1,'Data Analysis'!E320,0)</f>
        <v>100</v>
      </c>
      <c r="H320" s="19">
        <f t="shared" si="205"/>
        <v>3860</v>
      </c>
      <c r="I320" s="19">
        <f>IF(AND(D320/Summary!$C$4&gt;0, D320/Summary!$C$4&lt;5),E320,0) * D320</f>
        <v>0</v>
      </c>
      <c r="J320" s="19">
        <f>IF(AND(D320/Summary!$C$4&gt;= 5, D320/Summary!$C$4&lt;10),E320,0) * D320</f>
        <v>0</v>
      </c>
      <c r="K320" s="19">
        <f>IF(AND(D320/Summary!$C$4&gt;=10, D320/Summary!$C$4&lt;25),E320,0)*D320</f>
        <v>0</v>
      </c>
      <c r="L320" s="19">
        <f>IF(D320/Summary!$C$4&gt;=25,E320,0)*D320</f>
        <v>3860</v>
      </c>
      <c r="M320" s="27">
        <f>IF(AND(D320/Summary!$C$4&gt;0, D320/Summary!$C$4&lt;1),E320,0)</f>
        <v>0</v>
      </c>
      <c r="N320" s="27">
        <f t="shared" si="206"/>
        <v>0</v>
      </c>
      <c r="O320" s="27">
        <f>IF(D320/Summary!$C$4=1,1,0)*E320</f>
        <v>0</v>
      </c>
      <c r="P320" s="27">
        <f t="shared" si="207"/>
        <v>0</v>
      </c>
      <c r="Q320" s="27">
        <f>IF(AND(D320/Summary!$C$4&gt;1, D320/Summary!$C$4&lt;=2),1,0)*E320</f>
        <v>0</v>
      </c>
      <c r="R320" s="27">
        <f t="shared" si="208"/>
        <v>0</v>
      </c>
      <c r="S320" s="27">
        <f>IF(AND(D320/Summary!$C$4&gt;2,D320/Summary!$C$4&lt;=5),1,0)*E320</f>
        <v>0</v>
      </c>
      <c r="T320" s="27">
        <f t="shared" si="209"/>
        <v>0</v>
      </c>
      <c r="U320" s="27">
        <f>IF(AND(D320/Summary!$C$4&gt;5, D320/Summary!$C$4&lt;=10),1,0)*E320</f>
        <v>0</v>
      </c>
      <c r="V320" s="27">
        <f t="shared" si="210"/>
        <v>0</v>
      </c>
      <c r="W320" s="27">
        <f>IF(AND(D320/Summary!$C$4&gt;10, D320/Summary!$C$4&lt;=20),1,0)*E320</f>
        <v>0</v>
      </c>
      <c r="X320" s="27">
        <f t="shared" si="211"/>
        <v>0</v>
      </c>
      <c r="Y320" s="27">
        <f>IF(AND(D320/Summary!$C$4&gt;20, D320/Summary!$C$4&lt;=30),1,0)*E320</f>
        <v>0</v>
      </c>
      <c r="Z320" s="27">
        <f t="shared" si="212"/>
        <v>0</v>
      </c>
      <c r="AA320" s="27">
        <f>IF(AND(D320/Summary!$C$4&gt;30, D320/Summary!$C$4&lt;=50),1,0)*E320</f>
        <v>100</v>
      </c>
      <c r="AB320" s="27">
        <f t="shared" si="213"/>
        <v>3860</v>
      </c>
      <c r="AC320" s="27">
        <f>IF(AND(D320/Summary!$C$4&gt;50, D320/Summary!$C$4&lt;=100),1,0)*E320</f>
        <v>0</v>
      </c>
      <c r="AD320" s="27">
        <f t="shared" si="214"/>
        <v>0</v>
      </c>
      <c r="AE320" s="27">
        <f>IF(D320/Summary!$C$4&gt;100,1,0)*E320</f>
        <v>0</v>
      </c>
      <c r="AF320" s="27">
        <f t="shared" si="215"/>
        <v>0</v>
      </c>
      <c r="AG320" s="19">
        <f t="shared" si="216"/>
        <v>100</v>
      </c>
      <c r="AH320" s="19">
        <f t="shared" si="217"/>
        <v>0</v>
      </c>
      <c r="AI320" s="19">
        <f t="shared" si="218"/>
        <v>0</v>
      </c>
      <c r="AJ320" s="27">
        <f t="shared" si="219"/>
        <v>1</v>
      </c>
      <c r="AK320" s="27">
        <f t="shared" si="220"/>
        <v>100</v>
      </c>
      <c r="AL320" s="27">
        <f t="shared" si="221"/>
        <v>3860</v>
      </c>
      <c r="AM320">
        <f t="shared" si="222"/>
        <v>0</v>
      </c>
      <c r="AN320">
        <f t="shared" si="223"/>
        <v>0</v>
      </c>
      <c r="AO320">
        <f t="shared" si="224"/>
        <v>0</v>
      </c>
      <c r="AP320">
        <f t="shared" si="225"/>
        <v>0</v>
      </c>
      <c r="AQ320">
        <f t="shared" si="226"/>
        <v>0</v>
      </c>
      <c r="AR320">
        <f t="shared" si="227"/>
        <v>0</v>
      </c>
      <c r="AS320">
        <f t="shared" si="228"/>
        <v>0</v>
      </c>
      <c r="AT320">
        <f t="shared" si="229"/>
        <v>0</v>
      </c>
      <c r="AU320">
        <f t="shared" si="230"/>
        <v>0</v>
      </c>
      <c r="AV320">
        <f t="shared" si="231"/>
        <v>100</v>
      </c>
      <c r="AW320">
        <f t="shared" si="232"/>
        <v>3860</v>
      </c>
      <c r="AX320">
        <f t="shared" si="233"/>
        <v>0</v>
      </c>
      <c r="AY320">
        <f t="shared" si="234"/>
        <v>0</v>
      </c>
      <c r="AZ320">
        <f t="shared" si="235"/>
        <v>0</v>
      </c>
      <c r="BA320">
        <f t="shared" si="236"/>
        <v>0</v>
      </c>
      <c r="BB320">
        <f t="shared" si="237"/>
        <v>0</v>
      </c>
      <c r="BC320">
        <f t="shared" si="238"/>
        <v>0</v>
      </c>
      <c r="BD320">
        <f t="shared" si="239"/>
        <v>0</v>
      </c>
      <c r="BE320">
        <f t="shared" si="240"/>
        <v>0</v>
      </c>
      <c r="BF320">
        <f t="shared" si="241"/>
        <v>0</v>
      </c>
      <c r="BG320">
        <f t="shared" si="242"/>
        <v>0</v>
      </c>
      <c r="BH320">
        <f t="shared" si="243"/>
        <v>0</v>
      </c>
      <c r="BI320">
        <f t="shared" si="244"/>
        <v>0</v>
      </c>
      <c r="BJ320">
        <f t="shared" si="245"/>
        <v>0</v>
      </c>
      <c r="BK320">
        <f t="shared" si="246"/>
        <v>0</v>
      </c>
      <c r="BL320">
        <v>0</v>
      </c>
      <c r="BM320" t="str">
        <f t="shared" si="253"/>
        <v>Big Win</v>
      </c>
      <c r="BN320" s="32" t="str">
        <f t="shared" si="254"/>
        <v>Free Plays A</v>
      </c>
      <c r="BO320">
        <f>(D320/Summary!$C$4-Summary!$C$8)^2*E320</f>
        <v>142657.29000000004</v>
      </c>
      <c r="BP320">
        <f t="shared" si="247"/>
        <v>0</v>
      </c>
      <c r="BQ320">
        <f t="shared" si="248"/>
        <v>0</v>
      </c>
      <c r="BR320">
        <f t="shared" si="249"/>
        <v>0</v>
      </c>
      <c r="BS320">
        <f t="shared" si="250"/>
        <v>0</v>
      </c>
    </row>
    <row r="321" spans="2:71">
      <c r="B321" s="16">
        <f>Tiers!B322</f>
        <v>319</v>
      </c>
      <c r="C321" s="17" t="str">
        <f>Tiers!Y322</f>
        <v>main-11|freeplayA-5|||||||| x 20</v>
      </c>
      <c r="D321" s="18">
        <f>Tiers!C322</f>
        <v>55.3</v>
      </c>
      <c r="E321" s="19">
        <f>Frequency!E323</f>
        <v>8</v>
      </c>
      <c r="F321" s="19">
        <f t="shared" si="204"/>
        <v>442.4</v>
      </c>
      <c r="G321" s="19">
        <f>IF(Tiers!D322&gt;1,'Data Analysis'!E321,0)</f>
        <v>8</v>
      </c>
      <c r="H321" s="19">
        <f t="shared" si="205"/>
        <v>442.4</v>
      </c>
      <c r="I321" s="19">
        <f>IF(AND(D321/Summary!$C$4&gt;0, D321/Summary!$C$4&lt;5),E321,0) * D321</f>
        <v>0</v>
      </c>
      <c r="J321" s="19">
        <f>IF(AND(D321/Summary!$C$4&gt;= 5, D321/Summary!$C$4&lt;10),E321,0) * D321</f>
        <v>0</v>
      </c>
      <c r="K321" s="19">
        <f>IF(AND(D321/Summary!$C$4&gt;=10, D321/Summary!$C$4&lt;25),E321,0)*D321</f>
        <v>0</v>
      </c>
      <c r="L321" s="19">
        <f>IF(D321/Summary!$C$4&gt;=25,E321,0)*D321</f>
        <v>442.4</v>
      </c>
      <c r="M321" s="27">
        <f>IF(AND(D321/Summary!$C$4&gt;0, D321/Summary!$C$4&lt;1),E321,0)</f>
        <v>0</v>
      </c>
      <c r="N321" s="27">
        <f t="shared" si="206"/>
        <v>0</v>
      </c>
      <c r="O321" s="27">
        <f>IF(D321/Summary!$C$4=1,1,0)*E321</f>
        <v>0</v>
      </c>
      <c r="P321" s="27">
        <f t="shared" si="207"/>
        <v>0</v>
      </c>
      <c r="Q321" s="27">
        <f>IF(AND(D321/Summary!$C$4&gt;1, D321/Summary!$C$4&lt;=2),1,0)*E321</f>
        <v>0</v>
      </c>
      <c r="R321" s="27">
        <f t="shared" si="208"/>
        <v>0</v>
      </c>
      <c r="S321" s="27">
        <f>IF(AND(D321/Summary!$C$4&gt;2,D321/Summary!$C$4&lt;=5),1,0)*E321</f>
        <v>0</v>
      </c>
      <c r="T321" s="27">
        <f t="shared" si="209"/>
        <v>0</v>
      </c>
      <c r="U321" s="27">
        <f>IF(AND(D321/Summary!$C$4&gt;5, D321/Summary!$C$4&lt;=10),1,0)*E321</f>
        <v>0</v>
      </c>
      <c r="V321" s="27">
        <f t="shared" si="210"/>
        <v>0</v>
      </c>
      <c r="W321" s="27">
        <f>IF(AND(D321/Summary!$C$4&gt;10, D321/Summary!$C$4&lt;=20),1,0)*E321</f>
        <v>0</v>
      </c>
      <c r="X321" s="27">
        <f t="shared" si="211"/>
        <v>0</v>
      </c>
      <c r="Y321" s="27">
        <f>IF(AND(D321/Summary!$C$4&gt;20, D321/Summary!$C$4&lt;=30),1,0)*E321</f>
        <v>0</v>
      </c>
      <c r="Z321" s="27">
        <f t="shared" si="212"/>
        <v>0</v>
      </c>
      <c r="AA321" s="27">
        <f>IF(AND(D321/Summary!$C$4&gt;30, D321/Summary!$C$4&lt;=50),1,0)*E321</f>
        <v>0</v>
      </c>
      <c r="AB321" s="27">
        <f t="shared" si="213"/>
        <v>0</v>
      </c>
      <c r="AC321" s="27">
        <f>IF(AND(D321/Summary!$C$4&gt;50, D321/Summary!$C$4&lt;=100),1,0)*E321</f>
        <v>8</v>
      </c>
      <c r="AD321" s="27">
        <f t="shared" si="214"/>
        <v>442.4</v>
      </c>
      <c r="AE321" s="27">
        <f>IF(D321/Summary!$C$4&gt;100,1,0)*E321</f>
        <v>0</v>
      </c>
      <c r="AF321" s="27">
        <f t="shared" si="215"/>
        <v>0</v>
      </c>
      <c r="AG321" s="19">
        <f t="shared" si="216"/>
        <v>8</v>
      </c>
      <c r="AH321" s="19">
        <f t="shared" si="217"/>
        <v>0</v>
      </c>
      <c r="AI321" s="19">
        <f t="shared" si="218"/>
        <v>0</v>
      </c>
      <c r="AJ321" s="27">
        <f t="shared" si="219"/>
        <v>1</v>
      </c>
      <c r="AK321" s="27">
        <f t="shared" si="220"/>
        <v>8</v>
      </c>
      <c r="AL321" s="27">
        <f t="shared" si="221"/>
        <v>442.4</v>
      </c>
      <c r="AM321">
        <f t="shared" si="222"/>
        <v>0</v>
      </c>
      <c r="AN321">
        <f t="shared" si="223"/>
        <v>0</v>
      </c>
      <c r="AO321">
        <f t="shared" si="224"/>
        <v>0</v>
      </c>
      <c r="AP321">
        <f t="shared" si="225"/>
        <v>0</v>
      </c>
      <c r="AQ321">
        <f t="shared" si="226"/>
        <v>0</v>
      </c>
      <c r="AR321">
        <f t="shared" si="227"/>
        <v>0</v>
      </c>
      <c r="AS321">
        <f t="shared" si="228"/>
        <v>0</v>
      </c>
      <c r="AT321">
        <f t="shared" si="229"/>
        <v>0</v>
      </c>
      <c r="AU321">
        <f t="shared" si="230"/>
        <v>0</v>
      </c>
      <c r="AV321">
        <f t="shared" si="231"/>
        <v>8</v>
      </c>
      <c r="AW321">
        <f t="shared" si="232"/>
        <v>442.4</v>
      </c>
      <c r="AX321">
        <f t="shared" si="233"/>
        <v>0</v>
      </c>
      <c r="AY321">
        <f t="shared" si="234"/>
        <v>0</v>
      </c>
      <c r="AZ321">
        <f t="shared" si="235"/>
        <v>0</v>
      </c>
      <c r="BA321">
        <f t="shared" si="236"/>
        <v>0</v>
      </c>
      <c r="BB321">
        <f t="shared" si="237"/>
        <v>0</v>
      </c>
      <c r="BC321">
        <f t="shared" si="238"/>
        <v>0</v>
      </c>
      <c r="BD321">
        <f t="shared" si="239"/>
        <v>0</v>
      </c>
      <c r="BE321">
        <f t="shared" si="240"/>
        <v>0</v>
      </c>
      <c r="BF321">
        <f t="shared" si="241"/>
        <v>0</v>
      </c>
      <c r="BG321">
        <f t="shared" si="242"/>
        <v>0</v>
      </c>
      <c r="BH321">
        <f t="shared" si="243"/>
        <v>0</v>
      </c>
      <c r="BI321">
        <f t="shared" si="244"/>
        <v>0</v>
      </c>
      <c r="BJ321">
        <f t="shared" si="245"/>
        <v>0</v>
      </c>
      <c r="BK321">
        <f t="shared" si="246"/>
        <v>0</v>
      </c>
      <c r="BL321">
        <v>0</v>
      </c>
      <c r="BM321" t="str">
        <f t="shared" si="253"/>
        <v>Huge Win</v>
      </c>
      <c r="BN321" s="32" t="str">
        <f t="shared" si="254"/>
        <v>Free Plays A</v>
      </c>
      <c r="BO321">
        <f>(D321/Summary!$C$4-Summary!$C$8)^2*E321</f>
        <v>23735.8472</v>
      </c>
      <c r="BP321">
        <f t="shared" si="247"/>
        <v>0</v>
      </c>
      <c r="BQ321">
        <f t="shared" si="248"/>
        <v>0</v>
      </c>
      <c r="BR321">
        <f t="shared" si="249"/>
        <v>0</v>
      </c>
      <c r="BS321">
        <f t="shared" si="250"/>
        <v>0</v>
      </c>
    </row>
    <row r="322" spans="2:71">
      <c r="B322" s="16">
        <f>Tiers!B323</f>
        <v>320</v>
      </c>
      <c r="C322" s="17" t="str">
        <f>Tiers!Y323</f>
        <v>main-12|freeplayA-6|||||||| x 20</v>
      </c>
      <c r="D322" s="18">
        <f>Tiers!C323</f>
        <v>69</v>
      </c>
      <c r="E322" s="19">
        <f>Frequency!E324</f>
        <v>7</v>
      </c>
      <c r="F322" s="19">
        <f t="shared" ref="F322:F356" si="255">E322*D322</f>
        <v>483</v>
      </c>
      <c r="G322" s="19">
        <f>IF(Tiers!D323&gt;1,'Data Analysis'!E322,0)</f>
        <v>7</v>
      </c>
      <c r="H322" s="19">
        <f t="shared" ref="H322:H356" si="256">G322*D322</f>
        <v>483</v>
      </c>
      <c r="I322" s="19">
        <f>IF(AND(D322/Summary!$C$4&gt;0, D322/Summary!$C$4&lt;5),E322,0) * D322</f>
        <v>0</v>
      </c>
      <c r="J322" s="19">
        <f>IF(AND(D322/Summary!$C$4&gt;= 5, D322/Summary!$C$4&lt;10),E322,0) * D322</f>
        <v>0</v>
      </c>
      <c r="K322" s="19">
        <f>IF(AND(D322/Summary!$C$4&gt;=10, D322/Summary!$C$4&lt;25),E322,0)*D322</f>
        <v>0</v>
      </c>
      <c r="L322" s="19">
        <f>IF(D322/Summary!$C$4&gt;=25,E322,0)*D322</f>
        <v>483</v>
      </c>
      <c r="M322" s="27">
        <f>IF(AND(D322/Summary!$C$4&gt;0, D322/Summary!$C$4&lt;1),E322,0)</f>
        <v>0</v>
      </c>
      <c r="N322" s="27">
        <f t="shared" ref="N322:N356" si="257">IF(M322&gt;0,D322*E322,0)</f>
        <v>0</v>
      </c>
      <c r="O322" s="27">
        <f>IF(D322/Summary!$C$4=1,1,0)*E322</f>
        <v>0</v>
      </c>
      <c r="P322" s="27">
        <f t="shared" ref="P322:P356" si="258">IF(O322&gt;0,D322*E322,0)</f>
        <v>0</v>
      </c>
      <c r="Q322" s="27">
        <f>IF(AND(D322/Summary!$C$4&gt;1, D322/Summary!$C$4&lt;=2),1,0)*E322</f>
        <v>0</v>
      </c>
      <c r="R322" s="27">
        <f t="shared" ref="R322:R356" si="259">IF(Q322&gt;0,D322*E322,0)</f>
        <v>0</v>
      </c>
      <c r="S322" s="27">
        <f>IF(AND(D322/Summary!$C$4&gt;2,D322/Summary!$C$4&lt;=5),1,0)*E322</f>
        <v>0</v>
      </c>
      <c r="T322" s="27">
        <f t="shared" ref="T322:T356" si="260">IF(S322&gt;0,D322*E322,0)</f>
        <v>0</v>
      </c>
      <c r="U322" s="27">
        <f>IF(AND(D322/Summary!$C$4&gt;5, D322/Summary!$C$4&lt;=10),1,0)*E322</f>
        <v>0</v>
      </c>
      <c r="V322" s="27">
        <f t="shared" ref="V322:V356" si="261">IF(U322&gt;0,D322*E322,0)</f>
        <v>0</v>
      </c>
      <c r="W322" s="27">
        <f>IF(AND(D322/Summary!$C$4&gt;10, D322/Summary!$C$4&lt;=20),1,0)*E322</f>
        <v>0</v>
      </c>
      <c r="X322" s="27">
        <f t="shared" ref="X322:X356" si="262">IF(W322&gt;0,D322*E322,0)</f>
        <v>0</v>
      </c>
      <c r="Y322" s="27">
        <f>IF(AND(D322/Summary!$C$4&gt;20, D322/Summary!$C$4&lt;=30),1,0)*E322</f>
        <v>0</v>
      </c>
      <c r="Z322" s="27">
        <f t="shared" ref="Z322:Z356" si="263">IF(Y322&gt;0,D322*E322,0)</f>
        <v>0</v>
      </c>
      <c r="AA322" s="27">
        <f>IF(AND(D322/Summary!$C$4&gt;30, D322/Summary!$C$4&lt;=50),1,0)*E322</f>
        <v>0</v>
      </c>
      <c r="AB322" s="27">
        <f t="shared" ref="AB322:AB356" si="264">IF(AA322&gt;0,D322*E322,0)</f>
        <v>0</v>
      </c>
      <c r="AC322" s="27">
        <f>IF(AND(D322/Summary!$C$4&gt;50, D322/Summary!$C$4&lt;=100),1,0)*E322</f>
        <v>7</v>
      </c>
      <c r="AD322" s="27">
        <f t="shared" ref="AD322:AD356" si="265">IF(AC322&gt;0,D322*E322,0)</f>
        <v>483</v>
      </c>
      <c r="AE322" s="27">
        <f>IF(D322/Summary!$C$4&gt;100,1,0)*E322</f>
        <v>0</v>
      </c>
      <c r="AF322" s="27">
        <f t="shared" ref="AF322:AF356" si="266">IF(AE322&gt;0,D322*E322,0)</f>
        <v>0</v>
      </c>
      <c r="AG322" s="19">
        <f t="shared" ref="AG322:AG356" si="267">IF(AV322&gt;0,E322,0)</f>
        <v>7</v>
      </c>
      <c r="AH322" s="19">
        <f t="shared" ref="AH322:AH356" si="268">IF(BD322&gt;0,E322,0)</f>
        <v>0</v>
      </c>
      <c r="AI322" s="19">
        <f t="shared" ref="AI322:AI356" si="269">IF(BJ322&gt;0,E322,0)</f>
        <v>0</v>
      </c>
      <c r="AJ322" s="27">
        <f t="shared" ref="AJ322:AJ356" si="270">IF(ISNUMBER(SEARCH("|||||||||",C322)),0,1)</f>
        <v>1</v>
      </c>
      <c r="AK322" s="27">
        <f t="shared" ref="AK322:AK356" si="271">IF(AJ322=1, E322,0)</f>
        <v>7</v>
      </c>
      <c r="AL322" s="27">
        <f t="shared" ref="AL322:AL356" si="272">IF(AK322&gt;0,D322*E322,0)</f>
        <v>483</v>
      </c>
      <c r="AM322">
        <f t="shared" ref="AM322:AM356" si="273">IF(ISNUMBER(SEARCH("Wild",C322)),1,0)</f>
        <v>0</v>
      </c>
      <c r="AN322">
        <f t="shared" ref="AN322:AN356" si="274">IF(AM322=1, E322,0)</f>
        <v>0</v>
      </c>
      <c r="AO322">
        <f t="shared" ref="AO322:AO356" si="275">IF(AN322&gt;0,D322*E322,0)</f>
        <v>0</v>
      </c>
      <c r="AP322">
        <f t="shared" ref="AP322:AP356" si="276">IF(ISNUMBER(SEARCH("Wild-",C322)),1,0)</f>
        <v>0</v>
      </c>
      <c r="AQ322">
        <f t="shared" ref="AQ322:AQ356" si="277">IF(AP322=1, E322,0)</f>
        <v>0</v>
      </c>
      <c r="AR322">
        <f t="shared" ref="AR322:AR356" si="278">IF(AQ322&gt;0,D322*E322,0)</f>
        <v>0</v>
      </c>
      <c r="AS322">
        <f t="shared" ref="AS322:AS356" si="279">IF(ISNUMBER(SEARCH("WildX",C322)),1,0)</f>
        <v>0</v>
      </c>
      <c r="AT322">
        <f t="shared" ref="AT322:AT356" si="280">IF(AS322=1, E322,0)</f>
        <v>0</v>
      </c>
      <c r="AU322">
        <f t="shared" ref="AU322:AU356" si="281">IF(AT322&gt;0,D322*E322,0)</f>
        <v>0</v>
      </c>
      <c r="AV322">
        <f t="shared" ref="AV322:AV356" si="282">IF(ISNUMBER(SEARCH("freeplayA",C322)),E322,0)</f>
        <v>7</v>
      </c>
      <c r="AW322">
        <f t="shared" ref="AW322:AW356" si="283">AV322*D322</f>
        <v>483</v>
      </c>
      <c r="AX322">
        <f t="shared" ref="AX322:AX356" si="284">IF(ISNUMBER(SEARCH("FreePlayB",C322)),E322,0)</f>
        <v>0</v>
      </c>
      <c r="AY322">
        <f t="shared" ref="AY322:AY356" si="285">AX322*D322</f>
        <v>0</v>
      </c>
      <c r="AZ322">
        <f t="shared" ref="AZ322:AZ356" si="286">IF(ISNUMBER(SEARCH("FreePlayC",C322)),E322,0)</f>
        <v>0</v>
      </c>
      <c r="BA322">
        <f t="shared" ref="BA322:BA356" si="287">AZ322*D322</f>
        <v>0</v>
      </c>
      <c r="BB322">
        <f t="shared" ref="BB322:BB356" si="288">IF(ISNUMBER(SEARCH("FreePlayD",C322)),E322,0)</f>
        <v>0</v>
      </c>
      <c r="BC322">
        <f t="shared" ref="BC322:BC356" si="289">BB322*D322</f>
        <v>0</v>
      </c>
      <c r="BD322">
        <f t="shared" ref="BD322:BD356" si="290">IF(ISNUMBER(SEARCH("bonusA",C322)),E322,0)</f>
        <v>0</v>
      </c>
      <c r="BE322">
        <f t="shared" ref="BE322:BE356" si="291">BD322*D322</f>
        <v>0</v>
      </c>
      <c r="BF322">
        <f t="shared" ref="BF322:BF356" si="292">IF(ISNUMBER(SEARCH("BonusB",C322)),E322,0)</f>
        <v>0</v>
      </c>
      <c r="BG322">
        <f t="shared" ref="BG322:BG356" si="293">BF322*D322</f>
        <v>0</v>
      </c>
      <c r="BH322">
        <f t="shared" ref="BH322:BH356" si="294">IF(ISNUMBER(SEARCH("BonusC",C322)),E322,0)</f>
        <v>0</v>
      </c>
      <c r="BI322">
        <f t="shared" ref="BI322:BI356" si="295">BH322*D322</f>
        <v>0</v>
      </c>
      <c r="BJ322">
        <f t="shared" ref="BJ322:BJ356" si="296">IF(ISNUMBER(SEARCH("Instant",C322)),E322,0)</f>
        <v>0</v>
      </c>
      <c r="BK322">
        <f t="shared" ref="BK322:BK356" si="297">BJ322*D322</f>
        <v>0</v>
      </c>
      <c r="BL322">
        <v>0</v>
      </c>
      <c r="BM322" t="str">
        <f>IF(D322 &lt; $D$367, $C$367,
      IF(D322 = $D$368, $C$368,
          IF(D322 &lt; $D$369, $C$369,
              IF(D322 &lt; $D$370, $C$370,
                 IF(D322 &lt; $D$371, $C$371, $C$372)))))</f>
        <v>Huge Win</v>
      </c>
      <c r="BN322" s="32" t="str">
        <f>IF(AV322 &gt; 0,$C$376,
      IF(AX322 &gt; 0,$C$377,
          IF(AZ322 &gt; 0,$C$378,
             IF(BB322 &gt; 0,$C$379,
              IF(BD322 &gt; 0,$C$380,
                  IF(BF322 &gt; 0,$C$381,
                     IF(BH322 &gt; 0,$C$382,
                        IF(BJ322 &gt; 0,$C$383,
                           IF(ISNUMBER(SEARCH("|||||||||",C322)), $C$384,$C$385)))))))))</f>
        <v>Free Plays A</v>
      </c>
      <c r="BO322">
        <f>(D322/Summary!$C$4-Summary!$C$8)^2*E322</f>
        <v>32530.042300000001</v>
      </c>
      <c r="BP322">
        <f t="shared" ref="BP322:BP356" si="298">IF(AV322=1, E322*D322,0)</f>
        <v>0</v>
      </c>
      <c r="BQ322">
        <f t="shared" ref="BQ322:BQ356" si="299">IF(BD322=1, E322*D322,0)</f>
        <v>0</v>
      </c>
      <c r="BR322">
        <f t="shared" ref="BR322:BR356" si="300">IF(BJ322=1, D322*E322,0)</f>
        <v>0</v>
      </c>
      <c r="BS322">
        <f t="shared" ref="BS322:BS356" si="301">IF(BL322&gt;0,BL322*E322,0)</f>
        <v>0</v>
      </c>
    </row>
    <row r="323" spans="2:71">
      <c r="B323" s="16">
        <f>Tiers!B324</f>
        <v>321</v>
      </c>
      <c r="C323" s="17" t="str">
        <f>Tiers!Y324</f>
        <v>main-13|freeplayA-7|||||||| x 20</v>
      </c>
      <c r="D323" s="18">
        <f>Tiers!C324</f>
        <v>141.9</v>
      </c>
      <c r="E323" s="19">
        <f>Frequency!E325</f>
        <v>2</v>
      </c>
      <c r="F323" s="19">
        <f t="shared" si="255"/>
        <v>283.8</v>
      </c>
      <c r="G323" s="19">
        <f>IF(Tiers!D324&gt;1,'Data Analysis'!E323,0)</f>
        <v>2</v>
      </c>
      <c r="H323" s="19">
        <f t="shared" si="256"/>
        <v>283.8</v>
      </c>
      <c r="I323" s="19">
        <f>IF(AND(D323/Summary!$C$4&gt;0, D323/Summary!$C$4&lt;5),E323,0) * D323</f>
        <v>0</v>
      </c>
      <c r="J323" s="19">
        <f>IF(AND(D323/Summary!$C$4&gt;= 5, D323/Summary!$C$4&lt;10),E323,0) * D323</f>
        <v>0</v>
      </c>
      <c r="K323" s="19">
        <f>IF(AND(D323/Summary!$C$4&gt;=10, D323/Summary!$C$4&lt;25),E323,0)*D323</f>
        <v>0</v>
      </c>
      <c r="L323" s="19">
        <f>IF(D323/Summary!$C$4&gt;=25,E323,0)*D323</f>
        <v>283.8</v>
      </c>
      <c r="M323" s="27">
        <f>IF(AND(D323/Summary!$C$4&gt;0, D323/Summary!$C$4&lt;1),E323,0)</f>
        <v>0</v>
      </c>
      <c r="N323" s="27">
        <f t="shared" si="257"/>
        <v>0</v>
      </c>
      <c r="O323" s="27">
        <f>IF(D323/Summary!$C$4=1,1,0)*E323</f>
        <v>0</v>
      </c>
      <c r="P323" s="27">
        <f t="shared" si="258"/>
        <v>0</v>
      </c>
      <c r="Q323" s="27">
        <f>IF(AND(D323/Summary!$C$4&gt;1, D323/Summary!$C$4&lt;=2),1,0)*E323</f>
        <v>0</v>
      </c>
      <c r="R323" s="27">
        <f t="shared" si="259"/>
        <v>0</v>
      </c>
      <c r="S323" s="27">
        <f>IF(AND(D323/Summary!$C$4&gt;2,D323/Summary!$C$4&lt;=5),1,0)*E323</f>
        <v>0</v>
      </c>
      <c r="T323" s="27">
        <f t="shared" si="260"/>
        <v>0</v>
      </c>
      <c r="U323" s="27">
        <f>IF(AND(D323/Summary!$C$4&gt;5, D323/Summary!$C$4&lt;=10),1,0)*E323</f>
        <v>0</v>
      </c>
      <c r="V323" s="27">
        <f t="shared" si="261"/>
        <v>0</v>
      </c>
      <c r="W323" s="27">
        <f>IF(AND(D323/Summary!$C$4&gt;10, D323/Summary!$C$4&lt;=20),1,0)*E323</f>
        <v>0</v>
      </c>
      <c r="X323" s="27">
        <f t="shared" si="262"/>
        <v>0</v>
      </c>
      <c r="Y323" s="27">
        <f>IF(AND(D323/Summary!$C$4&gt;20, D323/Summary!$C$4&lt;=30),1,0)*E323</f>
        <v>0</v>
      </c>
      <c r="Z323" s="27">
        <f t="shared" si="263"/>
        <v>0</v>
      </c>
      <c r="AA323" s="27">
        <f>IF(AND(D323/Summary!$C$4&gt;30, D323/Summary!$C$4&lt;=50),1,0)*E323</f>
        <v>0</v>
      </c>
      <c r="AB323" s="27">
        <f t="shared" si="264"/>
        <v>0</v>
      </c>
      <c r="AC323" s="27">
        <f>IF(AND(D323/Summary!$C$4&gt;50, D323/Summary!$C$4&lt;=100),1,0)*E323</f>
        <v>0</v>
      </c>
      <c r="AD323" s="27">
        <f t="shared" si="265"/>
        <v>0</v>
      </c>
      <c r="AE323" s="27">
        <f>IF(D323/Summary!$C$4&gt;100,1,0)*E323</f>
        <v>2</v>
      </c>
      <c r="AF323" s="27">
        <f t="shared" si="266"/>
        <v>283.8</v>
      </c>
      <c r="AG323" s="19">
        <f t="shared" si="267"/>
        <v>2</v>
      </c>
      <c r="AH323" s="19">
        <f t="shared" si="268"/>
        <v>0</v>
      </c>
      <c r="AI323" s="19">
        <f t="shared" si="269"/>
        <v>0</v>
      </c>
      <c r="AJ323" s="27">
        <f t="shared" si="270"/>
        <v>1</v>
      </c>
      <c r="AK323" s="27">
        <f t="shared" si="271"/>
        <v>2</v>
      </c>
      <c r="AL323" s="27">
        <f t="shared" si="272"/>
        <v>283.8</v>
      </c>
      <c r="AM323">
        <f t="shared" si="273"/>
        <v>0</v>
      </c>
      <c r="AN323">
        <f t="shared" si="274"/>
        <v>0</v>
      </c>
      <c r="AO323">
        <f t="shared" si="275"/>
        <v>0</v>
      </c>
      <c r="AP323">
        <f t="shared" si="276"/>
        <v>0</v>
      </c>
      <c r="AQ323">
        <f t="shared" si="277"/>
        <v>0</v>
      </c>
      <c r="AR323">
        <f t="shared" si="278"/>
        <v>0</v>
      </c>
      <c r="AS323">
        <f t="shared" si="279"/>
        <v>0</v>
      </c>
      <c r="AT323">
        <f t="shared" si="280"/>
        <v>0</v>
      </c>
      <c r="AU323">
        <f t="shared" si="281"/>
        <v>0</v>
      </c>
      <c r="AV323">
        <f t="shared" si="282"/>
        <v>2</v>
      </c>
      <c r="AW323">
        <f t="shared" si="283"/>
        <v>283.8</v>
      </c>
      <c r="AX323">
        <f t="shared" si="284"/>
        <v>0</v>
      </c>
      <c r="AY323">
        <f t="shared" si="285"/>
        <v>0</v>
      </c>
      <c r="AZ323">
        <f t="shared" si="286"/>
        <v>0</v>
      </c>
      <c r="BA323">
        <f t="shared" si="287"/>
        <v>0</v>
      </c>
      <c r="BB323">
        <f t="shared" si="288"/>
        <v>0</v>
      </c>
      <c r="BC323">
        <f t="shared" si="289"/>
        <v>0</v>
      </c>
      <c r="BD323">
        <f t="shared" si="290"/>
        <v>0</v>
      </c>
      <c r="BE323">
        <f t="shared" si="291"/>
        <v>0</v>
      </c>
      <c r="BF323">
        <f t="shared" si="292"/>
        <v>0</v>
      </c>
      <c r="BG323">
        <f t="shared" si="293"/>
        <v>0</v>
      </c>
      <c r="BH323">
        <f t="shared" si="294"/>
        <v>0</v>
      </c>
      <c r="BI323">
        <f t="shared" si="295"/>
        <v>0</v>
      </c>
      <c r="BJ323">
        <f t="shared" si="296"/>
        <v>0</v>
      </c>
      <c r="BK323">
        <f t="shared" si="297"/>
        <v>0</v>
      </c>
      <c r="BL323">
        <v>0</v>
      </c>
      <c r="BM323" t="str">
        <f t="shared" ref="BM323:BM356" si="302">IF(D323 &lt; $D$367, $C$367,
IF(D323 = $D$368, $C$368,
IF(D323 &lt; $D$369, $C$369,
IF(D323 &lt; $D$370, $C$370,
IF(D323 &lt; $D$371, $C$371, $C$372)))))</f>
        <v>Huge Win</v>
      </c>
      <c r="BN323" s="32" t="str">
        <f t="shared" ref="BN323:BN356" si="303">IF(AV323 &gt; 0,$C$376,
IF(AX323 &gt; 0,$C$377,
IF(AZ323 &gt; 0,$C$378,
IF(BB323 &gt; 0,$C$379,
IF(BD323 &gt; 0,$C$380,
IF(BF323 &gt; 0,$C$381,
IF(BH323 &gt; 0,$C$382,
IF(BJ323 &gt; 0,$C$383,
IF(ISNUMBER(SEARCH("|||||||||",C323)), $C$384,$C$385)))))))))</f>
        <v>Free Plays A</v>
      </c>
      <c r="BO323">
        <f>(D323/Summary!$C$4-Summary!$C$8)^2*E323</f>
        <v>39801.489799999996</v>
      </c>
      <c r="BP323">
        <f t="shared" si="298"/>
        <v>0</v>
      </c>
      <c r="BQ323">
        <f t="shared" si="299"/>
        <v>0</v>
      </c>
      <c r="BR323">
        <f t="shared" si="300"/>
        <v>0</v>
      </c>
      <c r="BS323">
        <f t="shared" si="301"/>
        <v>0</v>
      </c>
    </row>
    <row r="324" spans="2:71">
      <c r="B324" s="16">
        <f>Tiers!B325</f>
        <v>322</v>
      </c>
      <c r="C324" s="17" t="str">
        <f>Tiers!Y325</f>
        <v>main-20|freeplayA-8|||||||| x 20</v>
      </c>
      <c r="D324" s="18">
        <f>Tiers!C325</f>
        <v>57</v>
      </c>
      <c r="E324" s="19">
        <f>Frequency!E326</f>
        <v>8</v>
      </c>
      <c r="F324" s="19">
        <f t="shared" si="255"/>
        <v>456</v>
      </c>
      <c r="G324" s="19">
        <f>IF(Tiers!D325&gt;1,'Data Analysis'!E324,0)</f>
        <v>8</v>
      </c>
      <c r="H324" s="19">
        <f t="shared" si="256"/>
        <v>456</v>
      </c>
      <c r="I324" s="19">
        <f>IF(AND(D324/Summary!$C$4&gt;0, D324/Summary!$C$4&lt;5),E324,0) * D324</f>
        <v>0</v>
      </c>
      <c r="J324" s="19">
        <f>IF(AND(D324/Summary!$C$4&gt;= 5, D324/Summary!$C$4&lt;10),E324,0) * D324</f>
        <v>0</v>
      </c>
      <c r="K324" s="19">
        <f>IF(AND(D324/Summary!$C$4&gt;=10, D324/Summary!$C$4&lt;25),E324,0)*D324</f>
        <v>0</v>
      </c>
      <c r="L324" s="19">
        <f>IF(D324/Summary!$C$4&gt;=25,E324,0)*D324</f>
        <v>456</v>
      </c>
      <c r="M324" s="27">
        <f>IF(AND(D324/Summary!$C$4&gt;0, D324/Summary!$C$4&lt;1),E324,0)</f>
        <v>0</v>
      </c>
      <c r="N324" s="27">
        <f t="shared" si="257"/>
        <v>0</v>
      </c>
      <c r="O324" s="27">
        <f>IF(D324/Summary!$C$4=1,1,0)*E324</f>
        <v>0</v>
      </c>
      <c r="P324" s="27">
        <f t="shared" si="258"/>
        <v>0</v>
      </c>
      <c r="Q324" s="27">
        <f>IF(AND(D324/Summary!$C$4&gt;1, D324/Summary!$C$4&lt;=2),1,0)*E324</f>
        <v>0</v>
      </c>
      <c r="R324" s="27">
        <f t="shared" si="259"/>
        <v>0</v>
      </c>
      <c r="S324" s="27">
        <f>IF(AND(D324/Summary!$C$4&gt;2,D324/Summary!$C$4&lt;=5),1,0)*E324</f>
        <v>0</v>
      </c>
      <c r="T324" s="27">
        <f t="shared" si="260"/>
        <v>0</v>
      </c>
      <c r="U324" s="27">
        <f>IF(AND(D324/Summary!$C$4&gt;5, D324/Summary!$C$4&lt;=10),1,0)*E324</f>
        <v>0</v>
      </c>
      <c r="V324" s="27">
        <f t="shared" si="261"/>
        <v>0</v>
      </c>
      <c r="W324" s="27">
        <f>IF(AND(D324/Summary!$C$4&gt;10, D324/Summary!$C$4&lt;=20),1,0)*E324</f>
        <v>0</v>
      </c>
      <c r="X324" s="27">
        <f t="shared" si="262"/>
        <v>0</v>
      </c>
      <c r="Y324" s="27">
        <f>IF(AND(D324/Summary!$C$4&gt;20, D324/Summary!$C$4&lt;=30),1,0)*E324</f>
        <v>0</v>
      </c>
      <c r="Z324" s="27">
        <f t="shared" si="263"/>
        <v>0</v>
      </c>
      <c r="AA324" s="27">
        <f>IF(AND(D324/Summary!$C$4&gt;30, D324/Summary!$C$4&lt;=50),1,0)*E324</f>
        <v>0</v>
      </c>
      <c r="AB324" s="27">
        <f t="shared" si="264"/>
        <v>0</v>
      </c>
      <c r="AC324" s="27">
        <f>IF(AND(D324/Summary!$C$4&gt;50, D324/Summary!$C$4&lt;=100),1,0)*E324</f>
        <v>8</v>
      </c>
      <c r="AD324" s="27">
        <f t="shared" si="265"/>
        <v>456</v>
      </c>
      <c r="AE324" s="27">
        <f>IF(D324/Summary!$C$4&gt;100,1,0)*E324</f>
        <v>0</v>
      </c>
      <c r="AF324" s="27">
        <f t="shared" si="266"/>
        <v>0</v>
      </c>
      <c r="AG324" s="19">
        <f t="shared" si="267"/>
        <v>8</v>
      </c>
      <c r="AH324" s="19">
        <f t="shared" si="268"/>
        <v>0</v>
      </c>
      <c r="AI324" s="19">
        <f t="shared" si="269"/>
        <v>0</v>
      </c>
      <c r="AJ324" s="27">
        <f t="shared" si="270"/>
        <v>1</v>
      </c>
      <c r="AK324" s="27">
        <f t="shared" si="271"/>
        <v>8</v>
      </c>
      <c r="AL324" s="27">
        <f t="shared" si="272"/>
        <v>456</v>
      </c>
      <c r="AM324">
        <f t="shared" si="273"/>
        <v>0</v>
      </c>
      <c r="AN324">
        <f t="shared" si="274"/>
        <v>0</v>
      </c>
      <c r="AO324">
        <f t="shared" si="275"/>
        <v>0</v>
      </c>
      <c r="AP324">
        <f t="shared" si="276"/>
        <v>0</v>
      </c>
      <c r="AQ324">
        <f t="shared" si="277"/>
        <v>0</v>
      </c>
      <c r="AR324">
        <f t="shared" si="278"/>
        <v>0</v>
      </c>
      <c r="AS324">
        <f t="shared" si="279"/>
        <v>0</v>
      </c>
      <c r="AT324">
        <f t="shared" si="280"/>
        <v>0</v>
      </c>
      <c r="AU324">
        <f t="shared" si="281"/>
        <v>0</v>
      </c>
      <c r="AV324">
        <f t="shared" si="282"/>
        <v>8</v>
      </c>
      <c r="AW324">
        <f t="shared" si="283"/>
        <v>456</v>
      </c>
      <c r="AX324">
        <f t="shared" si="284"/>
        <v>0</v>
      </c>
      <c r="AY324">
        <f t="shared" si="285"/>
        <v>0</v>
      </c>
      <c r="AZ324">
        <f t="shared" si="286"/>
        <v>0</v>
      </c>
      <c r="BA324">
        <f t="shared" si="287"/>
        <v>0</v>
      </c>
      <c r="BB324">
        <f t="shared" si="288"/>
        <v>0</v>
      </c>
      <c r="BC324">
        <f t="shared" si="289"/>
        <v>0</v>
      </c>
      <c r="BD324">
        <f t="shared" si="290"/>
        <v>0</v>
      </c>
      <c r="BE324">
        <f t="shared" si="291"/>
        <v>0</v>
      </c>
      <c r="BF324">
        <f t="shared" si="292"/>
        <v>0</v>
      </c>
      <c r="BG324">
        <f t="shared" si="293"/>
        <v>0</v>
      </c>
      <c r="BH324">
        <f t="shared" si="294"/>
        <v>0</v>
      </c>
      <c r="BI324">
        <f t="shared" si="295"/>
        <v>0</v>
      </c>
      <c r="BJ324">
        <f t="shared" si="296"/>
        <v>0</v>
      </c>
      <c r="BK324">
        <f t="shared" si="297"/>
        <v>0</v>
      </c>
      <c r="BL324">
        <v>0</v>
      </c>
      <c r="BM324" t="str">
        <f t="shared" si="302"/>
        <v>Huge Win</v>
      </c>
      <c r="BN324" s="32" t="str">
        <f t="shared" si="303"/>
        <v>Free Plays A</v>
      </c>
      <c r="BO324">
        <f>(D324/Summary!$C$4-Summary!$C$8)^2*E324</f>
        <v>25240.551200000002</v>
      </c>
      <c r="BP324">
        <f t="shared" si="298"/>
        <v>0</v>
      </c>
      <c r="BQ324">
        <f t="shared" si="299"/>
        <v>0</v>
      </c>
      <c r="BR324">
        <f t="shared" si="300"/>
        <v>0</v>
      </c>
      <c r="BS324">
        <f t="shared" si="301"/>
        <v>0</v>
      </c>
    </row>
    <row r="325" spans="2:71">
      <c r="B325" s="16">
        <f>Tiers!B326</f>
        <v>323</v>
      </c>
      <c r="C325" s="17" t="str">
        <f>Tiers!Y326</f>
        <v>main-21|freeplayA-9|||||||| x 20</v>
      </c>
      <c r="D325" s="18">
        <f>Tiers!C326</f>
        <v>84.1</v>
      </c>
      <c r="E325" s="19">
        <f>Frequency!E327</f>
        <v>5</v>
      </c>
      <c r="F325" s="19">
        <f t="shared" si="255"/>
        <v>420.5</v>
      </c>
      <c r="G325" s="19">
        <f>IF(Tiers!D326&gt;1,'Data Analysis'!E325,0)</f>
        <v>5</v>
      </c>
      <c r="H325" s="19">
        <f t="shared" si="256"/>
        <v>420.5</v>
      </c>
      <c r="I325" s="19">
        <f>IF(AND(D325/Summary!$C$4&gt;0, D325/Summary!$C$4&lt;5),E325,0) * D325</f>
        <v>0</v>
      </c>
      <c r="J325" s="19">
        <f>IF(AND(D325/Summary!$C$4&gt;= 5, D325/Summary!$C$4&lt;10),E325,0) * D325</f>
        <v>0</v>
      </c>
      <c r="K325" s="19">
        <f>IF(AND(D325/Summary!$C$4&gt;=10, D325/Summary!$C$4&lt;25),E325,0)*D325</f>
        <v>0</v>
      </c>
      <c r="L325" s="19">
        <f>IF(D325/Summary!$C$4&gt;=25,E325,0)*D325</f>
        <v>420.5</v>
      </c>
      <c r="M325" s="27">
        <f>IF(AND(D325/Summary!$C$4&gt;0, D325/Summary!$C$4&lt;1),E325,0)</f>
        <v>0</v>
      </c>
      <c r="N325" s="27">
        <f t="shared" si="257"/>
        <v>0</v>
      </c>
      <c r="O325" s="27">
        <f>IF(D325/Summary!$C$4=1,1,0)*E325</f>
        <v>0</v>
      </c>
      <c r="P325" s="27">
        <f t="shared" si="258"/>
        <v>0</v>
      </c>
      <c r="Q325" s="27">
        <f>IF(AND(D325/Summary!$C$4&gt;1, D325/Summary!$C$4&lt;=2),1,0)*E325</f>
        <v>0</v>
      </c>
      <c r="R325" s="27">
        <f t="shared" si="259"/>
        <v>0</v>
      </c>
      <c r="S325" s="27">
        <f>IF(AND(D325/Summary!$C$4&gt;2,D325/Summary!$C$4&lt;=5),1,0)*E325</f>
        <v>0</v>
      </c>
      <c r="T325" s="27">
        <f t="shared" si="260"/>
        <v>0</v>
      </c>
      <c r="U325" s="27">
        <f>IF(AND(D325/Summary!$C$4&gt;5, D325/Summary!$C$4&lt;=10),1,0)*E325</f>
        <v>0</v>
      </c>
      <c r="V325" s="27">
        <f t="shared" si="261"/>
        <v>0</v>
      </c>
      <c r="W325" s="27">
        <f>IF(AND(D325/Summary!$C$4&gt;10, D325/Summary!$C$4&lt;=20),1,0)*E325</f>
        <v>0</v>
      </c>
      <c r="X325" s="27">
        <f t="shared" si="262"/>
        <v>0</v>
      </c>
      <c r="Y325" s="27">
        <f>IF(AND(D325/Summary!$C$4&gt;20, D325/Summary!$C$4&lt;=30),1,0)*E325</f>
        <v>0</v>
      </c>
      <c r="Z325" s="27">
        <f t="shared" si="263"/>
        <v>0</v>
      </c>
      <c r="AA325" s="27">
        <f>IF(AND(D325/Summary!$C$4&gt;30, D325/Summary!$C$4&lt;=50),1,0)*E325</f>
        <v>0</v>
      </c>
      <c r="AB325" s="27">
        <f t="shared" si="264"/>
        <v>0</v>
      </c>
      <c r="AC325" s="27">
        <f>IF(AND(D325/Summary!$C$4&gt;50, D325/Summary!$C$4&lt;=100),1,0)*E325</f>
        <v>5</v>
      </c>
      <c r="AD325" s="27">
        <f t="shared" si="265"/>
        <v>420.5</v>
      </c>
      <c r="AE325" s="27">
        <f>IF(D325/Summary!$C$4&gt;100,1,0)*E325</f>
        <v>0</v>
      </c>
      <c r="AF325" s="27">
        <f t="shared" si="266"/>
        <v>0</v>
      </c>
      <c r="AG325" s="19">
        <f t="shared" si="267"/>
        <v>5</v>
      </c>
      <c r="AH325" s="19">
        <f t="shared" si="268"/>
        <v>0</v>
      </c>
      <c r="AI325" s="19">
        <f t="shared" si="269"/>
        <v>0</v>
      </c>
      <c r="AJ325" s="27">
        <f t="shared" si="270"/>
        <v>1</v>
      </c>
      <c r="AK325" s="27">
        <f t="shared" si="271"/>
        <v>5</v>
      </c>
      <c r="AL325" s="27">
        <f t="shared" si="272"/>
        <v>420.5</v>
      </c>
      <c r="AM325">
        <f t="shared" si="273"/>
        <v>0</v>
      </c>
      <c r="AN325">
        <f t="shared" si="274"/>
        <v>0</v>
      </c>
      <c r="AO325">
        <f t="shared" si="275"/>
        <v>0</v>
      </c>
      <c r="AP325">
        <f t="shared" si="276"/>
        <v>0</v>
      </c>
      <c r="AQ325">
        <f t="shared" si="277"/>
        <v>0</v>
      </c>
      <c r="AR325">
        <f t="shared" si="278"/>
        <v>0</v>
      </c>
      <c r="AS325">
        <f t="shared" si="279"/>
        <v>0</v>
      </c>
      <c r="AT325">
        <f t="shared" si="280"/>
        <v>0</v>
      </c>
      <c r="AU325">
        <f t="shared" si="281"/>
        <v>0</v>
      </c>
      <c r="AV325">
        <f t="shared" si="282"/>
        <v>5</v>
      </c>
      <c r="AW325">
        <f t="shared" si="283"/>
        <v>420.5</v>
      </c>
      <c r="AX325">
        <f t="shared" si="284"/>
        <v>0</v>
      </c>
      <c r="AY325">
        <f t="shared" si="285"/>
        <v>0</v>
      </c>
      <c r="AZ325">
        <f t="shared" si="286"/>
        <v>0</v>
      </c>
      <c r="BA325">
        <f t="shared" si="287"/>
        <v>0</v>
      </c>
      <c r="BB325">
        <f t="shared" si="288"/>
        <v>0</v>
      </c>
      <c r="BC325">
        <f t="shared" si="289"/>
        <v>0</v>
      </c>
      <c r="BD325">
        <f t="shared" si="290"/>
        <v>0</v>
      </c>
      <c r="BE325">
        <f t="shared" si="291"/>
        <v>0</v>
      </c>
      <c r="BF325">
        <f t="shared" si="292"/>
        <v>0</v>
      </c>
      <c r="BG325">
        <f t="shared" si="293"/>
        <v>0</v>
      </c>
      <c r="BH325">
        <f t="shared" si="294"/>
        <v>0</v>
      </c>
      <c r="BI325">
        <f t="shared" si="295"/>
        <v>0</v>
      </c>
      <c r="BJ325">
        <f t="shared" si="296"/>
        <v>0</v>
      </c>
      <c r="BK325">
        <f t="shared" si="297"/>
        <v>0</v>
      </c>
      <c r="BL325">
        <v>0</v>
      </c>
      <c r="BM325" t="str">
        <f t="shared" si="302"/>
        <v>Huge Win</v>
      </c>
      <c r="BN325" s="32" t="str">
        <f t="shared" si="303"/>
        <v>Free Plays A</v>
      </c>
      <c r="BO325">
        <f>(D325/Summary!$C$4-Summary!$C$8)^2*E325</f>
        <v>34669.464499999995</v>
      </c>
      <c r="BP325">
        <f t="shared" si="298"/>
        <v>0</v>
      </c>
      <c r="BQ325">
        <f t="shared" si="299"/>
        <v>0</v>
      </c>
      <c r="BR325">
        <f t="shared" si="300"/>
        <v>0</v>
      </c>
      <c r="BS325">
        <f t="shared" si="301"/>
        <v>0</v>
      </c>
    </row>
    <row r="326" spans="2:71">
      <c r="B326" s="16">
        <f>Tiers!B327</f>
        <v>324</v>
      </c>
      <c r="C326" s="17" t="str">
        <f>Tiers!Y327</f>
        <v>main-30|freeplayA-10|||||||| x 20</v>
      </c>
      <c r="D326" s="18">
        <f>Tiers!C327</f>
        <v>56</v>
      </c>
      <c r="E326" s="19">
        <f>Frequency!E328</f>
        <v>8</v>
      </c>
      <c r="F326" s="19">
        <f t="shared" si="255"/>
        <v>448</v>
      </c>
      <c r="G326" s="19">
        <f>IF(Tiers!D327&gt;1,'Data Analysis'!E326,0)</f>
        <v>8</v>
      </c>
      <c r="H326" s="19">
        <f t="shared" si="256"/>
        <v>448</v>
      </c>
      <c r="I326" s="19">
        <f>IF(AND(D326/Summary!$C$4&gt;0, D326/Summary!$C$4&lt;5),E326,0) * D326</f>
        <v>0</v>
      </c>
      <c r="J326" s="19">
        <f>IF(AND(D326/Summary!$C$4&gt;= 5, D326/Summary!$C$4&lt;10),E326,0) * D326</f>
        <v>0</v>
      </c>
      <c r="K326" s="19">
        <f>IF(AND(D326/Summary!$C$4&gt;=10, D326/Summary!$C$4&lt;25),E326,0)*D326</f>
        <v>0</v>
      </c>
      <c r="L326" s="19">
        <f>IF(D326/Summary!$C$4&gt;=25,E326,0)*D326</f>
        <v>448</v>
      </c>
      <c r="M326" s="27">
        <f>IF(AND(D326/Summary!$C$4&gt;0, D326/Summary!$C$4&lt;1),E326,0)</f>
        <v>0</v>
      </c>
      <c r="N326" s="27">
        <f t="shared" si="257"/>
        <v>0</v>
      </c>
      <c r="O326" s="27">
        <f>IF(D326/Summary!$C$4=1,1,0)*E326</f>
        <v>0</v>
      </c>
      <c r="P326" s="27">
        <f t="shared" si="258"/>
        <v>0</v>
      </c>
      <c r="Q326" s="27">
        <f>IF(AND(D326/Summary!$C$4&gt;1, D326/Summary!$C$4&lt;=2),1,0)*E326</f>
        <v>0</v>
      </c>
      <c r="R326" s="27">
        <f t="shared" si="259"/>
        <v>0</v>
      </c>
      <c r="S326" s="27">
        <f>IF(AND(D326/Summary!$C$4&gt;2,D326/Summary!$C$4&lt;=5),1,0)*E326</f>
        <v>0</v>
      </c>
      <c r="T326" s="27">
        <f t="shared" si="260"/>
        <v>0</v>
      </c>
      <c r="U326" s="27">
        <f>IF(AND(D326/Summary!$C$4&gt;5, D326/Summary!$C$4&lt;=10),1,0)*E326</f>
        <v>0</v>
      </c>
      <c r="V326" s="27">
        <f t="shared" si="261"/>
        <v>0</v>
      </c>
      <c r="W326" s="27">
        <f>IF(AND(D326/Summary!$C$4&gt;10, D326/Summary!$C$4&lt;=20),1,0)*E326</f>
        <v>0</v>
      </c>
      <c r="X326" s="27">
        <f t="shared" si="262"/>
        <v>0</v>
      </c>
      <c r="Y326" s="27">
        <f>IF(AND(D326/Summary!$C$4&gt;20, D326/Summary!$C$4&lt;=30),1,0)*E326</f>
        <v>0</v>
      </c>
      <c r="Z326" s="27">
        <f t="shared" si="263"/>
        <v>0</v>
      </c>
      <c r="AA326" s="27">
        <f>IF(AND(D326/Summary!$C$4&gt;30, D326/Summary!$C$4&lt;=50),1,0)*E326</f>
        <v>0</v>
      </c>
      <c r="AB326" s="27">
        <f t="shared" si="264"/>
        <v>0</v>
      </c>
      <c r="AC326" s="27">
        <f>IF(AND(D326/Summary!$C$4&gt;50, D326/Summary!$C$4&lt;=100),1,0)*E326</f>
        <v>8</v>
      </c>
      <c r="AD326" s="27">
        <f t="shared" si="265"/>
        <v>448</v>
      </c>
      <c r="AE326" s="27">
        <f>IF(D326/Summary!$C$4&gt;100,1,0)*E326</f>
        <v>0</v>
      </c>
      <c r="AF326" s="27">
        <f t="shared" si="266"/>
        <v>0</v>
      </c>
      <c r="AG326" s="19">
        <f t="shared" si="267"/>
        <v>8</v>
      </c>
      <c r="AH326" s="19">
        <f t="shared" si="268"/>
        <v>0</v>
      </c>
      <c r="AI326" s="19">
        <f t="shared" si="269"/>
        <v>0</v>
      </c>
      <c r="AJ326" s="27">
        <f t="shared" si="270"/>
        <v>1</v>
      </c>
      <c r="AK326" s="27">
        <f t="shared" si="271"/>
        <v>8</v>
      </c>
      <c r="AL326" s="27">
        <f t="shared" si="272"/>
        <v>448</v>
      </c>
      <c r="AM326">
        <f t="shared" si="273"/>
        <v>0</v>
      </c>
      <c r="AN326">
        <f t="shared" si="274"/>
        <v>0</v>
      </c>
      <c r="AO326">
        <f t="shared" si="275"/>
        <v>0</v>
      </c>
      <c r="AP326">
        <f t="shared" si="276"/>
        <v>0</v>
      </c>
      <c r="AQ326">
        <f t="shared" si="277"/>
        <v>0</v>
      </c>
      <c r="AR326">
        <f t="shared" si="278"/>
        <v>0</v>
      </c>
      <c r="AS326">
        <f t="shared" si="279"/>
        <v>0</v>
      </c>
      <c r="AT326">
        <f t="shared" si="280"/>
        <v>0</v>
      </c>
      <c r="AU326">
        <f t="shared" si="281"/>
        <v>0</v>
      </c>
      <c r="AV326">
        <f t="shared" si="282"/>
        <v>8</v>
      </c>
      <c r="AW326">
        <f t="shared" si="283"/>
        <v>448</v>
      </c>
      <c r="AX326">
        <f t="shared" si="284"/>
        <v>0</v>
      </c>
      <c r="AY326">
        <f t="shared" si="285"/>
        <v>0</v>
      </c>
      <c r="AZ326">
        <f t="shared" si="286"/>
        <v>0</v>
      </c>
      <c r="BA326">
        <f t="shared" si="287"/>
        <v>0</v>
      </c>
      <c r="BB326">
        <f t="shared" si="288"/>
        <v>0</v>
      </c>
      <c r="BC326">
        <f t="shared" si="289"/>
        <v>0</v>
      </c>
      <c r="BD326">
        <f t="shared" si="290"/>
        <v>0</v>
      </c>
      <c r="BE326">
        <f t="shared" si="291"/>
        <v>0</v>
      </c>
      <c r="BF326">
        <f t="shared" si="292"/>
        <v>0</v>
      </c>
      <c r="BG326">
        <f t="shared" si="293"/>
        <v>0</v>
      </c>
      <c r="BH326">
        <f t="shared" si="294"/>
        <v>0</v>
      </c>
      <c r="BI326">
        <f t="shared" si="295"/>
        <v>0</v>
      </c>
      <c r="BJ326">
        <f t="shared" si="296"/>
        <v>0</v>
      </c>
      <c r="BK326">
        <f t="shared" si="297"/>
        <v>0</v>
      </c>
      <c r="BL326">
        <v>0</v>
      </c>
      <c r="BM326" t="str">
        <f t="shared" si="302"/>
        <v>Huge Win</v>
      </c>
      <c r="BN326" s="32" t="str">
        <f t="shared" si="303"/>
        <v>Free Plays A</v>
      </c>
      <c r="BO326">
        <f>(D326/Summary!$C$4-Summary!$C$8)^2*E326</f>
        <v>24349.831200000001</v>
      </c>
      <c r="BP326">
        <f t="shared" si="298"/>
        <v>0</v>
      </c>
      <c r="BQ326">
        <f t="shared" si="299"/>
        <v>0</v>
      </c>
      <c r="BR326">
        <f t="shared" si="300"/>
        <v>0</v>
      </c>
      <c r="BS326">
        <f t="shared" si="301"/>
        <v>0</v>
      </c>
    </row>
    <row r="327" spans="2:71">
      <c r="B327" s="16">
        <f>Tiers!B328</f>
        <v>325</v>
      </c>
      <c r="C327" s="17" t="str">
        <f>Tiers!Y328</f>
        <v>main-0|main-0|freeplayA-3||||||| x 20</v>
      </c>
      <c r="D327" s="18">
        <f>Tiers!C328</f>
        <v>39</v>
      </c>
      <c r="E327" s="19">
        <f>Frequency!E329</f>
        <v>100</v>
      </c>
      <c r="F327" s="19">
        <f t="shared" si="255"/>
        <v>3900</v>
      </c>
      <c r="G327" s="19">
        <f>IF(Tiers!D328&gt;1,'Data Analysis'!E327,0)</f>
        <v>100</v>
      </c>
      <c r="H327" s="19">
        <f t="shared" si="256"/>
        <v>3900</v>
      </c>
      <c r="I327" s="19">
        <f>IF(AND(D327/Summary!$C$4&gt;0, D327/Summary!$C$4&lt;5),E327,0) * D327</f>
        <v>0</v>
      </c>
      <c r="J327" s="19">
        <f>IF(AND(D327/Summary!$C$4&gt;= 5, D327/Summary!$C$4&lt;10),E327,0) * D327</f>
        <v>0</v>
      </c>
      <c r="K327" s="19">
        <f>IF(AND(D327/Summary!$C$4&gt;=10, D327/Summary!$C$4&lt;25),E327,0)*D327</f>
        <v>0</v>
      </c>
      <c r="L327" s="19">
        <f>IF(D327/Summary!$C$4&gt;=25,E327,0)*D327</f>
        <v>3900</v>
      </c>
      <c r="M327" s="27">
        <f>IF(AND(D327/Summary!$C$4&gt;0, D327/Summary!$C$4&lt;1),E327,0)</f>
        <v>0</v>
      </c>
      <c r="N327" s="27">
        <f t="shared" si="257"/>
        <v>0</v>
      </c>
      <c r="O327" s="27">
        <f>IF(D327/Summary!$C$4=1,1,0)*E327</f>
        <v>0</v>
      </c>
      <c r="P327" s="27">
        <f t="shared" si="258"/>
        <v>0</v>
      </c>
      <c r="Q327" s="27">
        <f>IF(AND(D327/Summary!$C$4&gt;1, D327/Summary!$C$4&lt;=2),1,0)*E327</f>
        <v>0</v>
      </c>
      <c r="R327" s="27">
        <f t="shared" si="259"/>
        <v>0</v>
      </c>
      <c r="S327" s="27">
        <f>IF(AND(D327/Summary!$C$4&gt;2,D327/Summary!$C$4&lt;=5),1,0)*E327</f>
        <v>0</v>
      </c>
      <c r="T327" s="27">
        <f t="shared" si="260"/>
        <v>0</v>
      </c>
      <c r="U327" s="27">
        <f>IF(AND(D327/Summary!$C$4&gt;5, D327/Summary!$C$4&lt;=10),1,0)*E327</f>
        <v>0</v>
      </c>
      <c r="V327" s="27">
        <f t="shared" si="261"/>
        <v>0</v>
      </c>
      <c r="W327" s="27">
        <f>IF(AND(D327/Summary!$C$4&gt;10, D327/Summary!$C$4&lt;=20),1,0)*E327</f>
        <v>0</v>
      </c>
      <c r="X327" s="27">
        <f t="shared" si="262"/>
        <v>0</v>
      </c>
      <c r="Y327" s="27">
        <f>IF(AND(D327/Summary!$C$4&gt;20, D327/Summary!$C$4&lt;=30),1,0)*E327</f>
        <v>0</v>
      </c>
      <c r="Z327" s="27">
        <f t="shared" si="263"/>
        <v>0</v>
      </c>
      <c r="AA327" s="27">
        <f>IF(AND(D327/Summary!$C$4&gt;30, D327/Summary!$C$4&lt;=50),1,0)*E327</f>
        <v>100</v>
      </c>
      <c r="AB327" s="27">
        <f t="shared" si="264"/>
        <v>3900</v>
      </c>
      <c r="AC327" s="27">
        <f>IF(AND(D327/Summary!$C$4&gt;50, D327/Summary!$C$4&lt;=100),1,0)*E327</f>
        <v>0</v>
      </c>
      <c r="AD327" s="27">
        <f t="shared" si="265"/>
        <v>0</v>
      </c>
      <c r="AE327" s="27">
        <f>IF(D327/Summary!$C$4&gt;100,1,0)*E327</f>
        <v>0</v>
      </c>
      <c r="AF327" s="27">
        <f t="shared" si="266"/>
        <v>0</v>
      </c>
      <c r="AG327" s="19">
        <f t="shared" si="267"/>
        <v>100</v>
      </c>
      <c r="AH327" s="19">
        <f t="shared" si="268"/>
        <v>0</v>
      </c>
      <c r="AI327" s="19">
        <f t="shared" si="269"/>
        <v>0</v>
      </c>
      <c r="AJ327" s="27">
        <f t="shared" si="270"/>
        <v>1</v>
      </c>
      <c r="AK327" s="27">
        <f t="shared" si="271"/>
        <v>100</v>
      </c>
      <c r="AL327" s="27">
        <f t="shared" si="272"/>
        <v>3900</v>
      </c>
      <c r="AM327">
        <f t="shared" si="273"/>
        <v>0</v>
      </c>
      <c r="AN327">
        <f t="shared" si="274"/>
        <v>0</v>
      </c>
      <c r="AO327">
        <f t="shared" si="275"/>
        <v>0</v>
      </c>
      <c r="AP327">
        <f t="shared" si="276"/>
        <v>0</v>
      </c>
      <c r="AQ327">
        <f t="shared" si="277"/>
        <v>0</v>
      </c>
      <c r="AR327">
        <f t="shared" si="278"/>
        <v>0</v>
      </c>
      <c r="AS327">
        <f t="shared" si="279"/>
        <v>0</v>
      </c>
      <c r="AT327">
        <f t="shared" si="280"/>
        <v>0</v>
      </c>
      <c r="AU327">
        <f t="shared" si="281"/>
        <v>0</v>
      </c>
      <c r="AV327">
        <f t="shared" si="282"/>
        <v>100</v>
      </c>
      <c r="AW327">
        <f t="shared" si="283"/>
        <v>3900</v>
      </c>
      <c r="AX327">
        <f t="shared" si="284"/>
        <v>0</v>
      </c>
      <c r="AY327">
        <f t="shared" si="285"/>
        <v>0</v>
      </c>
      <c r="AZ327">
        <f t="shared" si="286"/>
        <v>0</v>
      </c>
      <c r="BA327">
        <f t="shared" si="287"/>
        <v>0</v>
      </c>
      <c r="BB327">
        <f t="shared" si="288"/>
        <v>0</v>
      </c>
      <c r="BC327">
        <f t="shared" si="289"/>
        <v>0</v>
      </c>
      <c r="BD327">
        <f t="shared" si="290"/>
        <v>0</v>
      </c>
      <c r="BE327">
        <f t="shared" si="291"/>
        <v>0</v>
      </c>
      <c r="BF327">
        <f t="shared" si="292"/>
        <v>0</v>
      </c>
      <c r="BG327">
        <f t="shared" si="293"/>
        <v>0</v>
      </c>
      <c r="BH327">
        <f t="shared" si="294"/>
        <v>0</v>
      </c>
      <c r="BI327">
        <f t="shared" si="295"/>
        <v>0</v>
      </c>
      <c r="BJ327">
        <f t="shared" si="296"/>
        <v>0</v>
      </c>
      <c r="BK327">
        <f t="shared" si="297"/>
        <v>0</v>
      </c>
      <c r="BL327">
        <v>0</v>
      </c>
      <c r="BM327" t="str">
        <f t="shared" si="302"/>
        <v>Big Win</v>
      </c>
      <c r="BN327" s="32" t="str">
        <f t="shared" si="303"/>
        <v>Free Plays A</v>
      </c>
      <c r="BO327">
        <f>(D327/Summary!$C$4-Summary!$C$8)^2*E327</f>
        <v>145694.89000000001</v>
      </c>
      <c r="BP327">
        <f t="shared" si="298"/>
        <v>0</v>
      </c>
      <c r="BQ327">
        <f t="shared" si="299"/>
        <v>0</v>
      </c>
      <c r="BR327">
        <f t="shared" si="300"/>
        <v>0</v>
      </c>
      <c r="BS327">
        <f t="shared" si="301"/>
        <v>0</v>
      </c>
    </row>
    <row r="328" spans="2:71">
      <c r="B328" s="16">
        <f>Tiers!B329</f>
        <v>326</v>
      </c>
      <c r="C328" s="17" t="str">
        <f>Tiers!Y329</f>
        <v>main-0|main-1|freeplayA-4||||||| x 20</v>
      </c>
      <c r="D328" s="18">
        <f>Tiers!C329</f>
        <v>24.6</v>
      </c>
      <c r="E328" s="19">
        <f>Frequency!E330</f>
        <v>300</v>
      </c>
      <c r="F328" s="19">
        <f t="shared" si="255"/>
        <v>7380</v>
      </c>
      <c r="G328" s="19">
        <f>IF(Tiers!D329&gt;1,'Data Analysis'!E328,0)</f>
        <v>300</v>
      </c>
      <c r="H328" s="19">
        <f t="shared" si="256"/>
        <v>7380</v>
      </c>
      <c r="I328" s="19">
        <f>IF(AND(D328/Summary!$C$4&gt;0, D328/Summary!$C$4&lt;5),E328,0) * D328</f>
        <v>0</v>
      </c>
      <c r="J328" s="19">
        <f>IF(AND(D328/Summary!$C$4&gt;= 5, D328/Summary!$C$4&lt;10),E328,0) * D328</f>
        <v>0</v>
      </c>
      <c r="K328" s="19">
        <f>IF(AND(D328/Summary!$C$4&gt;=10, D328/Summary!$C$4&lt;25),E328,0)*D328</f>
        <v>7380</v>
      </c>
      <c r="L328" s="19">
        <f>IF(D328/Summary!$C$4&gt;=25,E328,0)*D328</f>
        <v>0</v>
      </c>
      <c r="M328" s="27">
        <f>IF(AND(D328/Summary!$C$4&gt;0, D328/Summary!$C$4&lt;1),E328,0)</f>
        <v>0</v>
      </c>
      <c r="N328" s="27">
        <f t="shared" si="257"/>
        <v>0</v>
      </c>
      <c r="O328" s="27">
        <f>IF(D328/Summary!$C$4=1,1,0)*E328</f>
        <v>0</v>
      </c>
      <c r="P328" s="27">
        <f t="shared" si="258"/>
        <v>0</v>
      </c>
      <c r="Q328" s="27">
        <f>IF(AND(D328/Summary!$C$4&gt;1, D328/Summary!$C$4&lt;=2),1,0)*E328</f>
        <v>0</v>
      </c>
      <c r="R328" s="27">
        <f t="shared" si="259"/>
        <v>0</v>
      </c>
      <c r="S328" s="27">
        <f>IF(AND(D328/Summary!$C$4&gt;2,D328/Summary!$C$4&lt;=5),1,0)*E328</f>
        <v>0</v>
      </c>
      <c r="T328" s="27">
        <f t="shared" si="260"/>
        <v>0</v>
      </c>
      <c r="U328" s="27">
        <f>IF(AND(D328/Summary!$C$4&gt;5, D328/Summary!$C$4&lt;=10),1,0)*E328</f>
        <v>0</v>
      </c>
      <c r="V328" s="27">
        <f t="shared" si="261"/>
        <v>0</v>
      </c>
      <c r="W328" s="27">
        <f>IF(AND(D328/Summary!$C$4&gt;10, D328/Summary!$C$4&lt;=20),1,0)*E328</f>
        <v>0</v>
      </c>
      <c r="X328" s="27">
        <f t="shared" si="262"/>
        <v>0</v>
      </c>
      <c r="Y328" s="27">
        <f>IF(AND(D328/Summary!$C$4&gt;20, D328/Summary!$C$4&lt;=30),1,0)*E328</f>
        <v>300</v>
      </c>
      <c r="Z328" s="27">
        <f t="shared" si="263"/>
        <v>7380</v>
      </c>
      <c r="AA328" s="27">
        <f>IF(AND(D328/Summary!$C$4&gt;30, D328/Summary!$C$4&lt;=50),1,0)*E328</f>
        <v>0</v>
      </c>
      <c r="AB328" s="27">
        <f t="shared" si="264"/>
        <v>0</v>
      </c>
      <c r="AC328" s="27">
        <f>IF(AND(D328/Summary!$C$4&gt;50, D328/Summary!$C$4&lt;=100),1,0)*E328</f>
        <v>0</v>
      </c>
      <c r="AD328" s="27">
        <f t="shared" si="265"/>
        <v>0</v>
      </c>
      <c r="AE328" s="27">
        <f>IF(D328/Summary!$C$4&gt;100,1,0)*E328</f>
        <v>0</v>
      </c>
      <c r="AF328" s="27">
        <f t="shared" si="266"/>
        <v>0</v>
      </c>
      <c r="AG328" s="19">
        <f t="shared" si="267"/>
        <v>300</v>
      </c>
      <c r="AH328" s="19">
        <f t="shared" si="268"/>
        <v>0</v>
      </c>
      <c r="AI328" s="19">
        <f t="shared" si="269"/>
        <v>0</v>
      </c>
      <c r="AJ328" s="27">
        <f t="shared" si="270"/>
        <v>1</v>
      </c>
      <c r="AK328" s="27">
        <f t="shared" si="271"/>
        <v>300</v>
      </c>
      <c r="AL328" s="27">
        <f t="shared" si="272"/>
        <v>7380</v>
      </c>
      <c r="AM328">
        <f t="shared" si="273"/>
        <v>0</v>
      </c>
      <c r="AN328">
        <f t="shared" si="274"/>
        <v>0</v>
      </c>
      <c r="AO328">
        <f t="shared" si="275"/>
        <v>0</v>
      </c>
      <c r="AP328">
        <f t="shared" si="276"/>
        <v>0</v>
      </c>
      <c r="AQ328">
        <f t="shared" si="277"/>
        <v>0</v>
      </c>
      <c r="AR328">
        <f t="shared" si="278"/>
        <v>0</v>
      </c>
      <c r="AS328">
        <f t="shared" si="279"/>
        <v>0</v>
      </c>
      <c r="AT328">
        <f t="shared" si="280"/>
        <v>0</v>
      </c>
      <c r="AU328">
        <f t="shared" si="281"/>
        <v>0</v>
      </c>
      <c r="AV328">
        <f t="shared" si="282"/>
        <v>300</v>
      </c>
      <c r="AW328">
        <f t="shared" si="283"/>
        <v>7380</v>
      </c>
      <c r="AX328">
        <f t="shared" si="284"/>
        <v>0</v>
      </c>
      <c r="AY328">
        <f t="shared" si="285"/>
        <v>0</v>
      </c>
      <c r="AZ328">
        <f t="shared" si="286"/>
        <v>0</v>
      </c>
      <c r="BA328">
        <f t="shared" si="287"/>
        <v>0</v>
      </c>
      <c r="BB328">
        <f t="shared" si="288"/>
        <v>0</v>
      </c>
      <c r="BC328">
        <f t="shared" si="289"/>
        <v>0</v>
      </c>
      <c r="BD328">
        <f t="shared" si="290"/>
        <v>0</v>
      </c>
      <c r="BE328">
        <f t="shared" si="291"/>
        <v>0</v>
      </c>
      <c r="BF328">
        <f t="shared" si="292"/>
        <v>0</v>
      </c>
      <c r="BG328">
        <f t="shared" si="293"/>
        <v>0</v>
      </c>
      <c r="BH328">
        <f t="shared" si="294"/>
        <v>0</v>
      </c>
      <c r="BI328">
        <f t="shared" si="295"/>
        <v>0</v>
      </c>
      <c r="BJ328">
        <f t="shared" si="296"/>
        <v>0</v>
      </c>
      <c r="BK328">
        <f t="shared" si="297"/>
        <v>0</v>
      </c>
      <c r="BL328">
        <v>0</v>
      </c>
      <c r="BM328" t="str">
        <f t="shared" si="302"/>
        <v>Big Win</v>
      </c>
      <c r="BN328" s="32" t="str">
        <f t="shared" si="303"/>
        <v>Free Plays A</v>
      </c>
      <c r="BO328">
        <f>(D328/Summary!$C$4-Summary!$C$8)^2*E328</f>
        <v>169503.87000000005</v>
      </c>
      <c r="BP328">
        <f t="shared" si="298"/>
        <v>0</v>
      </c>
      <c r="BQ328">
        <f t="shared" si="299"/>
        <v>0</v>
      </c>
      <c r="BR328">
        <f t="shared" si="300"/>
        <v>0</v>
      </c>
      <c r="BS328">
        <f t="shared" si="301"/>
        <v>0</v>
      </c>
    </row>
    <row r="329" spans="2:71">
      <c r="B329" s="16">
        <f>Tiers!B330</f>
        <v>327</v>
      </c>
      <c r="C329" s="17" t="str">
        <f>Tiers!Y330</f>
        <v>main-1|main-1|freeplayA-5||||||| x 20</v>
      </c>
      <c r="D329" s="18">
        <f>Tiers!C330</f>
        <v>33.299999999999997</v>
      </c>
      <c r="E329" s="19">
        <f>Frequency!E331</f>
        <v>100</v>
      </c>
      <c r="F329" s="19">
        <f t="shared" si="255"/>
        <v>3329.9999999999995</v>
      </c>
      <c r="G329" s="19">
        <f>IF(Tiers!D330&gt;1,'Data Analysis'!E329,0)</f>
        <v>100</v>
      </c>
      <c r="H329" s="19">
        <f t="shared" si="256"/>
        <v>3329.9999999999995</v>
      </c>
      <c r="I329" s="19">
        <f>IF(AND(D329/Summary!$C$4&gt;0, D329/Summary!$C$4&lt;5),E329,0) * D329</f>
        <v>0</v>
      </c>
      <c r="J329" s="19">
        <f>IF(AND(D329/Summary!$C$4&gt;= 5, D329/Summary!$C$4&lt;10),E329,0) * D329</f>
        <v>0</v>
      </c>
      <c r="K329" s="19">
        <f>IF(AND(D329/Summary!$C$4&gt;=10, D329/Summary!$C$4&lt;25),E329,0)*D329</f>
        <v>0</v>
      </c>
      <c r="L329" s="19">
        <f>IF(D329/Summary!$C$4&gt;=25,E329,0)*D329</f>
        <v>3329.9999999999995</v>
      </c>
      <c r="M329" s="27">
        <f>IF(AND(D329/Summary!$C$4&gt;0, D329/Summary!$C$4&lt;1),E329,0)</f>
        <v>0</v>
      </c>
      <c r="N329" s="27">
        <f t="shared" si="257"/>
        <v>0</v>
      </c>
      <c r="O329" s="27">
        <f>IF(D329/Summary!$C$4=1,1,0)*E329</f>
        <v>0</v>
      </c>
      <c r="P329" s="27">
        <f t="shared" si="258"/>
        <v>0</v>
      </c>
      <c r="Q329" s="27">
        <f>IF(AND(D329/Summary!$C$4&gt;1, D329/Summary!$C$4&lt;=2),1,0)*E329</f>
        <v>0</v>
      </c>
      <c r="R329" s="27">
        <f t="shared" si="259"/>
        <v>0</v>
      </c>
      <c r="S329" s="27">
        <f>IF(AND(D329/Summary!$C$4&gt;2,D329/Summary!$C$4&lt;=5),1,0)*E329</f>
        <v>0</v>
      </c>
      <c r="T329" s="27">
        <f t="shared" si="260"/>
        <v>0</v>
      </c>
      <c r="U329" s="27">
        <f>IF(AND(D329/Summary!$C$4&gt;5, D329/Summary!$C$4&lt;=10),1,0)*E329</f>
        <v>0</v>
      </c>
      <c r="V329" s="27">
        <f t="shared" si="261"/>
        <v>0</v>
      </c>
      <c r="W329" s="27">
        <f>IF(AND(D329/Summary!$C$4&gt;10, D329/Summary!$C$4&lt;=20),1,0)*E329</f>
        <v>0</v>
      </c>
      <c r="X329" s="27">
        <f t="shared" si="262"/>
        <v>0</v>
      </c>
      <c r="Y329" s="27">
        <f>IF(AND(D329/Summary!$C$4&gt;20, D329/Summary!$C$4&lt;=30),1,0)*E329</f>
        <v>0</v>
      </c>
      <c r="Z329" s="27">
        <f t="shared" si="263"/>
        <v>0</v>
      </c>
      <c r="AA329" s="27">
        <f>IF(AND(D329/Summary!$C$4&gt;30, D329/Summary!$C$4&lt;=50),1,0)*E329</f>
        <v>100</v>
      </c>
      <c r="AB329" s="27">
        <f t="shared" si="264"/>
        <v>3329.9999999999995</v>
      </c>
      <c r="AC329" s="27">
        <f>IF(AND(D329/Summary!$C$4&gt;50, D329/Summary!$C$4&lt;=100),1,0)*E329</f>
        <v>0</v>
      </c>
      <c r="AD329" s="27">
        <f t="shared" si="265"/>
        <v>0</v>
      </c>
      <c r="AE329" s="27">
        <f>IF(D329/Summary!$C$4&gt;100,1,0)*E329</f>
        <v>0</v>
      </c>
      <c r="AF329" s="27">
        <f t="shared" si="266"/>
        <v>0</v>
      </c>
      <c r="AG329" s="19">
        <f t="shared" si="267"/>
        <v>100</v>
      </c>
      <c r="AH329" s="19">
        <f t="shared" si="268"/>
        <v>0</v>
      </c>
      <c r="AI329" s="19">
        <f t="shared" si="269"/>
        <v>0</v>
      </c>
      <c r="AJ329" s="27">
        <f t="shared" si="270"/>
        <v>1</v>
      </c>
      <c r="AK329" s="27">
        <f t="shared" si="271"/>
        <v>100</v>
      </c>
      <c r="AL329" s="27">
        <f t="shared" si="272"/>
        <v>3329.9999999999995</v>
      </c>
      <c r="AM329">
        <f t="shared" si="273"/>
        <v>0</v>
      </c>
      <c r="AN329">
        <f t="shared" si="274"/>
        <v>0</v>
      </c>
      <c r="AO329">
        <f t="shared" si="275"/>
        <v>0</v>
      </c>
      <c r="AP329">
        <f t="shared" si="276"/>
        <v>0</v>
      </c>
      <c r="AQ329">
        <f t="shared" si="277"/>
        <v>0</v>
      </c>
      <c r="AR329">
        <f t="shared" si="278"/>
        <v>0</v>
      </c>
      <c r="AS329">
        <f t="shared" si="279"/>
        <v>0</v>
      </c>
      <c r="AT329">
        <f t="shared" si="280"/>
        <v>0</v>
      </c>
      <c r="AU329">
        <f t="shared" si="281"/>
        <v>0</v>
      </c>
      <c r="AV329">
        <f t="shared" si="282"/>
        <v>100</v>
      </c>
      <c r="AW329">
        <f t="shared" si="283"/>
        <v>3329.9999999999995</v>
      </c>
      <c r="AX329">
        <f t="shared" si="284"/>
        <v>0</v>
      </c>
      <c r="AY329">
        <f t="shared" si="285"/>
        <v>0</v>
      </c>
      <c r="AZ329">
        <f t="shared" si="286"/>
        <v>0</v>
      </c>
      <c r="BA329">
        <f t="shared" si="287"/>
        <v>0</v>
      </c>
      <c r="BB329">
        <f t="shared" si="288"/>
        <v>0</v>
      </c>
      <c r="BC329">
        <f t="shared" si="289"/>
        <v>0</v>
      </c>
      <c r="BD329">
        <f t="shared" si="290"/>
        <v>0</v>
      </c>
      <c r="BE329">
        <f t="shared" si="291"/>
        <v>0</v>
      </c>
      <c r="BF329">
        <f t="shared" si="292"/>
        <v>0</v>
      </c>
      <c r="BG329">
        <f t="shared" si="293"/>
        <v>0</v>
      </c>
      <c r="BH329">
        <f t="shared" si="294"/>
        <v>0</v>
      </c>
      <c r="BI329">
        <f t="shared" si="295"/>
        <v>0</v>
      </c>
      <c r="BJ329">
        <f t="shared" si="296"/>
        <v>0</v>
      </c>
      <c r="BK329">
        <f t="shared" si="297"/>
        <v>0</v>
      </c>
      <c r="BL329">
        <v>0</v>
      </c>
      <c r="BM329" t="str">
        <f t="shared" si="302"/>
        <v>Big Win</v>
      </c>
      <c r="BN329" s="32" t="str">
        <f t="shared" si="303"/>
        <v>Free Plays A</v>
      </c>
      <c r="BO329">
        <f>(D329/Summary!$C$4-Summary!$C$8)^2*E329</f>
        <v>105430.09</v>
      </c>
      <c r="BP329">
        <f t="shared" si="298"/>
        <v>0</v>
      </c>
      <c r="BQ329">
        <f t="shared" si="299"/>
        <v>0</v>
      </c>
      <c r="BR329">
        <f t="shared" si="300"/>
        <v>0</v>
      </c>
      <c r="BS329">
        <f t="shared" si="301"/>
        <v>0</v>
      </c>
    </row>
    <row r="330" spans="2:71">
      <c r="B330" s="16">
        <f>Tiers!B331</f>
        <v>328</v>
      </c>
      <c r="C330" s="17" t="str">
        <f>Tiers!Y331</f>
        <v>main-0|main-2|freeplayA-6||||||| x 20</v>
      </c>
      <c r="D330" s="18">
        <f>Tiers!C331</f>
        <v>41</v>
      </c>
      <c r="E330" s="19">
        <f>Frequency!E332</f>
        <v>10</v>
      </c>
      <c r="F330" s="19">
        <f t="shared" si="255"/>
        <v>410</v>
      </c>
      <c r="G330" s="19">
        <f>IF(Tiers!D331&gt;1,'Data Analysis'!E330,0)</f>
        <v>10</v>
      </c>
      <c r="H330" s="19">
        <f t="shared" si="256"/>
        <v>410</v>
      </c>
      <c r="I330" s="19">
        <f>IF(AND(D330/Summary!$C$4&gt;0, D330/Summary!$C$4&lt;5),E330,0) * D330</f>
        <v>0</v>
      </c>
      <c r="J330" s="19">
        <f>IF(AND(D330/Summary!$C$4&gt;= 5, D330/Summary!$C$4&lt;10),E330,0) * D330</f>
        <v>0</v>
      </c>
      <c r="K330" s="19">
        <f>IF(AND(D330/Summary!$C$4&gt;=10, D330/Summary!$C$4&lt;25),E330,0)*D330</f>
        <v>0</v>
      </c>
      <c r="L330" s="19">
        <f>IF(D330/Summary!$C$4&gt;=25,E330,0)*D330</f>
        <v>410</v>
      </c>
      <c r="M330" s="27">
        <f>IF(AND(D330/Summary!$C$4&gt;0, D330/Summary!$C$4&lt;1),E330,0)</f>
        <v>0</v>
      </c>
      <c r="N330" s="27">
        <f t="shared" si="257"/>
        <v>0</v>
      </c>
      <c r="O330" s="27">
        <f>IF(D330/Summary!$C$4=1,1,0)*E330</f>
        <v>0</v>
      </c>
      <c r="P330" s="27">
        <f t="shared" si="258"/>
        <v>0</v>
      </c>
      <c r="Q330" s="27">
        <f>IF(AND(D330/Summary!$C$4&gt;1, D330/Summary!$C$4&lt;=2),1,0)*E330</f>
        <v>0</v>
      </c>
      <c r="R330" s="27">
        <f t="shared" si="259"/>
        <v>0</v>
      </c>
      <c r="S330" s="27">
        <f>IF(AND(D330/Summary!$C$4&gt;2,D330/Summary!$C$4&lt;=5),1,0)*E330</f>
        <v>0</v>
      </c>
      <c r="T330" s="27">
        <f t="shared" si="260"/>
        <v>0</v>
      </c>
      <c r="U330" s="27">
        <f>IF(AND(D330/Summary!$C$4&gt;5, D330/Summary!$C$4&lt;=10),1,0)*E330</f>
        <v>0</v>
      </c>
      <c r="V330" s="27">
        <f t="shared" si="261"/>
        <v>0</v>
      </c>
      <c r="W330" s="27">
        <f>IF(AND(D330/Summary!$C$4&gt;10, D330/Summary!$C$4&lt;=20),1,0)*E330</f>
        <v>0</v>
      </c>
      <c r="X330" s="27">
        <f t="shared" si="262"/>
        <v>0</v>
      </c>
      <c r="Y330" s="27">
        <f>IF(AND(D330/Summary!$C$4&gt;20, D330/Summary!$C$4&lt;=30),1,0)*E330</f>
        <v>0</v>
      </c>
      <c r="Z330" s="27">
        <f t="shared" si="263"/>
        <v>0</v>
      </c>
      <c r="AA330" s="27">
        <f>IF(AND(D330/Summary!$C$4&gt;30, D330/Summary!$C$4&lt;=50),1,0)*E330</f>
        <v>10</v>
      </c>
      <c r="AB330" s="27">
        <f t="shared" si="264"/>
        <v>410</v>
      </c>
      <c r="AC330" s="27">
        <f>IF(AND(D330/Summary!$C$4&gt;50, D330/Summary!$C$4&lt;=100),1,0)*E330</f>
        <v>0</v>
      </c>
      <c r="AD330" s="27">
        <f t="shared" si="265"/>
        <v>0</v>
      </c>
      <c r="AE330" s="27">
        <f>IF(D330/Summary!$C$4&gt;100,1,0)*E330</f>
        <v>0</v>
      </c>
      <c r="AF330" s="27">
        <f t="shared" si="266"/>
        <v>0</v>
      </c>
      <c r="AG330" s="19">
        <f t="shared" si="267"/>
        <v>10</v>
      </c>
      <c r="AH330" s="19">
        <f t="shared" si="268"/>
        <v>0</v>
      </c>
      <c r="AI330" s="19">
        <f t="shared" si="269"/>
        <v>0</v>
      </c>
      <c r="AJ330" s="27">
        <f t="shared" si="270"/>
        <v>1</v>
      </c>
      <c r="AK330" s="27">
        <f t="shared" si="271"/>
        <v>10</v>
      </c>
      <c r="AL330" s="27">
        <f t="shared" si="272"/>
        <v>410</v>
      </c>
      <c r="AM330">
        <f t="shared" si="273"/>
        <v>0</v>
      </c>
      <c r="AN330">
        <f t="shared" si="274"/>
        <v>0</v>
      </c>
      <c r="AO330">
        <f t="shared" si="275"/>
        <v>0</v>
      </c>
      <c r="AP330">
        <f t="shared" si="276"/>
        <v>0</v>
      </c>
      <c r="AQ330">
        <f t="shared" si="277"/>
        <v>0</v>
      </c>
      <c r="AR330">
        <f t="shared" si="278"/>
        <v>0</v>
      </c>
      <c r="AS330">
        <f t="shared" si="279"/>
        <v>0</v>
      </c>
      <c r="AT330">
        <f t="shared" si="280"/>
        <v>0</v>
      </c>
      <c r="AU330">
        <f t="shared" si="281"/>
        <v>0</v>
      </c>
      <c r="AV330">
        <f t="shared" si="282"/>
        <v>10</v>
      </c>
      <c r="AW330">
        <f t="shared" si="283"/>
        <v>410</v>
      </c>
      <c r="AX330">
        <f t="shared" si="284"/>
        <v>0</v>
      </c>
      <c r="AY330">
        <f t="shared" si="285"/>
        <v>0</v>
      </c>
      <c r="AZ330">
        <f t="shared" si="286"/>
        <v>0</v>
      </c>
      <c r="BA330">
        <f t="shared" si="287"/>
        <v>0</v>
      </c>
      <c r="BB330">
        <f t="shared" si="288"/>
        <v>0</v>
      </c>
      <c r="BC330">
        <f t="shared" si="289"/>
        <v>0</v>
      </c>
      <c r="BD330">
        <f t="shared" si="290"/>
        <v>0</v>
      </c>
      <c r="BE330">
        <f t="shared" si="291"/>
        <v>0</v>
      </c>
      <c r="BF330">
        <f t="shared" si="292"/>
        <v>0</v>
      </c>
      <c r="BG330">
        <f t="shared" si="293"/>
        <v>0</v>
      </c>
      <c r="BH330">
        <f t="shared" si="294"/>
        <v>0</v>
      </c>
      <c r="BI330">
        <f t="shared" si="295"/>
        <v>0</v>
      </c>
      <c r="BJ330">
        <f t="shared" si="296"/>
        <v>0</v>
      </c>
      <c r="BK330">
        <f t="shared" si="297"/>
        <v>0</v>
      </c>
      <c r="BL330">
        <v>0</v>
      </c>
      <c r="BM330" t="str">
        <f t="shared" si="302"/>
        <v>Big Win</v>
      </c>
      <c r="BN330" s="32" t="str">
        <f t="shared" si="303"/>
        <v>Free Plays A</v>
      </c>
      <c r="BO330">
        <f>(D330/Summary!$C$4-Summary!$C$8)^2*E330</f>
        <v>16136.289000000001</v>
      </c>
      <c r="BP330">
        <f t="shared" si="298"/>
        <v>0</v>
      </c>
      <c r="BQ330">
        <f t="shared" si="299"/>
        <v>0</v>
      </c>
      <c r="BR330">
        <f t="shared" si="300"/>
        <v>0</v>
      </c>
      <c r="BS330">
        <f t="shared" si="301"/>
        <v>0</v>
      </c>
    </row>
    <row r="331" spans="2:71">
      <c r="B331" s="16">
        <f>Tiers!B332</f>
        <v>329</v>
      </c>
      <c r="C331" s="17" t="str">
        <f>Tiers!Y332</f>
        <v>main-0|main-3|freeplayA-7||||||| x 20</v>
      </c>
      <c r="D331" s="18">
        <f>Tiers!C332</f>
        <v>63.9</v>
      </c>
      <c r="E331" s="19">
        <f>Frequency!E333</f>
        <v>7</v>
      </c>
      <c r="F331" s="19">
        <f t="shared" si="255"/>
        <v>447.3</v>
      </c>
      <c r="G331" s="19">
        <f>IF(Tiers!D332&gt;1,'Data Analysis'!E331,0)</f>
        <v>7</v>
      </c>
      <c r="H331" s="19">
        <f t="shared" si="256"/>
        <v>447.3</v>
      </c>
      <c r="I331" s="19">
        <f>IF(AND(D331/Summary!$C$4&gt;0, D331/Summary!$C$4&lt;5),E331,0) * D331</f>
        <v>0</v>
      </c>
      <c r="J331" s="19">
        <f>IF(AND(D331/Summary!$C$4&gt;= 5, D331/Summary!$C$4&lt;10),E331,0) * D331</f>
        <v>0</v>
      </c>
      <c r="K331" s="19">
        <f>IF(AND(D331/Summary!$C$4&gt;=10, D331/Summary!$C$4&lt;25),E331,0)*D331</f>
        <v>0</v>
      </c>
      <c r="L331" s="19">
        <f>IF(D331/Summary!$C$4&gt;=25,E331,0)*D331</f>
        <v>447.3</v>
      </c>
      <c r="M331" s="27">
        <f>IF(AND(D331/Summary!$C$4&gt;0, D331/Summary!$C$4&lt;1),E331,0)</f>
        <v>0</v>
      </c>
      <c r="N331" s="27">
        <f t="shared" si="257"/>
        <v>0</v>
      </c>
      <c r="O331" s="27">
        <f>IF(D331/Summary!$C$4=1,1,0)*E331</f>
        <v>0</v>
      </c>
      <c r="P331" s="27">
        <f t="shared" si="258"/>
        <v>0</v>
      </c>
      <c r="Q331" s="27">
        <f>IF(AND(D331/Summary!$C$4&gt;1, D331/Summary!$C$4&lt;=2),1,0)*E331</f>
        <v>0</v>
      </c>
      <c r="R331" s="27">
        <f t="shared" si="259"/>
        <v>0</v>
      </c>
      <c r="S331" s="27">
        <f>IF(AND(D331/Summary!$C$4&gt;2,D331/Summary!$C$4&lt;=5),1,0)*E331</f>
        <v>0</v>
      </c>
      <c r="T331" s="27">
        <f t="shared" si="260"/>
        <v>0</v>
      </c>
      <c r="U331" s="27">
        <f>IF(AND(D331/Summary!$C$4&gt;5, D331/Summary!$C$4&lt;=10),1,0)*E331</f>
        <v>0</v>
      </c>
      <c r="V331" s="27">
        <f t="shared" si="261"/>
        <v>0</v>
      </c>
      <c r="W331" s="27">
        <f>IF(AND(D331/Summary!$C$4&gt;10, D331/Summary!$C$4&lt;=20),1,0)*E331</f>
        <v>0</v>
      </c>
      <c r="X331" s="27">
        <f t="shared" si="262"/>
        <v>0</v>
      </c>
      <c r="Y331" s="27">
        <f>IF(AND(D331/Summary!$C$4&gt;20, D331/Summary!$C$4&lt;=30),1,0)*E331</f>
        <v>0</v>
      </c>
      <c r="Z331" s="27">
        <f t="shared" si="263"/>
        <v>0</v>
      </c>
      <c r="AA331" s="27">
        <f>IF(AND(D331/Summary!$C$4&gt;30, D331/Summary!$C$4&lt;=50),1,0)*E331</f>
        <v>0</v>
      </c>
      <c r="AB331" s="27">
        <f t="shared" si="264"/>
        <v>0</v>
      </c>
      <c r="AC331" s="27">
        <f>IF(AND(D331/Summary!$C$4&gt;50, D331/Summary!$C$4&lt;=100),1,0)*E331</f>
        <v>7</v>
      </c>
      <c r="AD331" s="27">
        <f t="shared" si="265"/>
        <v>447.3</v>
      </c>
      <c r="AE331" s="27">
        <f>IF(D331/Summary!$C$4&gt;100,1,0)*E331</f>
        <v>0</v>
      </c>
      <c r="AF331" s="27">
        <f t="shared" si="266"/>
        <v>0</v>
      </c>
      <c r="AG331" s="19">
        <f t="shared" si="267"/>
        <v>7</v>
      </c>
      <c r="AH331" s="19">
        <f t="shared" si="268"/>
        <v>0</v>
      </c>
      <c r="AI331" s="19">
        <f t="shared" si="269"/>
        <v>0</v>
      </c>
      <c r="AJ331" s="27">
        <f t="shared" si="270"/>
        <v>1</v>
      </c>
      <c r="AK331" s="27">
        <f t="shared" si="271"/>
        <v>7</v>
      </c>
      <c r="AL331" s="27">
        <f t="shared" si="272"/>
        <v>447.3</v>
      </c>
      <c r="AM331">
        <f t="shared" si="273"/>
        <v>0</v>
      </c>
      <c r="AN331">
        <f t="shared" si="274"/>
        <v>0</v>
      </c>
      <c r="AO331">
        <f t="shared" si="275"/>
        <v>0</v>
      </c>
      <c r="AP331">
        <f t="shared" si="276"/>
        <v>0</v>
      </c>
      <c r="AQ331">
        <f t="shared" si="277"/>
        <v>0</v>
      </c>
      <c r="AR331">
        <f t="shared" si="278"/>
        <v>0</v>
      </c>
      <c r="AS331">
        <f t="shared" si="279"/>
        <v>0</v>
      </c>
      <c r="AT331">
        <f t="shared" si="280"/>
        <v>0</v>
      </c>
      <c r="AU331">
        <f t="shared" si="281"/>
        <v>0</v>
      </c>
      <c r="AV331">
        <f t="shared" si="282"/>
        <v>7</v>
      </c>
      <c r="AW331">
        <f t="shared" si="283"/>
        <v>447.3</v>
      </c>
      <c r="AX331">
        <f t="shared" si="284"/>
        <v>0</v>
      </c>
      <c r="AY331">
        <f t="shared" si="285"/>
        <v>0</v>
      </c>
      <c r="AZ331">
        <f t="shared" si="286"/>
        <v>0</v>
      </c>
      <c r="BA331">
        <f t="shared" si="287"/>
        <v>0</v>
      </c>
      <c r="BB331">
        <f t="shared" si="288"/>
        <v>0</v>
      </c>
      <c r="BC331">
        <f t="shared" si="289"/>
        <v>0</v>
      </c>
      <c r="BD331">
        <f t="shared" si="290"/>
        <v>0</v>
      </c>
      <c r="BE331">
        <f t="shared" si="291"/>
        <v>0</v>
      </c>
      <c r="BF331">
        <f t="shared" si="292"/>
        <v>0</v>
      </c>
      <c r="BG331">
        <f t="shared" si="293"/>
        <v>0</v>
      </c>
      <c r="BH331">
        <f t="shared" si="294"/>
        <v>0</v>
      </c>
      <c r="BI331">
        <f t="shared" si="295"/>
        <v>0</v>
      </c>
      <c r="BJ331">
        <f t="shared" si="296"/>
        <v>0</v>
      </c>
      <c r="BK331">
        <f t="shared" si="297"/>
        <v>0</v>
      </c>
      <c r="BL331">
        <v>0</v>
      </c>
      <c r="BM331" t="str">
        <f t="shared" si="302"/>
        <v>Huge Win</v>
      </c>
      <c r="BN331" s="32" t="str">
        <f t="shared" si="303"/>
        <v>Free Plays A</v>
      </c>
      <c r="BO331">
        <f>(D331/Summary!$C$4-Summary!$C$8)^2*E331</f>
        <v>27844.774300000001</v>
      </c>
      <c r="BP331">
        <f t="shared" si="298"/>
        <v>0</v>
      </c>
      <c r="BQ331">
        <f t="shared" si="299"/>
        <v>0</v>
      </c>
      <c r="BR331">
        <f t="shared" si="300"/>
        <v>0</v>
      </c>
      <c r="BS331">
        <f t="shared" si="301"/>
        <v>0</v>
      </c>
    </row>
    <row r="332" spans="2:71">
      <c r="B332" s="16">
        <f>Tiers!B333</f>
        <v>330</v>
      </c>
      <c r="C332" s="17" t="str">
        <f>Tiers!Y333</f>
        <v>main-0|main-4|freeplayA-8||||||| x 20</v>
      </c>
      <c r="D332" s="18">
        <f>Tiers!C333</f>
        <v>59</v>
      </c>
      <c r="E332" s="19">
        <f>Frequency!E334</f>
        <v>8</v>
      </c>
      <c r="F332" s="19">
        <f t="shared" si="255"/>
        <v>472</v>
      </c>
      <c r="G332" s="19">
        <f>IF(Tiers!D333&gt;1,'Data Analysis'!E332,0)</f>
        <v>8</v>
      </c>
      <c r="H332" s="19">
        <f t="shared" si="256"/>
        <v>472</v>
      </c>
      <c r="I332" s="19">
        <f>IF(AND(D332/Summary!$C$4&gt;0, D332/Summary!$C$4&lt;5),E332,0) * D332</f>
        <v>0</v>
      </c>
      <c r="J332" s="19">
        <f>IF(AND(D332/Summary!$C$4&gt;= 5, D332/Summary!$C$4&lt;10),E332,0) * D332</f>
        <v>0</v>
      </c>
      <c r="K332" s="19">
        <f>IF(AND(D332/Summary!$C$4&gt;=10, D332/Summary!$C$4&lt;25),E332,0)*D332</f>
        <v>0</v>
      </c>
      <c r="L332" s="19">
        <f>IF(D332/Summary!$C$4&gt;=25,E332,0)*D332</f>
        <v>472</v>
      </c>
      <c r="M332" s="27">
        <f>IF(AND(D332/Summary!$C$4&gt;0, D332/Summary!$C$4&lt;1),E332,0)</f>
        <v>0</v>
      </c>
      <c r="N332" s="27">
        <f t="shared" si="257"/>
        <v>0</v>
      </c>
      <c r="O332" s="27">
        <f>IF(D332/Summary!$C$4=1,1,0)*E332</f>
        <v>0</v>
      </c>
      <c r="P332" s="27">
        <f t="shared" si="258"/>
        <v>0</v>
      </c>
      <c r="Q332" s="27">
        <f>IF(AND(D332/Summary!$C$4&gt;1, D332/Summary!$C$4&lt;=2),1,0)*E332</f>
        <v>0</v>
      </c>
      <c r="R332" s="27">
        <f t="shared" si="259"/>
        <v>0</v>
      </c>
      <c r="S332" s="27">
        <f>IF(AND(D332/Summary!$C$4&gt;2,D332/Summary!$C$4&lt;=5),1,0)*E332</f>
        <v>0</v>
      </c>
      <c r="T332" s="27">
        <f t="shared" si="260"/>
        <v>0</v>
      </c>
      <c r="U332" s="27">
        <f>IF(AND(D332/Summary!$C$4&gt;5, D332/Summary!$C$4&lt;=10),1,0)*E332</f>
        <v>0</v>
      </c>
      <c r="V332" s="27">
        <f t="shared" si="261"/>
        <v>0</v>
      </c>
      <c r="W332" s="27">
        <f>IF(AND(D332/Summary!$C$4&gt;10, D332/Summary!$C$4&lt;=20),1,0)*E332</f>
        <v>0</v>
      </c>
      <c r="X332" s="27">
        <f t="shared" si="262"/>
        <v>0</v>
      </c>
      <c r="Y332" s="27">
        <f>IF(AND(D332/Summary!$C$4&gt;20, D332/Summary!$C$4&lt;=30),1,0)*E332</f>
        <v>0</v>
      </c>
      <c r="Z332" s="27">
        <f t="shared" si="263"/>
        <v>0</v>
      </c>
      <c r="AA332" s="27">
        <f>IF(AND(D332/Summary!$C$4&gt;30, D332/Summary!$C$4&lt;=50),1,0)*E332</f>
        <v>0</v>
      </c>
      <c r="AB332" s="27">
        <f t="shared" si="264"/>
        <v>0</v>
      </c>
      <c r="AC332" s="27">
        <f>IF(AND(D332/Summary!$C$4&gt;50, D332/Summary!$C$4&lt;=100),1,0)*E332</f>
        <v>8</v>
      </c>
      <c r="AD332" s="27">
        <f t="shared" si="265"/>
        <v>472</v>
      </c>
      <c r="AE332" s="27">
        <f>IF(D332/Summary!$C$4&gt;100,1,0)*E332</f>
        <v>0</v>
      </c>
      <c r="AF332" s="27">
        <f t="shared" si="266"/>
        <v>0</v>
      </c>
      <c r="AG332" s="19">
        <f t="shared" si="267"/>
        <v>8</v>
      </c>
      <c r="AH332" s="19">
        <f t="shared" si="268"/>
        <v>0</v>
      </c>
      <c r="AI332" s="19">
        <f t="shared" si="269"/>
        <v>0</v>
      </c>
      <c r="AJ332" s="27">
        <f t="shared" si="270"/>
        <v>1</v>
      </c>
      <c r="AK332" s="27">
        <f t="shared" si="271"/>
        <v>8</v>
      </c>
      <c r="AL332" s="27">
        <f t="shared" si="272"/>
        <v>472</v>
      </c>
      <c r="AM332">
        <f t="shared" si="273"/>
        <v>0</v>
      </c>
      <c r="AN332">
        <f t="shared" si="274"/>
        <v>0</v>
      </c>
      <c r="AO332">
        <f t="shared" si="275"/>
        <v>0</v>
      </c>
      <c r="AP332">
        <f t="shared" si="276"/>
        <v>0</v>
      </c>
      <c r="AQ332">
        <f t="shared" si="277"/>
        <v>0</v>
      </c>
      <c r="AR332">
        <f t="shared" si="278"/>
        <v>0</v>
      </c>
      <c r="AS332">
        <f t="shared" si="279"/>
        <v>0</v>
      </c>
      <c r="AT332">
        <f t="shared" si="280"/>
        <v>0</v>
      </c>
      <c r="AU332">
        <f t="shared" si="281"/>
        <v>0</v>
      </c>
      <c r="AV332">
        <f t="shared" si="282"/>
        <v>8</v>
      </c>
      <c r="AW332">
        <f t="shared" si="283"/>
        <v>472</v>
      </c>
      <c r="AX332">
        <f t="shared" si="284"/>
        <v>0</v>
      </c>
      <c r="AY332">
        <f t="shared" si="285"/>
        <v>0</v>
      </c>
      <c r="AZ332">
        <f t="shared" si="286"/>
        <v>0</v>
      </c>
      <c r="BA332">
        <f t="shared" si="287"/>
        <v>0</v>
      </c>
      <c r="BB332">
        <f t="shared" si="288"/>
        <v>0</v>
      </c>
      <c r="BC332">
        <f t="shared" si="289"/>
        <v>0</v>
      </c>
      <c r="BD332">
        <f t="shared" si="290"/>
        <v>0</v>
      </c>
      <c r="BE332">
        <f t="shared" si="291"/>
        <v>0</v>
      </c>
      <c r="BF332">
        <f t="shared" si="292"/>
        <v>0</v>
      </c>
      <c r="BG332">
        <f t="shared" si="293"/>
        <v>0</v>
      </c>
      <c r="BH332">
        <f t="shared" si="294"/>
        <v>0</v>
      </c>
      <c r="BI332">
        <f t="shared" si="295"/>
        <v>0</v>
      </c>
      <c r="BJ332">
        <f t="shared" si="296"/>
        <v>0</v>
      </c>
      <c r="BK332">
        <f t="shared" si="297"/>
        <v>0</v>
      </c>
      <c r="BL332">
        <v>0</v>
      </c>
      <c r="BM332" t="str">
        <f t="shared" si="302"/>
        <v>Huge Win</v>
      </c>
      <c r="BN332" s="32" t="str">
        <f t="shared" si="303"/>
        <v>Free Plays A</v>
      </c>
      <c r="BO332">
        <f>(D332/Summary!$C$4-Summary!$C$8)^2*E332</f>
        <v>27069.9912</v>
      </c>
      <c r="BP332">
        <f t="shared" si="298"/>
        <v>0</v>
      </c>
      <c r="BQ332">
        <f t="shared" si="299"/>
        <v>0</v>
      </c>
      <c r="BR332">
        <f t="shared" si="300"/>
        <v>0</v>
      </c>
      <c r="BS332">
        <f t="shared" si="301"/>
        <v>0</v>
      </c>
    </row>
    <row r="333" spans="2:71">
      <c r="B333" s="16">
        <f>Tiers!B334</f>
        <v>331</v>
      </c>
      <c r="C333" s="17" t="str">
        <f>Tiers!Y334</f>
        <v>main-2|main-20|freeplayA-9||||||| x 20</v>
      </c>
      <c r="D333" s="18">
        <f>Tiers!C334</f>
        <v>84.1</v>
      </c>
      <c r="E333" s="19">
        <f>Frequency!E335</f>
        <v>5</v>
      </c>
      <c r="F333" s="19">
        <f t="shared" si="255"/>
        <v>420.5</v>
      </c>
      <c r="G333" s="19">
        <f>IF(Tiers!D334&gt;1,'Data Analysis'!E333,0)</f>
        <v>5</v>
      </c>
      <c r="H333" s="19">
        <f t="shared" si="256"/>
        <v>420.5</v>
      </c>
      <c r="I333" s="19">
        <f>IF(AND(D333/Summary!$C$4&gt;0, D333/Summary!$C$4&lt;5),E333,0) * D333</f>
        <v>0</v>
      </c>
      <c r="J333" s="19">
        <f>IF(AND(D333/Summary!$C$4&gt;= 5, D333/Summary!$C$4&lt;10),E333,0) * D333</f>
        <v>0</v>
      </c>
      <c r="K333" s="19">
        <f>IF(AND(D333/Summary!$C$4&gt;=10, D333/Summary!$C$4&lt;25),E333,0)*D333</f>
        <v>0</v>
      </c>
      <c r="L333" s="19">
        <f>IF(D333/Summary!$C$4&gt;=25,E333,0)*D333</f>
        <v>420.5</v>
      </c>
      <c r="M333" s="27">
        <f>IF(AND(D333/Summary!$C$4&gt;0, D333/Summary!$C$4&lt;1),E333,0)</f>
        <v>0</v>
      </c>
      <c r="N333" s="27">
        <f t="shared" si="257"/>
        <v>0</v>
      </c>
      <c r="O333" s="27">
        <f>IF(D333/Summary!$C$4=1,1,0)*E333</f>
        <v>0</v>
      </c>
      <c r="P333" s="27">
        <f t="shared" si="258"/>
        <v>0</v>
      </c>
      <c r="Q333" s="27">
        <f>IF(AND(D333/Summary!$C$4&gt;1, D333/Summary!$C$4&lt;=2),1,0)*E333</f>
        <v>0</v>
      </c>
      <c r="R333" s="27">
        <f t="shared" si="259"/>
        <v>0</v>
      </c>
      <c r="S333" s="27">
        <f>IF(AND(D333/Summary!$C$4&gt;2,D333/Summary!$C$4&lt;=5),1,0)*E333</f>
        <v>0</v>
      </c>
      <c r="T333" s="27">
        <f t="shared" si="260"/>
        <v>0</v>
      </c>
      <c r="U333" s="27">
        <f>IF(AND(D333/Summary!$C$4&gt;5, D333/Summary!$C$4&lt;=10),1,0)*E333</f>
        <v>0</v>
      </c>
      <c r="V333" s="27">
        <f t="shared" si="261"/>
        <v>0</v>
      </c>
      <c r="W333" s="27">
        <f>IF(AND(D333/Summary!$C$4&gt;10, D333/Summary!$C$4&lt;=20),1,0)*E333</f>
        <v>0</v>
      </c>
      <c r="X333" s="27">
        <f t="shared" si="262"/>
        <v>0</v>
      </c>
      <c r="Y333" s="27">
        <f>IF(AND(D333/Summary!$C$4&gt;20, D333/Summary!$C$4&lt;=30),1,0)*E333</f>
        <v>0</v>
      </c>
      <c r="Z333" s="27">
        <f t="shared" si="263"/>
        <v>0</v>
      </c>
      <c r="AA333" s="27">
        <f>IF(AND(D333/Summary!$C$4&gt;30, D333/Summary!$C$4&lt;=50),1,0)*E333</f>
        <v>0</v>
      </c>
      <c r="AB333" s="27">
        <f t="shared" si="264"/>
        <v>0</v>
      </c>
      <c r="AC333" s="27">
        <f>IF(AND(D333/Summary!$C$4&gt;50, D333/Summary!$C$4&lt;=100),1,0)*E333</f>
        <v>5</v>
      </c>
      <c r="AD333" s="27">
        <f t="shared" si="265"/>
        <v>420.5</v>
      </c>
      <c r="AE333" s="27">
        <f>IF(D333/Summary!$C$4&gt;100,1,0)*E333</f>
        <v>0</v>
      </c>
      <c r="AF333" s="27">
        <f t="shared" si="266"/>
        <v>0</v>
      </c>
      <c r="AG333" s="19">
        <f t="shared" si="267"/>
        <v>5</v>
      </c>
      <c r="AH333" s="19">
        <f t="shared" si="268"/>
        <v>0</v>
      </c>
      <c r="AI333" s="19">
        <f t="shared" si="269"/>
        <v>0</v>
      </c>
      <c r="AJ333" s="27">
        <f t="shared" si="270"/>
        <v>1</v>
      </c>
      <c r="AK333" s="27">
        <f t="shared" si="271"/>
        <v>5</v>
      </c>
      <c r="AL333" s="27">
        <f t="shared" si="272"/>
        <v>420.5</v>
      </c>
      <c r="AM333">
        <f t="shared" si="273"/>
        <v>0</v>
      </c>
      <c r="AN333">
        <f t="shared" si="274"/>
        <v>0</v>
      </c>
      <c r="AO333">
        <f t="shared" si="275"/>
        <v>0</v>
      </c>
      <c r="AP333">
        <f t="shared" si="276"/>
        <v>0</v>
      </c>
      <c r="AQ333">
        <f t="shared" si="277"/>
        <v>0</v>
      </c>
      <c r="AR333">
        <f t="shared" si="278"/>
        <v>0</v>
      </c>
      <c r="AS333">
        <f t="shared" si="279"/>
        <v>0</v>
      </c>
      <c r="AT333">
        <f t="shared" si="280"/>
        <v>0</v>
      </c>
      <c r="AU333">
        <f t="shared" si="281"/>
        <v>0</v>
      </c>
      <c r="AV333">
        <f t="shared" si="282"/>
        <v>5</v>
      </c>
      <c r="AW333">
        <f t="shared" si="283"/>
        <v>420.5</v>
      </c>
      <c r="AX333">
        <f t="shared" si="284"/>
        <v>0</v>
      </c>
      <c r="AY333">
        <f t="shared" si="285"/>
        <v>0</v>
      </c>
      <c r="AZ333">
        <f t="shared" si="286"/>
        <v>0</v>
      </c>
      <c r="BA333">
        <f t="shared" si="287"/>
        <v>0</v>
      </c>
      <c r="BB333">
        <f t="shared" si="288"/>
        <v>0</v>
      </c>
      <c r="BC333">
        <f t="shared" si="289"/>
        <v>0</v>
      </c>
      <c r="BD333">
        <f t="shared" si="290"/>
        <v>0</v>
      </c>
      <c r="BE333">
        <f t="shared" si="291"/>
        <v>0</v>
      </c>
      <c r="BF333">
        <f t="shared" si="292"/>
        <v>0</v>
      </c>
      <c r="BG333">
        <f t="shared" si="293"/>
        <v>0</v>
      </c>
      <c r="BH333">
        <f t="shared" si="294"/>
        <v>0</v>
      </c>
      <c r="BI333">
        <f t="shared" si="295"/>
        <v>0</v>
      </c>
      <c r="BJ333">
        <f t="shared" si="296"/>
        <v>0</v>
      </c>
      <c r="BK333">
        <f t="shared" si="297"/>
        <v>0</v>
      </c>
      <c r="BL333">
        <v>0</v>
      </c>
      <c r="BM333" t="str">
        <f t="shared" si="302"/>
        <v>Huge Win</v>
      </c>
      <c r="BN333" s="32" t="str">
        <f t="shared" si="303"/>
        <v>Free Plays A</v>
      </c>
      <c r="BO333">
        <f>(D333/Summary!$C$4-Summary!$C$8)^2*E333</f>
        <v>34669.464499999995</v>
      </c>
      <c r="BP333">
        <f t="shared" si="298"/>
        <v>0</v>
      </c>
      <c r="BQ333">
        <f t="shared" si="299"/>
        <v>0</v>
      </c>
      <c r="BR333">
        <f t="shared" si="300"/>
        <v>0</v>
      </c>
      <c r="BS333">
        <f t="shared" si="301"/>
        <v>0</v>
      </c>
    </row>
    <row r="334" spans="2:71">
      <c r="B334" s="16">
        <f>Tiers!B335</f>
        <v>332</v>
      </c>
      <c r="C334" s="17" t="str">
        <f>Tiers!Y335</f>
        <v>main-4|main-4|freeplayA-10||||||| x 20</v>
      </c>
      <c r="D334" s="18">
        <f>Tiers!C335</f>
        <v>76</v>
      </c>
      <c r="E334" s="19">
        <f>Frequency!E336</f>
        <v>6</v>
      </c>
      <c r="F334" s="19">
        <f t="shared" si="255"/>
        <v>456</v>
      </c>
      <c r="G334" s="19">
        <f>IF(Tiers!D335&gt;1,'Data Analysis'!E334,0)</f>
        <v>6</v>
      </c>
      <c r="H334" s="19">
        <f t="shared" si="256"/>
        <v>456</v>
      </c>
      <c r="I334" s="19">
        <f>IF(AND(D334/Summary!$C$4&gt;0, D334/Summary!$C$4&lt;5),E334,0) * D334</f>
        <v>0</v>
      </c>
      <c r="J334" s="19">
        <f>IF(AND(D334/Summary!$C$4&gt;= 5, D334/Summary!$C$4&lt;10),E334,0) * D334</f>
        <v>0</v>
      </c>
      <c r="K334" s="19">
        <f>IF(AND(D334/Summary!$C$4&gt;=10, D334/Summary!$C$4&lt;25),E334,0)*D334</f>
        <v>0</v>
      </c>
      <c r="L334" s="19">
        <f>IF(D334/Summary!$C$4&gt;=25,E334,0)*D334</f>
        <v>456</v>
      </c>
      <c r="M334" s="27">
        <f>IF(AND(D334/Summary!$C$4&gt;0, D334/Summary!$C$4&lt;1),E334,0)</f>
        <v>0</v>
      </c>
      <c r="N334" s="27">
        <f t="shared" si="257"/>
        <v>0</v>
      </c>
      <c r="O334" s="27">
        <f>IF(D334/Summary!$C$4=1,1,0)*E334</f>
        <v>0</v>
      </c>
      <c r="P334" s="27">
        <f t="shared" si="258"/>
        <v>0</v>
      </c>
      <c r="Q334" s="27">
        <f>IF(AND(D334/Summary!$C$4&gt;1, D334/Summary!$C$4&lt;=2),1,0)*E334</f>
        <v>0</v>
      </c>
      <c r="R334" s="27">
        <f t="shared" si="259"/>
        <v>0</v>
      </c>
      <c r="S334" s="27">
        <f>IF(AND(D334/Summary!$C$4&gt;2,D334/Summary!$C$4&lt;=5),1,0)*E334</f>
        <v>0</v>
      </c>
      <c r="T334" s="27">
        <f t="shared" si="260"/>
        <v>0</v>
      </c>
      <c r="U334" s="27">
        <f>IF(AND(D334/Summary!$C$4&gt;5, D334/Summary!$C$4&lt;=10),1,0)*E334</f>
        <v>0</v>
      </c>
      <c r="V334" s="27">
        <f t="shared" si="261"/>
        <v>0</v>
      </c>
      <c r="W334" s="27">
        <f>IF(AND(D334/Summary!$C$4&gt;10, D334/Summary!$C$4&lt;=20),1,0)*E334</f>
        <v>0</v>
      </c>
      <c r="X334" s="27">
        <f t="shared" si="262"/>
        <v>0</v>
      </c>
      <c r="Y334" s="27">
        <f>IF(AND(D334/Summary!$C$4&gt;20, D334/Summary!$C$4&lt;=30),1,0)*E334</f>
        <v>0</v>
      </c>
      <c r="Z334" s="27">
        <f t="shared" si="263"/>
        <v>0</v>
      </c>
      <c r="AA334" s="27">
        <f>IF(AND(D334/Summary!$C$4&gt;30, D334/Summary!$C$4&lt;=50),1,0)*E334</f>
        <v>0</v>
      </c>
      <c r="AB334" s="27">
        <f t="shared" si="264"/>
        <v>0</v>
      </c>
      <c r="AC334" s="27">
        <f>IF(AND(D334/Summary!$C$4&gt;50, D334/Summary!$C$4&lt;=100),1,0)*E334</f>
        <v>6</v>
      </c>
      <c r="AD334" s="27">
        <f t="shared" si="265"/>
        <v>456</v>
      </c>
      <c r="AE334" s="27">
        <f>IF(D334/Summary!$C$4&gt;100,1,0)*E334</f>
        <v>0</v>
      </c>
      <c r="AF334" s="27">
        <f t="shared" si="266"/>
        <v>0</v>
      </c>
      <c r="AG334" s="19">
        <f t="shared" si="267"/>
        <v>6</v>
      </c>
      <c r="AH334" s="19">
        <f t="shared" si="268"/>
        <v>0</v>
      </c>
      <c r="AI334" s="19">
        <f t="shared" si="269"/>
        <v>0</v>
      </c>
      <c r="AJ334" s="27">
        <f t="shared" si="270"/>
        <v>1</v>
      </c>
      <c r="AK334" s="27">
        <f t="shared" si="271"/>
        <v>6</v>
      </c>
      <c r="AL334" s="27">
        <f t="shared" si="272"/>
        <v>456</v>
      </c>
      <c r="AM334">
        <f t="shared" si="273"/>
        <v>0</v>
      </c>
      <c r="AN334">
        <f t="shared" si="274"/>
        <v>0</v>
      </c>
      <c r="AO334">
        <f t="shared" si="275"/>
        <v>0</v>
      </c>
      <c r="AP334">
        <f t="shared" si="276"/>
        <v>0</v>
      </c>
      <c r="AQ334">
        <f t="shared" si="277"/>
        <v>0</v>
      </c>
      <c r="AR334">
        <f t="shared" si="278"/>
        <v>0</v>
      </c>
      <c r="AS334">
        <f t="shared" si="279"/>
        <v>0</v>
      </c>
      <c r="AT334">
        <f t="shared" si="280"/>
        <v>0</v>
      </c>
      <c r="AU334">
        <f t="shared" si="281"/>
        <v>0</v>
      </c>
      <c r="AV334">
        <f t="shared" si="282"/>
        <v>6</v>
      </c>
      <c r="AW334">
        <f t="shared" si="283"/>
        <v>456</v>
      </c>
      <c r="AX334">
        <f t="shared" si="284"/>
        <v>0</v>
      </c>
      <c r="AY334">
        <f t="shared" si="285"/>
        <v>0</v>
      </c>
      <c r="AZ334">
        <f t="shared" si="286"/>
        <v>0</v>
      </c>
      <c r="BA334">
        <f t="shared" si="287"/>
        <v>0</v>
      </c>
      <c r="BB334">
        <f t="shared" si="288"/>
        <v>0</v>
      </c>
      <c r="BC334">
        <f t="shared" si="289"/>
        <v>0</v>
      </c>
      <c r="BD334">
        <f t="shared" si="290"/>
        <v>0</v>
      </c>
      <c r="BE334">
        <f t="shared" si="291"/>
        <v>0</v>
      </c>
      <c r="BF334">
        <f t="shared" si="292"/>
        <v>0</v>
      </c>
      <c r="BG334">
        <f t="shared" si="293"/>
        <v>0</v>
      </c>
      <c r="BH334">
        <f t="shared" si="294"/>
        <v>0</v>
      </c>
      <c r="BI334">
        <f t="shared" si="295"/>
        <v>0</v>
      </c>
      <c r="BJ334">
        <f t="shared" si="296"/>
        <v>0</v>
      </c>
      <c r="BK334">
        <f t="shared" si="297"/>
        <v>0</v>
      </c>
      <c r="BL334">
        <v>0</v>
      </c>
      <c r="BM334" t="str">
        <f t="shared" si="302"/>
        <v>Huge Win</v>
      </c>
      <c r="BN334" s="32" t="str">
        <f t="shared" si="303"/>
        <v>Free Plays A</v>
      </c>
      <c r="BO334">
        <f>(D334/Summary!$C$4-Summary!$C$8)^2*E334</f>
        <v>33903.1734</v>
      </c>
      <c r="BP334">
        <f t="shared" si="298"/>
        <v>0</v>
      </c>
      <c r="BQ334">
        <f t="shared" si="299"/>
        <v>0</v>
      </c>
      <c r="BR334">
        <f t="shared" si="300"/>
        <v>0</v>
      </c>
      <c r="BS334">
        <f t="shared" si="301"/>
        <v>0</v>
      </c>
    </row>
    <row r="335" spans="2:71">
      <c r="B335" s="16">
        <f>Tiers!B336</f>
        <v>333</v>
      </c>
      <c r="C335" s="17" t="str">
        <f>Tiers!Y336</f>
        <v>main-4|main-11|freeplayA-4||||||| x 20</v>
      </c>
      <c r="D335" s="18">
        <f>Tiers!C336</f>
        <v>78.599999999999994</v>
      </c>
      <c r="E335" s="19">
        <f>Frequency!E337</f>
        <v>7</v>
      </c>
      <c r="F335" s="19">
        <f t="shared" si="255"/>
        <v>550.19999999999993</v>
      </c>
      <c r="G335" s="19">
        <f>IF(Tiers!D336&gt;1,'Data Analysis'!E335,0)</f>
        <v>7</v>
      </c>
      <c r="H335" s="19">
        <f t="shared" si="256"/>
        <v>550.19999999999993</v>
      </c>
      <c r="I335" s="19">
        <f>IF(AND(D335/Summary!$C$4&gt;0, D335/Summary!$C$4&lt;5),E335,0) * D335</f>
        <v>0</v>
      </c>
      <c r="J335" s="19">
        <f>IF(AND(D335/Summary!$C$4&gt;= 5, D335/Summary!$C$4&lt;10),E335,0) * D335</f>
        <v>0</v>
      </c>
      <c r="K335" s="19">
        <f>IF(AND(D335/Summary!$C$4&gt;=10, D335/Summary!$C$4&lt;25),E335,0)*D335</f>
        <v>0</v>
      </c>
      <c r="L335" s="19">
        <f>IF(D335/Summary!$C$4&gt;=25,E335,0)*D335</f>
        <v>550.19999999999993</v>
      </c>
      <c r="M335" s="27">
        <f>IF(AND(D335/Summary!$C$4&gt;0, D335/Summary!$C$4&lt;1),E335,0)</f>
        <v>0</v>
      </c>
      <c r="N335" s="27">
        <f t="shared" si="257"/>
        <v>0</v>
      </c>
      <c r="O335" s="27">
        <f>IF(D335/Summary!$C$4=1,1,0)*E335</f>
        <v>0</v>
      </c>
      <c r="P335" s="27">
        <f t="shared" si="258"/>
        <v>0</v>
      </c>
      <c r="Q335" s="27">
        <f>IF(AND(D335/Summary!$C$4&gt;1, D335/Summary!$C$4&lt;=2),1,0)*E335</f>
        <v>0</v>
      </c>
      <c r="R335" s="27">
        <f t="shared" si="259"/>
        <v>0</v>
      </c>
      <c r="S335" s="27">
        <f>IF(AND(D335/Summary!$C$4&gt;2,D335/Summary!$C$4&lt;=5),1,0)*E335</f>
        <v>0</v>
      </c>
      <c r="T335" s="27">
        <f t="shared" si="260"/>
        <v>0</v>
      </c>
      <c r="U335" s="27">
        <f>IF(AND(D335/Summary!$C$4&gt;5, D335/Summary!$C$4&lt;=10),1,0)*E335</f>
        <v>0</v>
      </c>
      <c r="V335" s="27">
        <f t="shared" si="261"/>
        <v>0</v>
      </c>
      <c r="W335" s="27">
        <f>IF(AND(D335/Summary!$C$4&gt;10, D335/Summary!$C$4&lt;=20),1,0)*E335</f>
        <v>0</v>
      </c>
      <c r="X335" s="27">
        <f t="shared" si="262"/>
        <v>0</v>
      </c>
      <c r="Y335" s="27">
        <f>IF(AND(D335/Summary!$C$4&gt;20, D335/Summary!$C$4&lt;=30),1,0)*E335</f>
        <v>0</v>
      </c>
      <c r="Z335" s="27">
        <f t="shared" si="263"/>
        <v>0</v>
      </c>
      <c r="AA335" s="27">
        <f>IF(AND(D335/Summary!$C$4&gt;30, D335/Summary!$C$4&lt;=50),1,0)*E335</f>
        <v>0</v>
      </c>
      <c r="AB335" s="27">
        <f t="shared" si="264"/>
        <v>0</v>
      </c>
      <c r="AC335" s="27">
        <f>IF(AND(D335/Summary!$C$4&gt;50, D335/Summary!$C$4&lt;=100),1,0)*E335</f>
        <v>7</v>
      </c>
      <c r="AD335" s="27">
        <f t="shared" si="265"/>
        <v>550.19999999999993</v>
      </c>
      <c r="AE335" s="27">
        <f>IF(D335/Summary!$C$4&gt;100,1,0)*E335</f>
        <v>0</v>
      </c>
      <c r="AF335" s="27">
        <f t="shared" si="266"/>
        <v>0</v>
      </c>
      <c r="AG335" s="19">
        <f t="shared" si="267"/>
        <v>7</v>
      </c>
      <c r="AH335" s="19">
        <f t="shared" si="268"/>
        <v>0</v>
      </c>
      <c r="AI335" s="19">
        <f t="shared" si="269"/>
        <v>0</v>
      </c>
      <c r="AJ335" s="27">
        <f t="shared" si="270"/>
        <v>1</v>
      </c>
      <c r="AK335" s="27">
        <f t="shared" si="271"/>
        <v>7</v>
      </c>
      <c r="AL335" s="27">
        <f t="shared" si="272"/>
        <v>550.19999999999993</v>
      </c>
      <c r="AM335">
        <f t="shared" si="273"/>
        <v>0</v>
      </c>
      <c r="AN335">
        <f t="shared" si="274"/>
        <v>0</v>
      </c>
      <c r="AO335">
        <f t="shared" si="275"/>
        <v>0</v>
      </c>
      <c r="AP335">
        <f t="shared" si="276"/>
        <v>0</v>
      </c>
      <c r="AQ335">
        <f t="shared" si="277"/>
        <v>0</v>
      </c>
      <c r="AR335">
        <f t="shared" si="278"/>
        <v>0</v>
      </c>
      <c r="AS335">
        <f t="shared" si="279"/>
        <v>0</v>
      </c>
      <c r="AT335">
        <f t="shared" si="280"/>
        <v>0</v>
      </c>
      <c r="AU335">
        <f t="shared" si="281"/>
        <v>0</v>
      </c>
      <c r="AV335">
        <f t="shared" si="282"/>
        <v>7</v>
      </c>
      <c r="AW335">
        <f t="shared" si="283"/>
        <v>550.19999999999993</v>
      </c>
      <c r="AX335">
        <f t="shared" si="284"/>
        <v>0</v>
      </c>
      <c r="AY335">
        <f t="shared" si="285"/>
        <v>0</v>
      </c>
      <c r="AZ335">
        <f t="shared" si="286"/>
        <v>0</v>
      </c>
      <c r="BA335">
        <f t="shared" si="287"/>
        <v>0</v>
      </c>
      <c r="BB335">
        <f t="shared" si="288"/>
        <v>0</v>
      </c>
      <c r="BC335">
        <f t="shared" si="289"/>
        <v>0</v>
      </c>
      <c r="BD335">
        <f t="shared" si="290"/>
        <v>0</v>
      </c>
      <c r="BE335">
        <f t="shared" si="291"/>
        <v>0</v>
      </c>
      <c r="BF335">
        <f t="shared" si="292"/>
        <v>0</v>
      </c>
      <c r="BG335">
        <f t="shared" si="293"/>
        <v>0</v>
      </c>
      <c r="BH335">
        <f t="shared" si="294"/>
        <v>0</v>
      </c>
      <c r="BI335">
        <f t="shared" si="295"/>
        <v>0</v>
      </c>
      <c r="BJ335">
        <f t="shared" si="296"/>
        <v>0</v>
      </c>
      <c r="BK335">
        <f t="shared" si="297"/>
        <v>0</v>
      </c>
      <c r="BL335">
        <v>0</v>
      </c>
      <c r="BM335" t="str">
        <f t="shared" si="302"/>
        <v>Huge Win</v>
      </c>
      <c r="BN335" s="32" t="str">
        <f t="shared" si="303"/>
        <v>Free Plays A</v>
      </c>
      <c r="BO335">
        <f>(D335/Summary!$C$4-Summary!$C$8)^2*E335</f>
        <v>42337.210299999999</v>
      </c>
      <c r="BP335">
        <f t="shared" si="298"/>
        <v>0</v>
      </c>
      <c r="BQ335">
        <f t="shared" si="299"/>
        <v>0</v>
      </c>
      <c r="BR335">
        <f t="shared" si="300"/>
        <v>0</v>
      </c>
      <c r="BS335">
        <f t="shared" si="301"/>
        <v>0</v>
      </c>
    </row>
    <row r="336" spans="2:71">
      <c r="B336" s="16">
        <f>Tiers!B337</f>
        <v>334</v>
      </c>
      <c r="C336" s="17" t="str">
        <f>Tiers!Y337</f>
        <v>main-10|main-30|freeplayA-5||||||| x 20</v>
      </c>
      <c r="D336" s="18">
        <f>Tiers!C337</f>
        <v>85.3</v>
      </c>
      <c r="E336" s="19">
        <f>Frequency!E338</f>
        <v>6</v>
      </c>
      <c r="F336" s="19">
        <f t="shared" si="255"/>
        <v>511.79999999999995</v>
      </c>
      <c r="G336" s="19">
        <f>IF(Tiers!D337&gt;1,'Data Analysis'!E336,0)</f>
        <v>6</v>
      </c>
      <c r="H336" s="19">
        <f t="shared" si="256"/>
        <v>511.79999999999995</v>
      </c>
      <c r="I336" s="19">
        <f>IF(AND(D336/Summary!$C$4&gt;0, D336/Summary!$C$4&lt;5),E336,0) * D336</f>
        <v>0</v>
      </c>
      <c r="J336" s="19">
        <f>IF(AND(D336/Summary!$C$4&gt;= 5, D336/Summary!$C$4&lt;10),E336,0) * D336</f>
        <v>0</v>
      </c>
      <c r="K336" s="19">
        <f>IF(AND(D336/Summary!$C$4&gt;=10, D336/Summary!$C$4&lt;25),E336,0)*D336</f>
        <v>0</v>
      </c>
      <c r="L336" s="19">
        <f>IF(D336/Summary!$C$4&gt;=25,E336,0)*D336</f>
        <v>511.79999999999995</v>
      </c>
      <c r="M336" s="27">
        <f>IF(AND(D336/Summary!$C$4&gt;0, D336/Summary!$C$4&lt;1),E336,0)</f>
        <v>0</v>
      </c>
      <c r="N336" s="27">
        <f t="shared" si="257"/>
        <v>0</v>
      </c>
      <c r="O336" s="27">
        <f>IF(D336/Summary!$C$4=1,1,0)*E336</f>
        <v>0</v>
      </c>
      <c r="P336" s="27">
        <f t="shared" si="258"/>
        <v>0</v>
      </c>
      <c r="Q336" s="27">
        <f>IF(AND(D336/Summary!$C$4&gt;1, D336/Summary!$C$4&lt;=2),1,0)*E336</f>
        <v>0</v>
      </c>
      <c r="R336" s="27">
        <f t="shared" si="259"/>
        <v>0</v>
      </c>
      <c r="S336" s="27">
        <f>IF(AND(D336/Summary!$C$4&gt;2,D336/Summary!$C$4&lt;=5),1,0)*E336</f>
        <v>0</v>
      </c>
      <c r="T336" s="27">
        <f t="shared" si="260"/>
        <v>0</v>
      </c>
      <c r="U336" s="27">
        <f>IF(AND(D336/Summary!$C$4&gt;5, D336/Summary!$C$4&lt;=10),1,0)*E336</f>
        <v>0</v>
      </c>
      <c r="V336" s="27">
        <f t="shared" si="261"/>
        <v>0</v>
      </c>
      <c r="W336" s="27">
        <f>IF(AND(D336/Summary!$C$4&gt;10, D336/Summary!$C$4&lt;=20),1,0)*E336</f>
        <v>0</v>
      </c>
      <c r="X336" s="27">
        <f t="shared" si="262"/>
        <v>0</v>
      </c>
      <c r="Y336" s="27">
        <f>IF(AND(D336/Summary!$C$4&gt;20, D336/Summary!$C$4&lt;=30),1,0)*E336</f>
        <v>0</v>
      </c>
      <c r="Z336" s="27">
        <f t="shared" si="263"/>
        <v>0</v>
      </c>
      <c r="AA336" s="27">
        <f>IF(AND(D336/Summary!$C$4&gt;30, D336/Summary!$C$4&lt;=50),1,0)*E336</f>
        <v>0</v>
      </c>
      <c r="AB336" s="27">
        <f t="shared" si="264"/>
        <v>0</v>
      </c>
      <c r="AC336" s="27">
        <f>IF(AND(D336/Summary!$C$4&gt;50, D336/Summary!$C$4&lt;=100),1,0)*E336</f>
        <v>6</v>
      </c>
      <c r="AD336" s="27">
        <f t="shared" si="265"/>
        <v>511.79999999999995</v>
      </c>
      <c r="AE336" s="27">
        <f>IF(D336/Summary!$C$4&gt;100,1,0)*E336</f>
        <v>0</v>
      </c>
      <c r="AF336" s="27">
        <f t="shared" si="266"/>
        <v>0</v>
      </c>
      <c r="AG336" s="19">
        <f t="shared" si="267"/>
        <v>6</v>
      </c>
      <c r="AH336" s="19">
        <f t="shared" si="268"/>
        <v>0</v>
      </c>
      <c r="AI336" s="19">
        <f t="shared" si="269"/>
        <v>0</v>
      </c>
      <c r="AJ336" s="27">
        <f t="shared" si="270"/>
        <v>1</v>
      </c>
      <c r="AK336" s="27">
        <f t="shared" si="271"/>
        <v>6</v>
      </c>
      <c r="AL336" s="27">
        <f t="shared" si="272"/>
        <v>511.79999999999995</v>
      </c>
      <c r="AM336">
        <f t="shared" si="273"/>
        <v>0</v>
      </c>
      <c r="AN336">
        <f t="shared" si="274"/>
        <v>0</v>
      </c>
      <c r="AO336">
        <f t="shared" si="275"/>
        <v>0</v>
      </c>
      <c r="AP336">
        <f t="shared" si="276"/>
        <v>0</v>
      </c>
      <c r="AQ336">
        <f t="shared" si="277"/>
        <v>0</v>
      </c>
      <c r="AR336">
        <f t="shared" si="278"/>
        <v>0</v>
      </c>
      <c r="AS336">
        <f t="shared" si="279"/>
        <v>0</v>
      </c>
      <c r="AT336">
        <f t="shared" si="280"/>
        <v>0</v>
      </c>
      <c r="AU336">
        <f t="shared" si="281"/>
        <v>0</v>
      </c>
      <c r="AV336">
        <f t="shared" si="282"/>
        <v>6</v>
      </c>
      <c r="AW336">
        <f t="shared" si="283"/>
        <v>511.79999999999995</v>
      </c>
      <c r="AX336">
        <f t="shared" si="284"/>
        <v>0</v>
      </c>
      <c r="AY336">
        <f t="shared" si="285"/>
        <v>0</v>
      </c>
      <c r="AZ336">
        <f t="shared" si="286"/>
        <v>0</v>
      </c>
      <c r="BA336">
        <f t="shared" si="287"/>
        <v>0</v>
      </c>
      <c r="BB336">
        <f t="shared" si="288"/>
        <v>0</v>
      </c>
      <c r="BC336">
        <f t="shared" si="289"/>
        <v>0</v>
      </c>
      <c r="BD336">
        <f t="shared" si="290"/>
        <v>0</v>
      </c>
      <c r="BE336">
        <f t="shared" si="291"/>
        <v>0</v>
      </c>
      <c r="BF336">
        <f t="shared" si="292"/>
        <v>0</v>
      </c>
      <c r="BG336">
        <f t="shared" si="293"/>
        <v>0</v>
      </c>
      <c r="BH336">
        <f t="shared" si="294"/>
        <v>0</v>
      </c>
      <c r="BI336">
        <f t="shared" si="295"/>
        <v>0</v>
      </c>
      <c r="BJ336">
        <f t="shared" si="296"/>
        <v>0</v>
      </c>
      <c r="BK336">
        <f t="shared" si="297"/>
        <v>0</v>
      </c>
      <c r="BL336">
        <v>0</v>
      </c>
      <c r="BM336" t="str">
        <f t="shared" si="302"/>
        <v>Huge Win</v>
      </c>
      <c r="BN336" s="32" t="str">
        <f t="shared" si="303"/>
        <v>Free Plays A</v>
      </c>
      <c r="BO336">
        <f>(D336/Summary!$C$4-Summary!$C$8)^2*E336</f>
        <v>42811.085399999996</v>
      </c>
      <c r="BP336">
        <f t="shared" si="298"/>
        <v>0</v>
      </c>
      <c r="BQ336">
        <f t="shared" si="299"/>
        <v>0</v>
      </c>
      <c r="BR336">
        <f t="shared" si="300"/>
        <v>0</v>
      </c>
      <c r="BS336">
        <f t="shared" si="301"/>
        <v>0</v>
      </c>
    </row>
    <row r="337" spans="2:71">
      <c r="B337" s="16">
        <f>Tiers!B338</f>
        <v>335</v>
      </c>
      <c r="C337" s="17" t="str">
        <f>Tiers!Y338</f>
        <v>main-0|main-0|main-2|freeplayA-5|||||| x 20</v>
      </c>
      <c r="D337" s="18">
        <f>Tiers!C338</f>
        <v>39.299999999999997</v>
      </c>
      <c r="E337" s="19">
        <f>Frequency!E339</f>
        <v>100</v>
      </c>
      <c r="F337" s="19">
        <f t="shared" si="255"/>
        <v>3929.9999999999995</v>
      </c>
      <c r="G337" s="19">
        <f>IF(Tiers!D338&gt;1,'Data Analysis'!E337,0)</f>
        <v>100</v>
      </c>
      <c r="H337" s="19">
        <f t="shared" si="256"/>
        <v>3929.9999999999995</v>
      </c>
      <c r="I337" s="19">
        <f>IF(AND(D337/Summary!$C$4&gt;0, D337/Summary!$C$4&lt;5),E337,0) * D337</f>
        <v>0</v>
      </c>
      <c r="J337" s="19">
        <f>IF(AND(D337/Summary!$C$4&gt;= 5, D337/Summary!$C$4&lt;10),E337,0) * D337</f>
        <v>0</v>
      </c>
      <c r="K337" s="19">
        <f>IF(AND(D337/Summary!$C$4&gt;=10, D337/Summary!$C$4&lt;25),E337,0)*D337</f>
        <v>0</v>
      </c>
      <c r="L337" s="19">
        <f>IF(D337/Summary!$C$4&gt;=25,E337,0)*D337</f>
        <v>3929.9999999999995</v>
      </c>
      <c r="M337" s="27">
        <f>IF(AND(D337/Summary!$C$4&gt;0, D337/Summary!$C$4&lt;1),E337,0)</f>
        <v>0</v>
      </c>
      <c r="N337" s="27">
        <f t="shared" si="257"/>
        <v>0</v>
      </c>
      <c r="O337" s="27">
        <f>IF(D337/Summary!$C$4=1,1,0)*E337</f>
        <v>0</v>
      </c>
      <c r="P337" s="27">
        <f t="shared" si="258"/>
        <v>0</v>
      </c>
      <c r="Q337" s="27">
        <f>IF(AND(D337/Summary!$C$4&gt;1, D337/Summary!$C$4&lt;=2),1,0)*E337</f>
        <v>0</v>
      </c>
      <c r="R337" s="27">
        <f t="shared" si="259"/>
        <v>0</v>
      </c>
      <c r="S337" s="27">
        <f>IF(AND(D337/Summary!$C$4&gt;2,D337/Summary!$C$4&lt;=5),1,0)*E337</f>
        <v>0</v>
      </c>
      <c r="T337" s="27">
        <f t="shared" si="260"/>
        <v>0</v>
      </c>
      <c r="U337" s="27">
        <f>IF(AND(D337/Summary!$C$4&gt;5, D337/Summary!$C$4&lt;=10),1,0)*E337</f>
        <v>0</v>
      </c>
      <c r="V337" s="27">
        <f t="shared" si="261"/>
        <v>0</v>
      </c>
      <c r="W337" s="27">
        <f>IF(AND(D337/Summary!$C$4&gt;10, D337/Summary!$C$4&lt;=20),1,0)*E337</f>
        <v>0</v>
      </c>
      <c r="X337" s="27">
        <f t="shared" si="262"/>
        <v>0</v>
      </c>
      <c r="Y337" s="27">
        <f>IF(AND(D337/Summary!$C$4&gt;20, D337/Summary!$C$4&lt;=30),1,0)*E337</f>
        <v>0</v>
      </c>
      <c r="Z337" s="27">
        <f t="shared" si="263"/>
        <v>0</v>
      </c>
      <c r="AA337" s="27">
        <f>IF(AND(D337/Summary!$C$4&gt;30, D337/Summary!$C$4&lt;=50),1,0)*E337</f>
        <v>100</v>
      </c>
      <c r="AB337" s="27">
        <f t="shared" si="264"/>
        <v>3929.9999999999995</v>
      </c>
      <c r="AC337" s="27">
        <f>IF(AND(D337/Summary!$C$4&gt;50, D337/Summary!$C$4&lt;=100),1,0)*E337</f>
        <v>0</v>
      </c>
      <c r="AD337" s="27">
        <f t="shared" si="265"/>
        <v>0</v>
      </c>
      <c r="AE337" s="27">
        <f>IF(D337/Summary!$C$4&gt;100,1,0)*E337</f>
        <v>0</v>
      </c>
      <c r="AF337" s="27">
        <f t="shared" si="266"/>
        <v>0</v>
      </c>
      <c r="AG337" s="19">
        <f t="shared" si="267"/>
        <v>100</v>
      </c>
      <c r="AH337" s="19">
        <f t="shared" si="268"/>
        <v>0</v>
      </c>
      <c r="AI337" s="19">
        <f t="shared" si="269"/>
        <v>0</v>
      </c>
      <c r="AJ337" s="27">
        <f t="shared" si="270"/>
        <v>1</v>
      </c>
      <c r="AK337" s="27">
        <f t="shared" si="271"/>
        <v>100</v>
      </c>
      <c r="AL337" s="27">
        <f t="shared" si="272"/>
        <v>3929.9999999999995</v>
      </c>
      <c r="AM337">
        <f t="shared" si="273"/>
        <v>0</v>
      </c>
      <c r="AN337">
        <f t="shared" si="274"/>
        <v>0</v>
      </c>
      <c r="AO337">
        <f t="shared" si="275"/>
        <v>0</v>
      </c>
      <c r="AP337">
        <f t="shared" si="276"/>
        <v>0</v>
      </c>
      <c r="AQ337">
        <f t="shared" si="277"/>
        <v>0</v>
      </c>
      <c r="AR337">
        <f t="shared" si="278"/>
        <v>0</v>
      </c>
      <c r="AS337">
        <f t="shared" si="279"/>
        <v>0</v>
      </c>
      <c r="AT337">
        <f t="shared" si="280"/>
        <v>0</v>
      </c>
      <c r="AU337">
        <f t="shared" si="281"/>
        <v>0</v>
      </c>
      <c r="AV337">
        <f t="shared" si="282"/>
        <v>100</v>
      </c>
      <c r="AW337">
        <f t="shared" si="283"/>
        <v>3929.9999999999995</v>
      </c>
      <c r="AX337">
        <f t="shared" si="284"/>
        <v>0</v>
      </c>
      <c r="AY337">
        <f t="shared" si="285"/>
        <v>0</v>
      </c>
      <c r="AZ337">
        <f t="shared" si="286"/>
        <v>0</v>
      </c>
      <c r="BA337">
        <f t="shared" si="287"/>
        <v>0</v>
      </c>
      <c r="BB337">
        <f t="shared" si="288"/>
        <v>0</v>
      </c>
      <c r="BC337">
        <f t="shared" si="289"/>
        <v>0</v>
      </c>
      <c r="BD337">
        <f t="shared" si="290"/>
        <v>0</v>
      </c>
      <c r="BE337">
        <f t="shared" si="291"/>
        <v>0</v>
      </c>
      <c r="BF337">
        <f t="shared" si="292"/>
        <v>0</v>
      </c>
      <c r="BG337">
        <f t="shared" si="293"/>
        <v>0</v>
      </c>
      <c r="BH337">
        <f t="shared" si="294"/>
        <v>0</v>
      </c>
      <c r="BI337">
        <f t="shared" si="295"/>
        <v>0</v>
      </c>
      <c r="BJ337">
        <f t="shared" si="296"/>
        <v>0</v>
      </c>
      <c r="BK337">
        <f t="shared" si="297"/>
        <v>0</v>
      </c>
      <c r="BL337">
        <v>0</v>
      </c>
      <c r="BM337" t="str">
        <f t="shared" si="302"/>
        <v>Big Win</v>
      </c>
      <c r="BN337" s="32" t="str">
        <f t="shared" si="303"/>
        <v>Free Plays A</v>
      </c>
      <c r="BO337">
        <f>(D337/Summary!$C$4-Summary!$C$8)^2*E337</f>
        <v>147994.09</v>
      </c>
      <c r="BP337">
        <f t="shared" si="298"/>
        <v>0</v>
      </c>
      <c r="BQ337">
        <f t="shared" si="299"/>
        <v>0</v>
      </c>
      <c r="BR337">
        <f t="shared" si="300"/>
        <v>0</v>
      </c>
      <c r="BS337">
        <f t="shared" si="301"/>
        <v>0</v>
      </c>
    </row>
    <row r="338" spans="2:71">
      <c r="B338" s="16">
        <f>Tiers!B339</f>
        <v>336</v>
      </c>
      <c r="C338" s="17" t="str">
        <f>Tiers!Y339</f>
        <v>main-1|main-1|main-2|freeplayA-6|||||| x 20</v>
      </c>
      <c r="D338" s="18">
        <f>Tiers!C339</f>
        <v>47</v>
      </c>
      <c r="E338" s="19">
        <f>Frequency!E340</f>
        <v>100</v>
      </c>
      <c r="F338" s="19">
        <f t="shared" si="255"/>
        <v>4700</v>
      </c>
      <c r="G338" s="19">
        <f>IF(Tiers!D339&gt;1,'Data Analysis'!E338,0)</f>
        <v>100</v>
      </c>
      <c r="H338" s="19">
        <f t="shared" si="256"/>
        <v>4700</v>
      </c>
      <c r="I338" s="19">
        <f>IF(AND(D338/Summary!$C$4&gt;0, D338/Summary!$C$4&lt;5),E338,0) * D338</f>
        <v>0</v>
      </c>
      <c r="J338" s="19">
        <f>IF(AND(D338/Summary!$C$4&gt;= 5, D338/Summary!$C$4&lt;10),E338,0) * D338</f>
        <v>0</v>
      </c>
      <c r="K338" s="19">
        <f>IF(AND(D338/Summary!$C$4&gt;=10, D338/Summary!$C$4&lt;25),E338,0)*D338</f>
        <v>0</v>
      </c>
      <c r="L338" s="19">
        <f>IF(D338/Summary!$C$4&gt;=25,E338,0)*D338</f>
        <v>4700</v>
      </c>
      <c r="M338" s="27">
        <f>IF(AND(D338/Summary!$C$4&gt;0, D338/Summary!$C$4&lt;1),E338,0)</f>
        <v>0</v>
      </c>
      <c r="N338" s="27">
        <f t="shared" si="257"/>
        <v>0</v>
      </c>
      <c r="O338" s="27">
        <f>IF(D338/Summary!$C$4=1,1,0)*E338</f>
        <v>0</v>
      </c>
      <c r="P338" s="27">
        <f t="shared" si="258"/>
        <v>0</v>
      </c>
      <c r="Q338" s="27">
        <f>IF(AND(D338/Summary!$C$4&gt;1, D338/Summary!$C$4&lt;=2),1,0)*E338</f>
        <v>0</v>
      </c>
      <c r="R338" s="27">
        <f t="shared" si="259"/>
        <v>0</v>
      </c>
      <c r="S338" s="27">
        <f>IF(AND(D338/Summary!$C$4&gt;2,D338/Summary!$C$4&lt;=5),1,0)*E338</f>
        <v>0</v>
      </c>
      <c r="T338" s="27">
        <f t="shared" si="260"/>
        <v>0</v>
      </c>
      <c r="U338" s="27">
        <f>IF(AND(D338/Summary!$C$4&gt;5, D338/Summary!$C$4&lt;=10),1,0)*E338</f>
        <v>0</v>
      </c>
      <c r="V338" s="27">
        <f t="shared" si="261"/>
        <v>0</v>
      </c>
      <c r="W338" s="27">
        <f>IF(AND(D338/Summary!$C$4&gt;10, D338/Summary!$C$4&lt;=20),1,0)*E338</f>
        <v>0</v>
      </c>
      <c r="X338" s="27">
        <f t="shared" si="262"/>
        <v>0</v>
      </c>
      <c r="Y338" s="27">
        <f>IF(AND(D338/Summary!$C$4&gt;20, D338/Summary!$C$4&lt;=30),1,0)*E338</f>
        <v>0</v>
      </c>
      <c r="Z338" s="27">
        <f t="shared" si="263"/>
        <v>0</v>
      </c>
      <c r="AA338" s="27">
        <f>IF(AND(D338/Summary!$C$4&gt;30, D338/Summary!$C$4&lt;=50),1,0)*E338</f>
        <v>100</v>
      </c>
      <c r="AB338" s="27">
        <f t="shared" si="264"/>
        <v>4700</v>
      </c>
      <c r="AC338" s="27">
        <f>IF(AND(D338/Summary!$C$4&gt;50, D338/Summary!$C$4&lt;=100),1,0)*E338</f>
        <v>0</v>
      </c>
      <c r="AD338" s="27">
        <f t="shared" si="265"/>
        <v>0</v>
      </c>
      <c r="AE338" s="27">
        <f>IF(D338/Summary!$C$4&gt;100,1,0)*E338</f>
        <v>0</v>
      </c>
      <c r="AF338" s="27">
        <f t="shared" si="266"/>
        <v>0</v>
      </c>
      <c r="AG338" s="19">
        <f t="shared" si="267"/>
        <v>100</v>
      </c>
      <c r="AH338" s="19">
        <f t="shared" si="268"/>
        <v>0</v>
      </c>
      <c r="AI338" s="19">
        <f t="shared" si="269"/>
        <v>0</v>
      </c>
      <c r="AJ338" s="27">
        <f t="shared" si="270"/>
        <v>1</v>
      </c>
      <c r="AK338" s="27">
        <f t="shared" si="271"/>
        <v>100</v>
      </c>
      <c r="AL338" s="27">
        <f t="shared" si="272"/>
        <v>4700</v>
      </c>
      <c r="AM338">
        <f t="shared" si="273"/>
        <v>0</v>
      </c>
      <c r="AN338">
        <f t="shared" si="274"/>
        <v>0</v>
      </c>
      <c r="AO338">
        <f t="shared" si="275"/>
        <v>0</v>
      </c>
      <c r="AP338">
        <f t="shared" si="276"/>
        <v>0</v>
      </c>
      <c r="AQ338">
        <f t="shared" si="277"/>
        <v>0</v>
      </c>
      <c r="AR338">
        <f t="shared" si="278"/>
        <v>0</v>
      </c>
      <c r="AS338">
        <f t="shared" si="279"/>
        <v>0</v>
      </c>
      <c r="AT338">
        <f t="shared" si="280"/>
        <v>0</v>
      </c>
      <c r="AU338">
        <f t="shared" si="281"/>
        <v>0</v>
      </c>
      <c r="AV338">
        <f t="shared" si="282"/>
        <v>100</v>
      </c>
      <c r="AW338">
        <f t="shared" si="283"/>
        <v>4700</v>
      </c>
      <c r="AX338">
        <f t="shared" si="284"/>
        <v>0</v>
      </c>
      <c r="AY338">
        <f t="shared" si="285"/>
        <v>0</v>
      </c>
      <c r="AZ338">
        <f t="shared" si="286"/>
        <v>0</v>
      </c>
      <c r="BA338">
        <f t="shared" si="287"/>
        <v>0</v>
      </c>
      <c r="BB338">
        <f t="shared" si="288"/>
        <v>0</v>
      </c>
      <c r="BC338">
        <f t="shared" si="289"/>
        <v>0</v>
      </c>
      <c r="BD338">
        <f t="shared" si="290"/>
        <v>0</v>
      </c>
      <c r="BE338">
        <f t="shared" si="291"/>
        <v>0</v>
      </c>
      <c r="BF338">
        <f t="shared" si="292"/>
        <v>0</v>
      </c>
      <c r="BG338">
        <f t="shared" si="293"/>
        <v>0</v>
      </c>
      <c r="BH338">
        <f t="shared" si="294"/>
        <v>0</v>
      </c>
      <c r="BI338">
        <f t="shared" si="295"/>
        <v>0</v>
      </c>
      <c r="BJ338">
        <f t="shared" si="296"/>
        <v>0</v>
      </c>
      <c r="BK338">
        <f t="shared" si="297"/>
        <v>0</v>
      </c>
      <c r="BL338">
        <v>0</v>
      </c>
      <c r="BM338" t="str">
        <f t="shared" si="302"/>
        <v>Big Win</v>
      </c>
      <c r="BN338" s="32" t="str">
        <f t="shared" si="303"/>
        <v>Free Plays A</v>
      </c>
      <c r="BO338">
        <f>(D338/Summary!$C$4-Summary!$C$8)^2*E338</f>
        <v>213166.89</v>
      </c>
      <c r="BP338">
        <f t="shared" si="298"/>
        <v>0</v>
      </c>
      <c r="BQ338">
        <f t="shared" si="299"/>
        <v>0</v>
      </c>
      <c r="BR338">
        <f t="shared" si="300"/>
        <v>0</v>
      </c>
      <c r="BS338">
        <f t="shared" si="301"/>
        <v>0</v>
      </c>
    </row>
    <row r="339" spans="2:71">
      <c r="B339" s="16">
        <f>Tiers!B340</f>
        <v>337</v>
      </c>
      <c r="C339" s="17" t="str">
        <f>Tiers!Y340</f>
        <v>main-2|main-3|main-10|freeplayA-7|||||| x 20</v>
      </c>
      <c r="D339" s="18">
        <f>Tiers!C340</f>
        <v>91.9</v>
      </c>
      <c r="E339" s="19">
        <f>Frequency!E341</f>
        <v>5</v>
      </c>
      <c r="F339" s="19">
        <f t="shared" si="255"/>
        <v>459.5</v>
      </c>
      <c r="G339" s="19">
        <f>IF(Tiers!D340&gt;1,'Data Analysis'!E339,0)</f>
        <v>5</v>
      </c>
      <c r="H339" s="19">
        <f t="shared" si="256"/>
        <v>459.5</v>
      </c>
      <c r="I339" s="19">
        <f>IF(AND(D339/Summary!$C$4&gt;0, D339/Summary!$C$4&lt;5),E339,0) * D339</f>
        <v>0</v>
      </c>
      <c r="J339" s="19">
        <f>IF(AND(D339/Summary!$C$4&gt;= 5, D339/Summary!$C$4&lt;10),E339,0) * D339</f>
        <v>0</v>
      </c>
      <c r="K339" s="19">
        <f>IF(AND(D339/Summary!$C$4&gt;=10, D339/Summary!$C$4&lt;25),E339,0)*D339</f>
        <v>0</v>
      </c>
      <c r="L339" s="19">
        <f>IF(D339/Summary!$C$4&gt;=25,E339,0)*D339</f>
        <v>459.5</v>
      </c>
      <c r="M339" s="27">
        <f>IF(AND(D339/Summary!$C$4&gt;0, D339/Summary!$C$4&lt;1),E339,0)</f>
        <v>0</v>
      </c>
      <c r="N339" s="27">
        <f t="shared" si="257"/>
        <v>0</v>
      </c>
      <c r="O339" s="27">
        <f>IF(D339/Summary!$C$4=1,1,0)*E339</f>
        <v>0</v>
      </c>
      <c r="P339" s="27">
        <f t="shared" si="258"/>
        <v>0</v>
      </c>
      <c r="Q339" s="27">
        <f>IF(AND(D339/Summary!$C$4&gt;1, D339/Summary!$C$4&lt;=2),1,0)*E339</f>
        <v>0</v>
      </c>
      <c r="R339" s="27">
        <f t="shared" si="259"/>
        <v>0</v>
      </c>
      <c r="S339" s="27">
        <f>IF(AND(D339/Summary!$C$4&gt;2,D339/Summary!$C$4&lt;=5),1,0)*E339</f>
        <v>0</v>
      </c>
      <c r="T339" s="27">
        <f t="shared" si="260"/>
        <v>0</v>
      </c>
      <c r="U339" s="27">
        <f>IF(AND(D339/Summary!$C$4&gt;5, D339/Summary!$C$4&lt;=10),1,0)*E339</f>
        <v>0</v>
      </c>
      <c r="V339" s="27">
        <f t="shared" si="261"/>
        <v>0</v>
      </c>
      <c r="W339" s="27">
        <f>IF(AND(D339/Summary!$C$4&gt;10, D339/Summary!$C$4&lt;=20),1,0)*E339</f>
        <v>0</v>
      </c>
      <c r="X339" s="27">
        <f t="shared" si="262"/>
        <v>0</v>
      </c>
      <c r="Y339" s="27">
        <f>IF(AND(D339/Summary!$C$4&gt;20, D339/Summary!$C$4&lt;=30),1,0)*E339</f>
        <v>0</v>
      </c>
      <c r="Z339" s="27">
        <f t="shared" si="263"/>
        <v>0</v>
      </c>
      <c r="AA339" s="27">
        <f>IF(AND(D339/Summary!$C$4&gt;30, D339/Summary!$C$4&lt;=50),1,0)*E339</f>
        <v>0</v>
      </c>
      <c r="AB339" s="27">
        <f t="shared" si="264"/>
        <v>0</v>
      </c>
      <c r="AC339" s="27">
        <f>IF(AND(D339/Summary!$C$4&gt;50, D339/Summary!$C$4&lt;=100),1,0)*E339</f>
        <v>5</v>
      </c>
      <c r="AD339" s="27">
        <f t="shared" si="265"/>
        <v>459.5</v>
      </c>
      <c r="AE339" s="27">
        <f>IF(D339/Summary!$C$4&gt;100,1,0)*E339</f>
        <v>0</v>
      </c>
      <c r="AF339" s="27">
        <f t="shared" si="266"/>
        <v>0</v>
      </c>
      <c r="AG339" s="19">
        <f t="shared" si="267"/>
        <v>5</v>
      </c>
      <c r="AH339" s="19">
        <f t="shared" si="268"/>
        <v>0</v>
      </c>
      <c r="AI339" s="19">
        <f t="shared" si="269"/>
        <v>0</v>
      </c>
      <c r="AJ339" s="27">
        <f t="shared" si="270"/>
        <v>1</v>
      </c>
      <c r="AK339" s="27">
        <f t="shared" si="271"/>
        <v>5</v>
      </c>
      <c r="AL339" s="27">
        <f t="shared" si="272"/>
        <v>459.5</v>
      </c>
      <c r="AM339">
        <f t="shared" si="273"/>
        <v>0</v>
      </c>
      <c r="AN339">
        <f t="shared" si="274"/>
        <v>0</v>
      </c>
      <c r="AO339">
        <f t="shared" si="275"/>
        <v>0</v>
      </c>
      <c r="AP339">
        <f t="shared" si="276"/>
        <v>0</v>
      </c>
      <c r="AQ339">
        <f t="shared" si="277"/>
        <v>0</v>
      </c>
      <c r="AR339">
        <f t="shared" si="278"/>
        <v>0</v>
      </c>
      <c r="AS339">
        <f t="shared" si="279"/>
        <v>0</v>
      </c>
      <c r="AT339">
        <f t="shared" si="280"/>
        <v>0</v>
      </c>
      <c r="AU339">
        <f t="shared" si="281"/>
        <v>0</v>
      </c>
      <c r="AV339">
        <f t="shared" si="282"/>
        <v>5</v>
      </c>
      <c r="AW339">
        <f t="shared" si="283"/>
        <v>459.5</v>
      </c>
      <c r="AX339">
        <f t="shared" si="284"/>
        <v>0</v>
      </c>
      <c r="AY339">
        <f t="shared" si="285"/>
        <v>0</v>
      </c>
      <c r="AZ339">
        <f t="shared" si="286"/>
        <v>0</v>
      </c>
      <c r="BA339">
        <f t="shared" si="287"/>
        <v>0</v>
      </c>
      <c r="BB339">
        <f t="shared" si="288"/>
        <v>0</v>
      </c>
      <c r="BC339">
        <f t="shared" si="289"/>
        <v>0</v>
      </c>
      <c r="BD339">
        <f t="shared" si="290"/>
        <v>0</v>
      </c>
      <c r="BE339">
        <f t="shared" si="291"/>
        <v>0</v>
      </c>
      <c r="BF339">
        <f t="shared" si="292"/>
        <v>0</v>
      </c>
      <c r="BG339">
        <f t="shared" si="293"/>
        <v>0</v>
      </c>
      <c r="BH339">
        <f t="shared" si="294"/>
        <v>0</v>
      </c>
      <c r="BI339">
        <f t="shared" si="295"/>
        <v>0</v>
      </c>
      <c r="BJ339">
        <f t="shared" si="296"/>
        <v>0</v>
      </c>
      <c r="BK339">
        <f t="shared" si="297"/>
        <v>0</v>
      </c>
      <c r="BL339">
        <v>0</v>
      </c>
      <c r="BM339" t="str">
        <f t="shared" si="302"/>
        <v>Huge Win</v>
      </c>
      <c r="BN339" s="32" t="str">
        <f t="shared" si="303"/>
        <v>Free Plays A</v>
      </c>
      <c r="BO339">
        <f>(D339/Summary!$C$4-Summary!$C$8)^2*E339</f>
        <v>41468.724500000011</v>
      </c>
      <c r="BP339">
        <f t="shared" si="298"/>
        <v>0</v>
      </c>
      <c r="BQ339">
        <f t="shared" si="299"/>
        <v>0</v>
      </c>
      <c r="BR339">
        <f t="shared" si="300"/>
        <v>0</v>
      </c>
      <c r="BS339">
        <f t="shared" si="301"/>
        <v>0</v>
      </c>
    </row>
    <row r="340" spans="2:71">
      <c r="B340" s="16">
        <f>Tiers!B341</f>
        <v>338</v>
      </c>
      <c r="C340" s="17" t="str">
        <f>Tiers!Y341</f>
        <v>main-0|main-0|main-12|freeplayA-8|||||| x 20</v>
      </c>
      <c r="D340" s="18">
        <f>Tiers!C341</f>
        <v>71</v>
      </c>
      <c r="E340" s="19">
        <f>Frequency!E342</f>
        <v>6</v>
      </c>
      <c r="F340" s="19">
        <f t="shared" si="255"/>
        <v>426</v>
      </c>
      <c r="G340" s="19">
        <f>IF(Tiers!D341&gt;1,'Data Analysis'!E340,0)</f>
        <v>6</v>
      </c>
      <c r="H340" s="19">
        <f t="shared" si="256"/>
        <v>426</v>
      </c>
      <c r="I340" s="19">
        <f>IF(AND(D340/Summary!$C$4&gt;0, D340/Summary!$C$4&lt;5),E340,0) * D340</f>
        <v>0</v>
      </c>
      <c r="J340" s="19">
        <f>IF(AND(D340/Summary!$C$4&gt;= 5, D340/Summary!$C$4&lt;10),E340,0) * D340</f>
        <v>0</v>
      </c>
      <c r="K340" s="19">
        <f>IF(AND(D340/Summary!$C$4&gt;=10, D340/Summary!$C$4&lt;25),E340,0)*D340</f>
        <v>0</v>
      </c>
      <c r="L340" s="19">
        <f>IF(D340/Summary!$C$4&gt;=25,E340,0)*D340</f>
        <v>426</v>
      </c>
      <c r="M340" s="27">
        <f>IF(AND(D340/Summary!$C$4&gt;0, D340/Summary!$C$4&lt;1),E340,0)</f>
        <v>0</v>
      </c>
      <c r="N340" s="27">
        <f t="shared" si="257"/>
        <v>0</v>
      </c>
      <c r="O340" s="27">
        <f>IF(D340/Summary!$C$4=1,1,0)*E340</f>
        <v>0</v>
      </c>
      <c r="P340" s="27">
        <f t="shared" si="258"/>
        <v>0</v>
      </c>
      <c r="Q340" s="27">
        <f>IF(AND(D340/Summary!$C$4&gt;1, D340/Summary!$C$4&lt;=2),1,0)*E340</f>
        <v>0</v>
      </c>
      <c r="R340" s="27">
        <f t="shared" si="259"/>
        <v>0</v>
      </c>
      <c r="S340" s="27">
        <f>IF(AND(D340/Summary!$C$4&gt;2,D340/Summary!$C$4&lt;=5),1,0)*E340</f>
        <v>0</v>
      </c>
      <c r="T340" s="27">
        <f t="shared" si="260"/>
        <v>0</v>
      </c>
      <c r="U340" s="27">
        <f>IF(AND(D340/Summary!$C$4&gt;5, D340/Summary!$C$4&lt;=10),1,0)*E340</f>
        <v>0</v>
      </c>
      <c r="V340" s="27">
        <f t="shared" si="261"/>
        <v>0</v>
      </c>
      <c r="W340" s="27">
        <f>IF(AND(D340/Summary!$C$4&gt;10, D340/Summary!$C$4&lt;=20),1,0)*E340</f>
        <v>0</v>
      </c>
      <c r="X340" s="27">
        <f t="shared" si="262"/>
        <v>0</v>
      </c>
      <c r="Y340" s="27">
        <f>IF(AND(D340/Summary!$C$4&gt;20, D340/Summary!$C$4&lt;=30),1,0)*E340</f>
        <v>0</v>
      </c>
      <c r="Z340" s="27">
        <f t="shared" si="263"/>
        <v>0</v>
      </c>
      <c r="AA340" s="27">
        <f>IF(AND(D340/Summary!$C$4&gt;30, D340/Summary!$C$4&lt;=50),1,0)*E340</f>
        <v>0</v>
      </c>
      <c r="AB340" s="27">
        <f t="shared" si="264"/>
        <v>0</v>
      </c>
      <c r="AC340" s="27">
        <f>IF(AND(D340/Summary!$C$4&gt;50, D340/Summary!$C$4&lt;=100),1,0)*E340</f>
        <v>6</v>
      </c>
      <c r="AD340" s="27">
        <f t="shared" si="265"/>
        <v>426</v>
      </c>
      <c r="AE340" s="27">
        <f>IF(D340/Summary!$C$4&gt;100,1,0)*E340</f>
        <v>0</v>
      </c>
      <c r="AF340" s="27">
        <f t="shared" si="266"/>
        <v>0</v>
      </c>
      <c r="AG340" s="19">
        <f t="shared" si="267"/>
        <v>6</v>
      </c>
      <c r="AH340" s="19">
        <f t="shared" si="268"/>
        <v>0</v>
      </c>
      <c r="AI340" s="19">
        <f t="shared" si="269"/>
        <v>0</v>
      </c>
      <c r="AJ340" s="27">
        <f t="shared" si="270"/>
        <v>1</v>
      </c>
      <c r="AK340" s="27">
        <f t="shared" si="271"/>
        <v>6</v>
      </c>
      <c r="AL340" s="27">
        <f t="shared" si="272"/>
        <v>426</v>
      </c>
      <c r="AM340">
        <f t="shared" si="273"/>
        <v>0</v>
      </c>
      <c r="AN340">
        <f t="shared" si="274"/>
        <v>0</v>
      </c>
      <c r="AO340">
        <f t="shared" si="275"/>
        <v>0</v>
      </c>
      <c r="AP340">
        <f t="shared" si="276"/>
        <v>0</v>
      </c>
      <c r="AQ340">
        <f t="shared" si="277"/>
        <v>0</v>
      </c>
      <c r="AR340">
        <f t="shared" si="278"/>
        <v>0</v>
      </c>
      <c r="AS340">
        <f t="shared" si="279"/>
        <v>0</v>
      </c>
      <c r="AT340">
        <f t="shared" si="280"/>
        <v>0</v>
      </c>
      <c r="AU340">
        <f t="shared" si="281"/>
        <v>0</v>
      </c>
      <c r="AV340">
        <f t="shared" si="282"/>
        <v>6</v>
      </c>
      <c r="AW340">
        <f t="shared" si="283"/>
        <v>426</v>
      </c>
      <c r="AX340">
        <f t="shared" si="284"/>
        <v>0</v>
      </c>
      <c r="AY340">
        <f t="shared" si="285"/>
        <v>0</v>
      </c>
      <c r="AZ340">
        <f t="shared" si="286"/>
        <v>0</v>
      </c>
      <c r="BA340">
        <f t="shared" si="287"/>
        <v>0</v>
      </c>
      <c r="BB340">
        <f t="shared" si="288"/>
        <v>0</v>
      </c>
      <c r="BC340">
        <f t="shared" si="289"/>
        <v>0</v>
      </c>
      <c r="BD340">
        <f t="shared" si="290"/>
        <v>0</v>
      </c>
      <c r="BE340">
        <f t="shared" si="291"/>
        <v>0</v>
      </c>
      <c r="BF340">
        <f t="shared" si="292"/>
        <v>0</v>
      </c>
      <c r="BG340">
        <f t="shared" si="293"/>
        <v>0</v>
      </c>
      <c r="BH340">
        <f t="shared" si="294"/>
        <v>0</v>
      </c>
      <c r="BI340">
        <f t="shared" si="295"/>
        <v>0</v>
      </c>
      <c r="BJ340">
        <f t="shared" si="296"/>
        <v>0</v>
      </c>
      <c r="BK340">
        <f t="shared" si="297"/>
        <v>0</v>
      </c>
      <c r="BL340">
        <v>0</v>
      </c>
      <c r="BM340" t="str">
        <f t="shared" si="302"/>
        <v>Huge Win</v>
      </c>
      <c r="BN340" s="32" t="str">
        <f t="shared" si="303"/>
        <v>Free Plays A</v>
      </c>
      <c r="BO340">
        <f>(D340/Summary!$C$4-Summary!$C$8)^2*E340</f>
        <v>29542.973400000003</v>
      </c>
      <c r="BP340">
        <f t="shared" si="298"/>
        <v>0</v>
      </c>
      <c r="BQ340">
        <f t="shared" si="299"/>
        <v>0</v>
      </c>
      <c r="BR340">
        <f t="shared" si="300"/>
        <v>0</v>
      </c>
      <c r="BS340">
        <f t="shared" si="301"/>
        <v>0</v>
      </c>
    </row>
    <row r="341" spans="2:71">
      <c r="B341" s="16">
        <f>Tiers!B342</f>
        <v>339</v>
      </c>
      <c r="C341" s="17" t="str">
        <f>Tiers!Y342</f>
        <v>main-0|main-0|main-1|freeplayA-9|||||| x 20</v>
      </c>
      <c r="D341" s="18">
        <f>Tiers!C342</f>
        <v>52.099999999999994</v>
      </c>
      <c r="E341" s="19">
        <f>Frequency!E343</f>
        <v>9</v>
      </c>
      <c r="F341" s="19">
        <f t="shared" si="255"/>
        <v>468.9</v>
      </c>
      <c r="G341" s="19">
        <f>IF(Tiers!D342&gt;1,'Data Analysis'!E341,0)</f>
        <v>9</v>
      </c>
      <c r="H341" s="19">
        <f t="shared" si="256"/>
        <v>468.9</v>
      </c>
      <c r="I341" s="19">
        <f>IF(AND(D341/Summary!$C$4&gt;0, D341/Summary!$C$4&lt;5),E341,0) * D341</f>
        <v>0</v>
      </c>
      <c r="J341" s="19">
        <f>IF(AND(D341/Summary!$C$4&gt;= 5, D341/Summary!$C$4&lt;10),E341,0) * D341</f>
        <v>0</v>
      </c>
      <c r="K341" s="19">
        <f>IF(AND(D341/Summary!$C$4&gt;=10, D341/Summary!$C$4&lt;25),E341,0)*D341</f>
        <v>0</v>
      </c>
      <c r="L341" s="19">
        <f>IF(D341/Summary!$C$4&gt;=25,E341,0)*D341</f>
        <v>468.9</v>
      </c>
      <c r="M341" s="27">
        <f>IF(AND(D341/Summary!$C$4&gt;0, D341/Summary!$C$4&lt;1),E341,0)</f>
        <v>0</v>
      </c>
      <c r="N341" s="27">
        <f t="shared" si="257"/>
        <v>0</v>
      </c>
      <c r="O341" s="27">
        <f>IF(D341/Summary!$C$4=1,1,0)*E341</f>
        <v>0</v>
      </c>
      <c r="P341" s="27">
        <f t="shared" si="258"/>
        <v>0</v>
      </c>
      <c r="Q341" s="27">
        <f>IF(AND(D341/Summary!$C$4&gt;1, D341/Summary!$C$4&lt;=2),1,0)*E341</f>
        <v>0</v>
      </c>
      <c r="R341" s="27">
        <f t="shared" si="259"/>
        <v>0</v>
      </c>
      <c r="S341" s="27">
        <f>IF(AND(D341/Summary!$C$4&gt;2,D341/Summary!$C$4&lt;=5),1,0)*E341</f>
        <v>0</v>
      </c>
      <c r="T341" s="27">
        <f t="shared" si="260"/>
        <v>0</v>
      </c>
      <c r="U341" s="27">
        <f>IF(AND(D341/Summary!$C$4&gt;5, D341/Summary!$C$4&lt;=10),1,0)*E341</f>
        <v>0</v>
      </c>
      <c r="V341" s="27">
        <f t="shared" si="261"/>
        <v>0</v>
      </c>
      <c r="W341" s="27">
        <f>IF(AND(D341/Summary!$C$4&gt;10, D341/Summary!$C$4&lt;=20),1,0)*E341</f>
        <v>0</v>
      </c>
      <c r="X341" s="27">
        <f t="shared" si="262"/>
        <v>0</v>
      </c>
      <c r="Y341" s="27">
        <f>IF(AND(D341/Summary!$C$4&gt;20, D341/Summary!$C$4&lt;=30),1,0)*E341</f>
        <v>0</v>
      </c>
      <c r="Z341" s="27">
        <f t="shared" si="263"/>
        <v>0</v>
      </c>
      <c r="AA341" s="27">
        <f>IF(AND(D341/Summary!$C$4&gt;30, D341/Summary!$C$4&lt;=50),1,0)*E341</f>
        <v>0</v>
      </c>
      <c r="AB341" s="27">
        <f t="shared" si="264"/>
        <v>0</v>
      </c>
      <c r="AC341" s="27">
        <f>IF(AND(D341/Summary!$C$4&gt;50, D341/Summary!$C$4&lt;=100),1,0)*E341</f>
        <v>9</v>
      </c>
      <c r="AD341" s="27">
        <f t="shared" si="265"/>
        <v>468.9</v>
      </c>
      <c r="AE341" s="27">
        <f>IF(D341/Summary!$C$4&gt;100,1,0)*E341</f>
        <v>0</v>
      </c>
      <c r="AF341" s="27">
        <f t="shared" si="266"/>
        <v>0</v>
      </c>
      <c r="AG341" s="19">
        <f t="shared" si="267"/>
        <v>9</v>
      </c>
      <c r="AH341" s="19">
        <f t="shared" si="268"/>
        <v>0</v>
      </c>
      <c r="AI341" s="19">
        <f t="shared" si="269"/>
        <v>0</v>
      </c>
      <c r="AJ341" s="27">
        <f t="shared" si="270"/>
        <v>1</v>
      </c>
      <c r="AK341" s="27">
        <f t="shared" si="271"/>
        <v>9</v>
      </c>
      <c r="AL341" s="27">
        <f t="shared" si="272"/>
        <v>468.9</v>
      </c>
      <c r="AM341">
        <f t="shared" si="273"/>
        <v>0</v>
      </c>
      <c r="AN341">
        <f t="shared" si="274"/>
        <v>0</v>
      </c>
      <c r="AO341">
        <f t="shared" si="275"/>
        <v>0</v>
      </c>
      <c r="AP341">
        <f t="shared" si="276"/>
        <v>0</v>
      </c>
      <c r="AQ341">
        <f t="shared" si="277"/>
        <v>0</v>
      </c>
      <c r="AR341">
        <f t="shared" si="278"/>
        <v>0</v>
      </c>
      <c r="AS341">
        <f t="shared" si="279"/>
        <v>0</v>
      </c>
      <c r="AT341">
        <f t="shared" si="280"/>
        <v>0</v>
      </c>
      <c r="AU341">
        <f t="shared" si="281"/>
        <v>0</v>
      </c>
      <c r="AV341">
        <f t="shared" si="282"/>
        <v>9</v>
      </c>
      <c r="AW341">
        <f t="shared" si="283"/>
        <v>468.9</v>
      </c>
      <c r="AX341">
        <f t="shared" si="284"/>
        <v>0</v>
      </c>
      <c r="AY341">
        <f t="shared" si="285"/>
        <v>0</v>
      </c>
      <c r="AZ341">
        <f t="shared" si="286"/>
        <v>0</v>
      </c>
      <c r="BA341">
        <f t="shared" si="287"/>
        <v>0</v>
      </c>
      <c r="BB341">
        <f t="shared" si="288"/>
        <v>0</v>
      </c>
      <c r="BC341">
        <f t="shared" si="289"/>
        <v>0</v>
      </c>
      <c r="BD341">
        <f t="shared" si="290"/>
        <v>0</v>
      </c>
      <c r="BE341">
        <f t="shared" si="291"/>
        <v>0</v>
      </c>
      <c r="BF341">
        <f t="shared" si="292"/>
        <v>0</v>
      </c>
      <c r="BG341">
        <f t="shared" si="293"/>
        <v>0</v>
      </c>
      <c r="BH341">
        <f t="shared" si="294"/>
        <v>0</v>
      </c>
      <c r="BI341">
        <f t="shared" si="295"/>
        <v>0</v>
      </c>
      <c r="BJ341">
        <f t="shared" si="296"/>
        <v>0</v>
      </c>
      <c r="BK341">
        <f t="shared" si="297"/>
        <v>0</v>
      </c>
      <c r="BL341">
        <v>0</v>
      </c>
      <c r="BM341" t="str">
        <f t="shared" si="302"/>
        <v>Huge Win</v>
      </c>
      <c r="BN341" s="32" t="str">
        <f t="shared" si="303"/>
        <v>Free Plays A</v>
      </c>
      <c r="BO341">
        <f>(D341/Summary!$C$4-Summary!$C$8)^2*E341</f>
        <v>23657.516099999997</v>
      </c>
      <c r="BP341">
        <f t="shared" si="298"/>
        <v>0</v>
      </c>
      <c r="BQ341">
        <f t="shared" si="299"/>
        <v>0</v>
      </c>
      <c r="BR341">
        <f t="shared" si="300"/>
        <v>0</v>
      </c>
      <c r="BS341">
        <f t="shared" si="301"/>
        <v>0</v>
      </c>
    </row>
    <row r="342" spans="2:71">
      <c r="B342" s="16">
        <f>Tiers!B343</f>
        <v>340</v>
      </c>
      <c r="C342" s="17" t="str">
        <f>Tiers!Y343</f>
        <v>main-0|main-1|main-2|main-2|freeplayA-5||||| x 20</v>
      </c>
      <c r="D342" s="18">
        <f>Tiers!C343</f>
        <v>51.3</v>
      </c>
      <c r="E342" s="19">
        <f>Frequency!E344</f>
        <v>9</v>
      </c>
      <c r="F342" s="19">
        <f t="shared" si="255"/>
        <v>461.7</v>
      </c>
      <c r="G342" s="19">
        <f>IF(Tiers!D343&gt;1,'Data Analysis'!E342,0)</f>
        <v>9</v>
      </c>
      <c r="H342" s="19">
        <f t="shared" si="256"/>
        <v>461.7</v>
      </c>
      <c r="I342" s="19">
        <f>IF(AND(D342/Summary!$C$4&gt;0, D342/Summary!$C$4&lt;5),E342,0) * D342</f>
        <v>0</v>
      </c>
      <c r="J342" s="19">
        <f>IF(AND(D342/Summary!$C$4&gt;= 5, D342/Summary!$C$4&lt;10),E342,0) * D342</f>
        <v>0</v>
      </c>
      <c r="K342" s="19">
        <f>IF(AND(D342/Summary!$C$4&gt;=10, D342/Summary!$C$4&lt;25),E342,0)*D342</f>
        <v>0</v>
      </c>
      <c r="L342" s="19">
        <f>IF(D342/Summary!$C$4&gt;=25,E342,0)*D342</f>
        <v>461.7</v>
      </c>
      <c r="M342" s="27">
        <f>IF(AND(D342/Summary!$C$4&gt;0, D342/Summary!$C$4&lt;1),E342,0)</f>
        <v>0</v>
      </c>
      <c r="N342" s="27">
        <f t="shared" si="257"/>
        <v>0</v>
      </c>
      <c r="O342" s="27">
        <f>IF(D342/Summary!$C$4=1,1,0)*E342</f>
        <v>0</v>
      </c>
      <c r="P342" s="27">
        <f t="shared" si="258"/>
        <v>0</v>
      </c>
      <c r="Q342" s="27">
        <f>IF(AND(D342/Summary!$C$4&gt;1, D342/Summary!$C$4&lt;=2),1,0)*E342</f>
        <v>0</v>
      </c>
      <c r="R342" s="27">
        <f t="shared" si="259"/>
        <v>0</v>
      </c>
      <c r="S342" s="27">
        <f>IF(AND(D342/Summary!$C$4&gt;2,D342/Summary!$C$4&lt;=5),1,0)*E342</f>
        <v>0</v>
      </c>
      <c r="T342" s="27">
        <f t="shared" si="260"/>
        <v>0</v>
      </c>
      <c r="U342" s="27">
        <f>IF(AND(D342/Summary!$C$4&gt;5, D342/Summary!$C$4&lt;=10),1,0)*E342</f>
        <v>0</v>
      </c>
      <c r="V342" s="27">
        <f t="shared" si="261"/>
        <v>0</v>
      </c>
      <c r="W342" s="27">
        <f>IF(AND(D342/Summary!$C$4&gt;10, D342/Summary!$C$4&lt;=20),1,0)*E342</f>
        <v>0</v>
      </c>
      <c r="X342" s="27">
        <f t="shared" si="262"/>
        <v>0</v>
      </c>
      <c r="Y342" s="27">
        <f>IF(AND(D342/Summary!$C$4&gt;20, D342/Summary!$C$4&lt;=30),1,0)*E342</f>
        <v>0</v>
      </c>
      <c r="Z342" s="27">
        <f t="shared" si="263"/>
        <v>0</v>
      </c>
      <c r="AA342" s="27">
        <f>IF(AND(D342/Summary!$C$4&gt;30, D342/Summary!$C$4&lt;=50),1,0)*E342</f>
        <v>0</v>
      </c>
      <c r="AB342" s="27">
        <f t="shared" si="264"/>
        <v>0</v>
      </c>
      <c r="AC342" s="27">
        <f>IF(AND(D342/Summary!$C$4&gt;50, D342/Summary!$C$4&lt;=100),1,0)*E342</f>
        <v>9</v>
      </c>
      <c r="AD342" s="27">
        <f t="shared" si="265"/>
        <v>461.7</v>
      </c>
      <c r="AE342" s="27">
        <f>IF(D342/Summary!$C$4&gt;100,1,0)*E342</f>
        <v>0</v>
      </c>
      <c r="AF342" s="27">
        <f t="shared" si="266"/>
        <v>0</v>
      </c>
      <c r="AG342" s="19">
        <f t="shared" si="267"/>
        <v>9</v>
      </c>
      <c r="AH342" s="19">
        <f t="shared" si="268"/>
        <v>0</v>
      </c>
      <c r="AI342" s="19">
        <f t="shared" si="269"/>
        <v>0</v>
      </c>
      <c r="AJ342" s="27">
        <f t="shared" si="270"/>
        <v>1</v>
      </c>
      <c r="AK342" s="27">
        <f t="shared" si="271"/>
        <v>9</v>
      </c>
      <c r="AL342" s="27">
        <f t="shared" si="272"/>
        <v>461.7</v>
      </c>
      <c r="AM342">
        <f t="shared" si="273"/>
        <v>0</v>
      </c>
      <c r="AN342">
        <f t="shared" si="274"/>
        <v>0</v>
      </c>
      <c r="AO342">
        <f t="shared" si="275"/>
        <v>0</v>
      </c>
      <c r="AP342">
        <f t="shared" si="276"/>
        <v>0</v>
      </c>
      <c r="AQ342">
        <f t="shared" si="277"/>
        <v>0</v>
      </c>
      <c r="AR342">
        <f t="shared" si="278"/>
        <v>0</v>
      </c>
      <c r="AS342">
        <f t="shared" si="279"/>
        <v>0</v>
      </c>
      <c r="AT342">
        <f t="shared" si="280"/>
        <v>0</v>
      </c>
      <c r="AU342">
        <f t="shared" si="281"/>
        <v>0</v>
      </c>
      <c r="AV342">
        <f t="shared" si="282"/>
        <v>9</v>
      </c>
      <c r="AW342">
        <f t="shared" si="283"/>
        <v>461.7</v>
      </c>
      <c r="AX342">
        <f t="shared" si="284"/>
        <v>0</v>
      </c>
      <c r="AY342">
        <f t="shared" si="285"/>
        <v>0</v>
      </c>
      <c r="AZ342">
        <f t="shared" si="286"/>
        <v>0</v>
      </c>
      <c r="BA342">
        <f t="shared" si="287"/>
        <v>0</v>
      </c>
      <c r="BB342">
        <f t="shared" si="288"/>
        <v>0</v>
      </c>
      <c r="BC342">
        <f t="shared" si="289"/>
        <v>0</v>
      </c>
      <c r="BD342">
        <f t="shared" si="290"/>
        <v>0</v>
      </c>
      <c r="BE342">
        <f t="shared" si="291"/>
        <v>0</v>
      </c>
      <c r="BF342">
        <f t="shared" si="292"/>
        <v>0</v>
      </c>
      <c r="BG342">
        <f t="shared" si="293"/>
        <v>0</v>
      </c>
      <c r="BH342">
        <f t="shared" si="294"/>
        <v>0</v>
      </c>
      <c r="BI342">
        <f t="shared" si="295"/>
        <v>0</v>
      </c>
      <c r="BJ342">
        <f t="shared" si="296"/>
        <v>0</v>
      </c>
      <c r="BK342">
        <f t="shared" si="297"/>
        <v>0</v>
      </c>
      <c r="BL342">
        <v>0</v>
      </c>
      <c r="BM342" t="str">
        <f t="shared" si="302"/>
        <v>Huge Win</v>
      </c>
      <c r="BN342" s="32" t="str">
        <f t="shared" si="303"/>
        <v>Free Plays A</v>
      </c>
      <c r="BO342">
        <f>(D342/Summary!$C$4-Summary!$C$8)^2*E342</f>
        <v>22924.988099999999</v>
      </c>
      <c r="BP342">
        <f t="shared" si="298"/>
        <v>0</v>
      </c>
      <c r="BQ342">
        <f t="shared" si="299"/>
        <v>0</v>
      </c>
      <c r="BR342">
        <f t="shared" si="300"/>
        <v>0</v>
      </c>
      <c r="BS342">
        <f t="shared" si="301"/>
        <v>0</v>
      </c>
    </row>
    <row r="343" spans="2:71">
      <c r="B343" s="16">
        <f>Tiers!B344</f>
        <v>341</v>
      </c>
      <c r="C343" s="17" t="str">
        <f>Tiers!Y344</f>
        <v>main-0|main-1|main-1|main-4|freeplayA-6||||| x 20</v>
      </c>
      <c r="D343" s="18">
        <f>Tiers!C344</f>
        <v>69</v>
      </c>
      <c r="E343" s="19">
        <f>Frequency!E345</f>
        <v>7</v>
      </c>
      <c r="F343" s="19">
        <f t="shared" si="255"/>
        <v>483</v>
      </c>
      <c r="G343" s="19">
        <f>IF(Tiers!D344&gt;1,'Data Analysis'!E343,0)</f>
        <v>7</v>
      </c>
      <c r="H343" s="19">
        <f t="shared" si="256"/>
        <v>483</v>
      </c>
      <c r="I343" s="19">
        <f>IF(AND(D343/Summary!$C$4&gt;0, D343/Summary!$C$4&lt;5),E343,0) * D343</f>
        <v>0</v>
      </c>
      <c r="J343" s="19">
        <f>IF(AND(D343/Summary!$C$4&gt;= 5, D343/Summary!$C$4&lt;10),E343,0) * D343</f>
        <v>0</v>
      </c>
      <c r="K343" s="19">
        <f>IF(AND(D343/Summary!$C$4&gt;=10, D343/Summary!$C$4&lt;25),E343,0)*D343</f>
        <v>0</v>
      </c>
      <c r="L343" s="19">
        <f>IF(D343/Summary!$C$4&gt;=25,E343,0)*D343</f>
        <v>483</v>
      </c>
      <c r="M343" s="27">
        <f>IF(AND(D343/Summary!$C$4&gt;0, D343/Summary!$C$4&lt;1),E343,0)</f>
        <v>0</v>
      </c>
      <c r="N343" s="27">
        <f t="shared" si="257"/>
        <v>0</v>
      </c>
      <c r="O343" s="27">
        <f>IF(D343/Summary!$C$4=1,1,0)*E343</f>
        <v>0</v>
      </c>
      <c r="P343" s="27">
        <f t="shared" si="258"/>
        <v>0</v>
      </c>
      <c r="Q343" s="27">
        <f>IF(AND(D343/Summary!$C$4&gt;1, D343/Summary!$C$4&lt;=2),1,0)*E343</f>
        <v>0</v>
      </c>
      <c r="R343" s="27">
        <f t="shared" si="259"/>
        <v>0</v>
      </c>
      <c r="S343" s="27">
        <f>IF(AND(D343/Summary!$C$4&gt;2,D343/Summary!$C$4&lt;=5),1,0)*E343</f>
        <v>0</v>
      </c>
      <c r="T343" s="27">
        <f t="shared" si="260"/>
        <v>0</v>
      </c>
      <c r="U343" s="27">
        <f>IF(AND(D343/Summary!$C$4&gt;5, D343/Summary!$C$4&lt;=10),1,0)*E343</f>
        <v>0</v>
      </c>
      <c r="V343" s="27">
        <f t="shared" si="261"/>
        <v>0</v>
      </c>
      <c r="W343" s="27">
        <f>IF(AND(D343/Summary!$C$4&gt;10, D343/Summary!$C$4&lt;=20),1,0)*E343</f>
        <v>0</v>
      </c>
      <c r="X343" s="27">
        <f t="shared" si="262"/>
        <v>0</v>
      </c>
      <c r="Y343" s="27">
        <f>IF(AND(D343/Summary!$C$4&gt;20, D343/Summary!$C$4&lt;=30),1,0)*E343</f>
        <v>0</v>
      </c>
      <c r="Z343" s="27">
        <f t="shared" si="263"/>
        <v>0</v>
      </c>
      <c r="AA343" s="27">
        <f>IF(AND(D343/Summary!$C$4&gt;30, D343/Summary!$C$4&lt;=50),1,0)*E343</f>
        <v>0</v>
      </c>
      <c r="AB343" s="27">
        <f t="shared" si="264"/>
        <v>0</v>
      </c>
      <c r="AC343" s="27">
        <f>IF(AND(D343/Summary!$C$4&gt;50, D343/Summary!$C$4&lt;=100),1,0)*E343</f>
        <v>7</v>
      </c>
      <c r="AD343" s="27">
        <f t="shared" si="265"/>
        <v>483</v>
      </c>
      <c r="AE343" s="27">
        <f>IF(D343/Summary!$C$4&gt;100,1,0)*E343</f>
        <v>0</v>
      </c>
      <c r="AF343" s="27">
        <f t="shared" si="266"/>
        <v>0</v>
      </c>
      <c r="AG343" s="19">
        <f t="shared" si="267"/>
        <v>7</v>
      </c>
      <c r="AH343" s="19">
        <f t="shared" si="268"/>
        <v>0</v>
      </c>
      <c r="AI343" s="19">
        <f t="shared" si="269"/>
        <v>0</v>
      </c>
      <c r="AJ343" s="27">
        <f t="shared" si="270"/>
        <v>1</v>
      </c>
      <c r="AK343" s="27">
        <f t="shared" si="271"/>
        <v>7</v>
      </c>
      <c r="AL343" s="27">
        <f t="shared" si="272"/>
        <v>483</v>
      </c>
      <c r="AM343">
        <f t="shared" si="273"/>
        <v>0</v>
      </c>
      <c r="AN343">
        <f t="shared" si="274"/>
        <v>0</v>
      </c>
      <c r="AO343">
        <f t="shared" si="275"/>
        <v>0</v>
      </c>
      <c r="AP343">
        <f t="shared" si="276"/>
        <v>0</v>
      </c>
      <c r="AQ343">
        <f t="shared" si="277"/>
        <v>0</v>
      </c>
      <c r="AR343">
        <f t="shared" si="278"/>
        <v>0</v>
      </c>
      <c r="AS343">
        <f t="shared" si="279"/>
        <v>0</v>
      </c>
      <c r="AT343">
        <f t="shared" si="280"/>
        <v>0</v>
      </c>
      <c r="AU343">
        <f t="shared" si="281"/>
        <v>0</v>
      </c>
      <c r="AV343">
        <f t="shared" si="282"/>
        <v>7</v>
      </c>
      <c r="AW343">
        <f t="shared" si="283"/>
        <v>483</v>
      </c>
      <c r="AX343">
        <f t="shared" si="284"/>
        <v>0</v>
      </c>
      <c r="AY343">
        <f t="shared" si="285"/>
        <v>0</v>
      </c>
      <c r="AZ343">
        <f t="shared" si="286"/>
        <v>0</v>
      </c>
      <c r="BA343">
        <f t="shared" si="287"/>
        <v>0</v>
      </c>
      <c r="BB343">
        <f t="shared" si="288"/>
        <v>0</v>
      </c>
      <c r="BC343">
        <f t="shared" si="289"/>
        <v>0</v>
      </c>
      <c r="BD343">
        <f t="shared" si="290"/>
        <v>0</v>
      </c>
      <c r="BE343">
        <f t="shared" si="291"/>
        <v>0</v>
      </c>
      <c r="BF343">
        <f t="shared" si="292"/>
        <v>0</v>
      </c>
      <c r="BG343">
        <f t="shared" si="293"/>
        <v>0</v>
      </c>
      <c r="BH343">
        <f t="shared" si="294"/>
        <v>0</v>
      </c>
      <c r="BI343">
        <f t="shared" si="295"/>
        <v>0</v>
      </c>
      <c r="BJ343">
        <f t="shared" si="296"/>
        <v>0</v>
      </c>
      <c r="BK343">
        <f t="shared" si="297"/>
        <v>0</v>
      </c>
      <c r="BL343">
        <v>0</v>
      </c>
      <c r="BM343" t="str">
        <f t="shared" si="302"/>
        <v>Huge Win</v>
      </c>
      <c r="BN343" s="32" t="str">
        <f t="shared" si="303"/>
        <v>Free Plays A</v>
      </c>
      <c r="BO343">
        <f>(D343/Summary!$C$4-Summary!$C$8)^2*E343</f>
        <v>32530.042300000001</v>
      </c>
      <c r="BP343">
        <f t="shared" si="298"/>
        <v>0</v>
      </c>
      <c r="BQ343">
        <f t="shared" si="299"/>
        <v>0</v>
      </c>
      <c r="BR343">
        <f t="shared" si="300"/>
        <v>0</v>
      </c>
      <c r="BS343">
        <f t="shared" si="301"/>
        <v>0</v>
      </c>
    </row>
    <row r="344" spans="2:71">
      <c r="B344" s="16">
        <f>Tiers!B345</f>
        <v>342</v>
      </c>
      <c r="C344" s="17" t="str">
        <f>Tiers!Y345</f>
        <v>main-0|main-0|main-1|main-10|freeplayA-7||||| x 20</v>
      </c>
      <c r="D344" s="18">
        <f>Tiers!C345</f>
        <v>69.900000000000006</v>
      </c>
      <c r="E344" s="19">
        <f>Frequency!E346</f>
        <v>7</v>
      </c>
      <c r="F344" s="19">
        <f t="shared" si="255"/>
        <v>489.30000000000007</v>
      </c>
      <c r="G344" s="19">
        <f>IF(Tiers!D345&gt;1,'Data Analysis'!E344,0)</f>
        <v>7</v>
      </c>
      <c r="H344" s="19">
        <f t="shared" si="256"/>
        <v>489.30000000000007</v>
      </c>
      <c r="I344" s="19">
        <f>IF(AND(D344/Summary!$C$4&gt;0, D344/Summary!$C$4&lt;5),E344,0) * D344</f>
        <v>0</v>
      </c>
      <c r="J344" s="19">
        <f>IF(AND(D344/Summary!$C$4&gt;= 5, D344/Summary!$C$4&lt;10),E344,0) * D344</f>
        <v>0</v>
      </c>
      <c r="K344" s="19">
        <f>IF(AND(D344/Summary!$C$4&gt;=10, D344/Summary!$C$4&lt;25),E344,0)*D344</f>
        <v>0</v>
      </c>
      <c r="L344" s="19">
        <f>IF(D344/Summary!$C$4&gt;=25,E344,0)*D344</f>
        <v>489.30000000000007</v>
      </c>
      <c r="M344" s="27">
        <f>IF(AND(D344/Summary!$C$4&gt;0, D344/Summary!$C$4&lt;1),E344,0)</f>
        <v>0</v>
      </c>
      <c r="N344" s="27">
        <f t="shared" si="257"/>
        <v>0</v>
      </c>
      <c r="O344" s="27">
        <f>IF(D344/Summary!$C$4=1,1,0)*E344</f>
        <v>0</v>
      </c>
      <c r="P344" s="27">
        <f t="shared" si="258"/>
        <v>0</v>
      </c>
      <c r="Q344" s="27">
        <f>IF(AND(D344/Summary!$C$4&gt;1, D344/Summary!$C$4&lt;=2),1,0)*E344</f>
        <v>0</v>
      </c>
      <c r="R344" s="27">
        <f t="shared" si="259"/>
        <v>0</v>
      </c>
      <c r="S344" s="27">
        <f>IF(AND(D344/Summary!$C$4&gt;2,D344/Summary!$C$4&lt;=5),1,0)*E344</f>
        <v>0</v>
      </c>
      <c r="T344" s="27">
        <f t="shared" si="260"/>
        <v>0</v>
      </c>
      <c r="U344" s="27">
        <f>IF(AND(D344/Summary!$C$4&gt;5, D344/Summary!$C$4&lt;=10),1,0)*E344</f>
        <v>0</v>
      </c>
      <c r="V344" s="27">
        <f t="shared" si="261"/>
        <v>0</v>
      </c>
      <c r="W344" s="27">
        <f>IF(AND(D344/Summary!$C$4&gt;10, D344/Summary!$C$4&lt;=20),1,0)*E344</f>
        <v>0</v>
      </c>
      <c r="X344" s="27">
        <f t="shared" si="262"/>
        <v>0</v>
      </c>
      <c r="Y344" s="27">
        <f>IF(AND(D344/Summary!$C$4&gt;20, D344/Summary!$C$4&lt;=30),1,0)*E344</f>
        <v>0</v>
      </c>
      <c r="Z344" s="27">
        <f t="shared" si="263"/>
        <v>0</v>
      </c>
      <c r="AA344" s="27">
        <f>IF(AND(D344/Summary!$C$4&gt;30, D344/Summary!$C$4&lt;=50),1,0)*E344</f>
        <v>0</v>
      </c>
      <c r="AB344" s="27">
        <f t="shared" si="264"/>
        <v>0</v>
      </c>
      <c r="AC344" s="27">
        <f>IF(AND(D344/Summary!$C$4&gt;50, D344/Summary!$C$4&lt;=100),1,0)*E344</f>
        <v>7</v>
      </c>
      <c r="AD344" s="27">
        <f t="shared" si="265"/>
        <v>489.30000000000007</v>
      </c>
      <c r="AE344" s="27">
        <f>IF(D344/Summary!$C$4&gt;100,1,0)*E344</f>
        <v>0</v>
      </c>
      <c r="AF344" s="27">
        <f t="shared" si="266"/>
        <v>0</v>
      </c>
      <c r="AG344" s="19">
        <f t="shared" si="267"/>
        <v>7</v>
      </c>
      <c r="AH344" s="19">
        <f t="shared" si="268"/>
        <v>0</v>
      </c>
      <c r="AI344" s="19">
        <f t="shared" si="269"/>
        <v>0</v>
      </c>
      <c r="AJ344" s="27">
        <f t="shared" si="270"/>
        <v>1</v>
      </c>
      <c r="AK344" s="27">
        <f t="shared" si="271"/>
        <v>7</v>
      </c>
      <c r="AL344" s="27">
        <f t="shared" si="272"/>
        <v>489.30000000000007</v>
      </c>
      <c r="AM344">
        <f t="shared" si="273"/>
        <v>0</v>
      </c>
      <c r="AN344">
        <f t="shared" si="274"/>
        <v>0</v>
      </c>
      <c r="AO344">
        <f t="shared" si="275"/>
        <v>0</v>
      </c>
      <c r="AP344">
        <f t="shared" si="276"/>
        <v>0</v>
      </c>
      <c r="AQ344">
        <f t="shared" si="277"/>
        <v>0</v>
      </c>
      <c r="AR344">
        <f t="shared" si="278"/>
        <v>0</v>
      </c>
      <c r="AS344">
        <f t="shared" si="279"/>
        <v>0</v>
      </c>
      <c r="AT344">
        <f t="shared" si="280"/>
        <v>0</v>
      </c>
      <c r="AU344">
        <f t="shared" si="281"/>
        <v>0</v>
      </c>
      <c r="AV344">
        <f t="shared" si="282"/>
        <v>7</v>
      </c>
      <c r="AW344">
        <f t="shared" si="283"/>
        <v>489.30000000000007</v>
      </c>
      <c r="AX344">
        <f t="shared" si="284"/>
        <v>0</v>
      </c>
      <c r="AY344">
        <f t="shared" si="285"/>
        <v>0</v>
      </c>
      <c r="AZ344">
        <f t="shared" si="286"/>
        <v>0</v>
      </c>
      <c r="BA344">
        <f t="shared" si="287"/>
        <v>0</v>
      </c>
      <c r="BB344">
        <f t="shared" si="288"/>
        <v>0</v>
      </c>
      <c r="BC344">
        <f t="shared" si="289"/>
        <v>0</v>
      </c>
      <c r="BD344">
        <f t="shared" si="290"/>
        <v>0</v>
      </c>
      <c r="BE344">
        <f t="shared" si="291"/>
        <v>0</v>
      </c>
      <c r="BF344">
        <f t="shared" si="292"/>
        <v>0</v>
      </c>
      <c r="BG344">
        <f t="shared" si="293"/>
        <v>0</v>
      </c>
      <c r="BH344">
        <f t="shared" si="294"/>
        <v>0</v>
      </c>
      <c r="BI344">
        <f t="shared" si="295"/>
        <v>0</v>
      </c>
      <c r="BJ344">
        <f t="shared" si="296"/>
        <v>0</v>
      </c>
      <c r="BK344">
        <f t="shared" si="297"/>
        <v>0</v>
      </c>
      <c r="BL344">
        <v>0</v>
      </c>
      <c r="BM344" t="str">
        <f t="shared" si="302"/>
        <v>Huge Win</v>
      </c>
      <c r="BN344" s="32" t="str">
        <f t="shared" si="303"/>
        <v>Free Plays A</v>
      </c>
      <c r="BO344">
        <f>(D344/Summary!$C$4-Summary!$C$8)^2*E344</f>
        <v>33394.654300000002</v>
      </c>
      <c r="BP344">
        <f t="shared" si="298"/>
        <v>0</v>
      </c>
      <c r="BQ344">
        <f t="shared" si="299"/>
        <v>0</v>
      </c>
      <c r="BR344">
        <f t="shared" si="300"/>
        <v>0</v>
      </c>
      <c r="BS344">
        <f t="shared" si="301"/>
        <v>0</v>
      </c>
    </row>
    <row r="345" spans="2:71">
      <c r="B345" s="16">
        <f>Tiers!B346</f>
        <v>343</v>
      </c>
      <c r="C345" s="17" t="str">
        <f>Tiers!Y346</f>
        <v>main-0|main-0|main-0|main-1|freeplayA-8||||| x 20</v>
      </c>
      <c r="D345" s="18">
        <f>Tiers!C346</f>
        <v>37</v>
      </c>
      <c r="E345" s="19">
        <f>Frequency!E347</f>
        <v>13</v>
      </c>
      <c r="F345" s="19">
        <f t="shared" si="255"/>
        <v>481</v>
      </c>
      <c r="G345" s="19">
        <f>IF(Tiers!D346&gt;1,'Data Analysis'!E345,0)</f>
        <v>13</v>
      </c>
      <c r="H345" s="19">
        <f t="shared" si="256"/>
        <v>481</v>
      </c>
      <c r="I345" s="19">
        <f>IF(AND(D345/Summary!$C$4&gt;0, D345/Summary!$C$4&lt;5),E345,0) * D345</f>
        <v>0</v>
      </c>
      <c r="J345" s="19">
        <f>IF(AND(D345/Summary!$C$4&gt;= 5, D345/Summary!$C$4&lt;10),E345,0) * D345</f>
        <v>0</v>
      </c>
      <c r="K345" s="19">
        <f>IF(AND(D345/Summary!$C$4&gt;=10, D345/Summary!$C$4&lt;25),E345,0)*D345</f>
        <v>0</v>
      </c>
      <c r="L345" s="19">
        <f>IF(D345/Summary!$C$4&gt;=25,E345,0)*D345</f>
        <v>481</v>
      </c>
      <c r="M345" s="27">
        <f>IF(AND(D345/Summary!$C$4&gt;0, D345/Summary!$C$4&lt;1),E345,0)</f>
        <v>0</v>
      </c>
      <c r="N345" s="27">
        <f t="shared" si="257"/>
        <v>0</v>
      </c>
      <c r="O345" s="27">
        <f>IF(D345/Summary!$C$4=1,1,0)*E345</f>
        <v>0</v>
      </c>
      <c r="P345" s="27">
        <f t="shared" si="258"/>
        <v>0</v>
      </c>
      <c r="Q345" s="27">
        <f>IF(AND(D345/Summary!$C$4&gt;1, D345/Summary!$C$4&lt;=2),1,0)*E345</f>
        <v>0</v>
      </c>
      <c r="R345" s="27">
        <f t="shared" si="259"/>
        <v>0</v>
      </c>
      <c r="S345" s="27">
        <f>IF(AND(D345/Summary!$C$4&gt;2,D345/Summary!$C$4&lt;=5),1,0)*E345</f>
        <v>0</v>
      </c>
      <c r="T345" s="27">
        <f t="shared" si="260"/>
        <v>0</v>
      </c>
      <c r="U345" s="27">
        <f>IF(AND(D345/Summary!$C$4&gt;5, D345/Summary!$C$4&lt;=10),1,0)*E345</f>
        <v>0</v>
      </c>
      <c r="V345" s="27">
        <f t="shared" si="261"/>
        <v>0</v>
      </c>
      <c r="W345" s="27">
        <f>IF(AND(D345/Summary!$C$4&gt;10, D345/Summary!$C$4&lt;=20),1,0)*E345</f>
        <v>0</v>
      </c>
      <c r="X345" s="27">
        <f t="shared" si="262"/>
        <v>0</v>
      </c>
      <c r="Y345" s="27">
        <f>IF(AND(D345/Summary!$C$4&gt;20, D345/Summary!$C$4&lt;=30),1,0)*E345</f>
        <v>0</v>
      </c>
      <c r="Z345" s="27">
        <f t="shared" si="263"/>
        <v>0</v>
      </c>
      <c r="AA345" s="27">
        <f>IF(AND(D345/Summary!$C$4&gt;30, D345/Summary!$C$4&lt;=50),1,0)*E345</f>
        <v>13</v>
      </c>
      <c r="AB345" s="27">
        <f t="shared" si="264"/>
        <v>481</v>
      </c>
      <c r="AC345" s="27">
        <f>IF(AND(D345/Summary!$C$4&gt;50, D345/Summary!$C$4&lt;=100),1,0)*E345</f>
        <v>0</v>
      </c>
      <c r="AD345" s="27">
        <f t="shared" si="265"/>
        <v>0</v>
      </c>
      <c r="AE345" s="27">
        <f>IF(D345/Summary!$C$4&gt;100,1,0)*E345</f>
        <v>0</v>
      </c>
      <c r="AF345" s="27">
        <f t="shared" si="266"/>
        <v>0</v>
      </c>
      <c r="AG345" s="19">
        <f t="shared" si="267"/>
        <v>13</v>
      </c>
      <c r="AH345" s="19">
        <f t="shared" si="268"/>
        <v>0</v>
      </c>
      <c r="AI345" s="19">
        <f t="shared" si="269"/>
        <v>0</v>
      </c>
      <c r="AJ345" s="27">
        <f t="shared" si="270"/>
        <v>1</v>
      </c>
      <c r="AK345" s="27">
        <f t="shared" si="271"/>
        <v>13</v>
      </c>
      <c r="AL345" s="27">
        <f t="shared" si="272"/>
        <v>481</v>
      </c>
      <c r="AM345">
        <f t="shared" si="273"/>
        <v>0</v>
      </c>
      <c r="AN345">
        <f t="shared" si="274"/>
        <v>0</v>
      </c>
      <c r="AO345">
        <f t="shared" si="275"/>
        <v>0</v>
      </c>
      <c r="AP345">
        <f t="shared" si="276"/>
        <v>0</v>
      </c>
      <c r="AQ345">
        <f t="shared" si="277"/>
        <v>0</v>
      </c>
      <c r="AR345">
        <f t="shared" si="278"/>
        <v>0</v>
      </c>
      <c r="AS345">
        <f t="shared" si="279"/>
        <v>0</v>
      </c>
      <c r="AT345">
        <f t="shared" si="280"/>
        <v>0</v>
      </c>
      <c r="AU345">
        <f t="shared" si="281"/>
        <v>0</v>
      </c>
      <c r="AV345">
        <f t="shared" si="282"/>
        <v>13</v>
      </c>
      <c r="AW345">
        <f t="shared" si="283"/>
        <v>481</v>
      </c>
      <c r="AX345">
        <f t="shared" si="284"/>
        <v>0</v>
      </c>
      <c r="AY345">
        <f t="shared" si="285"/>
        <v>0</v>
      </c>
      <c r="AZ345">
        <f t="shared" si="286"/>
        <v>0</v>
      </c>
      <c r="BA345">
        <f t="shared" si="287"/>
        <v>0</v>
      </c>
      <c r="BB345">
        <f t="shared" si="288"/>
        <v>0</v>
      </c>
      <c r="BC345">
        <f t="shared" si="289"/>
        <v>0</v>
      </c>
      <c r="BD345">
        <f t="shared" si="290"/>
        <v>0</v>
      </c>
      <c r="BE345">
        <f t="shared" si="291"/>
        <v>0</v>
      </c>
      <c r="BF345">
        <f t="shared" si="292"/>
        <v>0</v>
      </c>
      <c r="BG345">
        <f t="shared" si="293"/>
        <v>0</v>
      </c>
      <c r="BH345">
        <f t="shared" si="294"/>
        <v>0</v>
      </c>
      <c r="BI345">
        <f t="shared" si="295"/>
        <v>0</v>
      </c>
      <c r="BJ345">
        <f t="shared" si="296"/>
        <v>0</v>
      </c>
      <c r="BK345">
        <f t="shared" si="297"/>
        <v>0</v>
      </c>
      <c r="BL345">
        <v>0</v>
      </c>
      <c r="BM345" t="str">
        <f t="shared" si="302"/>
        <v>Big Win</v>
      </c>
      <c r="BN345" s="32" t="str">
        <f t="shared" si="303"/>
        <v>Free Plays A</v>
      </c>
      <c r="BO345">
        <f>(D345/Summary!$C$4-Summary!$C$8)^2*E345</f>
        <v>17007.495699999999</v>
      </c>
      <c r="BP345">
        <f t="shared" si="298"/>
        <v>0</v>
      </c>
      <c r="BQ345">
        <f t="shared" si="299"/>
        <v>0</v>
      </c>
      <c r="BR345">
        <f t="shared" si="300"/>
        <v>0</v>
      </c>
      <c r="BS345">
        <f t="shared" si="301"/>
        <v>0</v>
      </c>
    </row>
    <row r="346" spans="2:71">
      <c r="B346" s="16">
        <f>Tiers!B347</f>
        <v>344</v>
      </c>
      <c r="C346" s="17" t="str">
        <f>Tiers!Y347</f>
        <v>main-0|main-0|main-1|main-1|freeplayA-4||||| x 20</v>
      </c>
      <c r="D346" s="18">
        <f>Tiers!C347</f>
        <v>30.6</v>
      </c>
      <c r="E346" s="19">
        <f>Frequency!E348</f>
        <v>100</v>
      </c>
      <c r="F346" s="19">
        <f t="shared" si="255"/>
        <v>3060</v>
      </c>
      <c r="G346" s="19">
        <f>IF(Tiers!D347&gt;1,'Data Analysis'!E346,0)</f>
        <v>100</v>
      </c>
      <c r="H346" s="19">
        <f t="shared" si="256"/>
        <v>3060</v>
      </c>
      <c r="I346" s="19">
        <f>IF(AND(D346/Summary!$C$4&gt;0, D346/Summary!$C$4&lt;5),E346,0) * D346</f>
        <v>0</v>
      </c>
      <c r="J346" s="19">
        <f>IF(AND(D346/Summary!$C$4&gt;= 5, D346/Summary!$C$4&lt;10),E346,0) * D346</f>
        <v>0</v>
      </c>
      <c r="K346" s="19">
        <f>IF(AND(D346/Summary!$C$4&gt;=10, D346/Summary!$C$4&lt;25),E346,0)*D346</f>
        <v>0</v>
      </c>
      <c r="L346" s="19">
        <f>IF(D346/Summary!$C$4&gt;=25,E346,0)*D346</f>
        <v>3060</v>
      </c>
      <c r="M346" s="27">
        <f>IF(AND(D346/Summary!$C$4&gt;0, D346/Summary!$C$4&lt;1),E346,0)</f>
        <v>0</v>
      </c>
      <c r="N346" s="27">
        <f t="shared" si="257"/>
        <v>0</v>
      </c>
      <c r="O346" s="27">
        <f>IF(D346/Summary!$C$4=1,1,0)*E346</f>
        <v>0</v>
      </c>
      <c r="P346" s="27">
        <f t="shared" si="258"/>
        <v>0</v>
      </c>
      <c r="Q346" s="27">
        <f>IF(AND(D346/Summary!$C$4&gt;1, D346/Summary!$C$4&lt;=2),1,0)*E346</f>
        <v>0</v>
      </c>
      <c r="R346" s="27">
        <f t="shared" si="259"/>
        <v>0</v>
      </c>
      <c r="S346" s="27">
        <f>IF(AND(D346/Summary!$C$4&gt;2,D346/Summary!$C$4&lt;=5),1,0)*E346</f>
        <v>0</v>
      </c>
      <c r="T346" s="27">
        <f t="shared" si="260"/>
        <v>0</v>
      </c>
      <c r="U346" s="27">
        <f>IF(AND(D346/Summary!$C$4&gt;5, D346/Summary!$C$4&lt;=10),1,0)*E346</f>
        <v>0</v>
      </c>
      <c r="V346" s="27">
        <f t="shared" si="261"/>
        <v>0</v>
      </c>
      <c r="W346" s="27">
        <f>IF(AND(D346/Summary!$C$4&gt;10, D346/Summary!$C$4&lt;=20),1,0)*E346</f>
        <v>0</v>
      </c>
      <c r="X346" s="27">
        <f t="shared" si="262"/>
        <v>0</v>
      </c>
      <c r="Y346" s="27">
        <f>IF(AND(D346/Summary!$C$4&gt;20, D346/Summary!$C$4&lt;=30),1,0)*E346</f>
        <v>0</v>
      </c>
      <c r="Z346" s="27">
        <f t="shared" si="263"/>
        <v>0</v>
      </c>
      <c r="AA346" s="27">
        <f>IF(AND(D346/Summary!$C$4&gt;30, D346/Summary!$C$4&lt;=50),1,0)*E346</f>
        <v>100</v>
      </c>
      <c r="AB346" s="27">
        <f t="shared" si="264"/>
        <v>3060</v>
      </c>
      <c r="AC346" s="27">
        <f>IF(AND(D346/Summary!$C$4&gt;50, D346/Summary!$C$4&lt;=100),1,0)*E346</f>
        <v>0</v>
      </c>
      <c r="AD346" s="27">
        <f t="shared" si="265"/>
        <v>0</v>
      </c>
      <c r="AE346" s="27">
        <f>IF(D346/Summary!$C$4&gt;100,1,0)*E346</f>
        <v>0</v>
      </c>
      <c r="AF346" s="27">
        <f t="shared" si="266"/>
        <v>0</v>
      </c>
      <c r="AG346" s="19">
        <f t="shared" si="267"/>
        <v>100</v>
      </c>
      <c r="AH346" s="19">
        <f t="shared" si="268"/>
        <v>0</v>
      </c>
      <c r="AI346" s="19">
        <f t="shared" si="269"/>
        <v>0</v>
      </c>
      <c r="AJ346" s="27">
        <f t="shared" si="270"/>
        <v>1</v>
      </c>
      <c r="AK346" s="27">
        <f t="shared" si="271"/>
        <v>100</v>
      </c>
      <c r="AL346" s="27">
        <f t="shared" si="272"/>
        <v>3060</v>
      </c>
      <c r="AM346">
        <f t="shared" si="273"/>
        <v>0</v>
      </c>
      <c r="AN346">
        <f t="shared" si="274"/>
        <v>0</v>
      </c>
      <c r="AO346">
        <f t="shared" si="275"/>
        <v>0</v>
      </c>
      <c r="AP346">
        <f t="shared" si="276"/>
        <v>0</v>
      </c>
      <c r="AQ346">
        <f t="shared" si="277"/>
        <v>0</v>
      </c>
      <c r="AR346">
        <f t="shared" si="278"/>
        <v>0</v>
      </c>
      <c r="AS346">
        <f t="shared" si="279"/>
        <v>0</v>
      </c>
      <c r="AT346">
        <f t="shared" si="280"/>
        <v>0</v>
      </c>
      <c r="AU346">
        <f t="shared" si="281"/>
        <v>0</v>
      </c>
      <c r="AV346">
        <f t="shared" si="282"/>
        <v>100</v>
      </c>
      <c r="AW346">
        <f t="shared" si="283"/>
        <v>3060</v>
      </c>
      <c r="AX346">
        <f t="shared" si="284"/>
        <v>0</v>
      </c>
      <c r="AY346">
        <f t="shared" si="285"/>
        <v>0</v>
      </c>
      <c r="AZ346">
        <f t="shared" si="286"/>
        <v>0</v>
      </c>
      <c r="BA346">
        <f t="shared" si="287"/>
        <v>0</v>
      </c>
      <c r="BB346">
        <f t="shared" si="288"/>
        <v>0</v>
      </c>
      <c r="BC346">
        <f t="shared" si="289"/>
        <v>0</v>
      </c>
      <c r="BD346">
        <f t="shared" si="290"/>
        <v>0</v>
      </c>
      <c r="BE346">
        <f t="shared" si="291"/>
        <v>0</v>
      </c>
      <c r="BF346">
        <f t="shared" si="292"/>
        <v>0</v>
      </c>
      <c r="BG346">
        <f t="shared" si="293"/>
        <v>0</v>
      </c>
      <c r="BH346">
        <f t="shared" si="294"/>
        <v>0</v>
      </c>
      <c r="BI346">
        <f t="shared" si="295"/>
        <v>0</v>
      </c>
      <c r="BJ346">
        <f t="shared" si="296"/>
        <v>0</v>
      </c>
      <c r="BK346">
        <f t="shared" si="297"/>
        <v>0</v>
      </c>
      <c r="BL346">
        <v>0</v>
      </c>
      <c r="BM346" t="str">
        <f t="shared" si="302"/>
        <v>Big Win</v>
      </c>
      <c r="BN346" s="32" t="str">
        <f t="shared" si="303"/>
        <v>Free Plays A</v>
      </c>
      <c r="BO346">
        <f>(D346/Summary!$C$4-Summary!$C$8)^2*E346</f>
        <v>88625.290000000023</v>
      </c>
      <c r="BP346">
        <f t="shared" si="298"/>
        <v>0</v>
      </c>
      <c r="BQ346">
        <f t="shared" si="299"/>
        <v>0</v>
      </c>
      <c r="BR346">
        <f t="shared" si="300"/>
        <v>0</v>
      </c>
      <c r="BS346">
        <f t="shared" si="301"/>
        <v>0</v>
      </c>
    </row>
    <row r="347" spans="2:71">
      <c r="B347" s="16">
        <f>Tiers!B348</f>
        <v>345</v>
      </c>
      <c r="C347" s="17" t="str">
        <f>Tiers!Y348</f>
        <v>main-0|main-0|main-1|main-30|freeplayA-5||||| x 20</v>
      </c>
      <c r="D347" s="18">
        <f>Tiers!C348</f>
        <v>73.3</v>
      </c>
      <c r="E347" s="19">
        <f>Frequency!E349</f>
        <v>6</v>
      </c>
      <c r="F347" s="19">
        <f t="shared" si="255"/>
        <v>439.79999999999995</v>
      </c>
      <c r="G347" s="19">
        <f>IF(Tiers!D348&gt;1,'Data Analysis'!E347,0)</f>
        <v>6</v>
      </c>
      <c r="H347" s="19">
        <f t="shared" si="256"/>
        <v>439.79999999999995</v>
      </c>
      <c r="I347" s="19">
        <f>IF(AND(D347/Summary!$C$4&gt;0, D347/Summary!$C$4&lt;5),E347,0) * D347</f>
        <v>0</v>
      </c>
      <c r="J347" s="19">
        <f>IF(AND(D347/Summary!$C$4&gt;= 5, D347/Summary!$C$4&lt;10),E347,0) * D347</f>
        <v>0</v>
      </c>
      <c r="K347" s="19">
        <f>IF(AND(D347/Summary!$C$4&gt;=10, D347/Summary!$C$4&lt;25),E347,0)*D347</f>
        <v>0</v>
      </c>
      <c r="L347" s="19">
        <f>IF(D347/Summary!$C$4&gt;=25,E347,0)*D347</f>
        <v>439.79999999999995</v>
      </c>
      <c r="M347" s="27">
        <f>IF(AND(D347/Summary!$C$4&gt;0, D347/Summary!$C$4&lt;1),E347,0)</f>
        <v>0</v>
      </c>
      <c r="N347" s="27">
        <f t="shared" si="257"/>
        <v>0</v>
      </c>
      <c r="O347" s="27">
        <f>IF(D347/Summary!$C$4=1,1,0)*E347</f>
        <v>0</v>
      </c>
      <c r="P347" s="27">
        <f t="shared" si="258"/>
        <v>0</v>
      </c>
      <c r="Q347" s="27">
        <f>IF(AND(D347/Summary!$C$4&gt;1, D347/Summary!$C$4&lt;=2),1,0)*E347</f>
        <v>0</v>
      </c>
      <c r="R347" s="27">
        <f t="shared" si="259"/>
        <v>0</v>
      </c>
      <c r="S347" s="27">
        <f>IF(AND(D347/Summary!$C$4&gt;2,D347/Summary!$C$4&lt;=5),1,0)*E347</f>
        <v>0</v>
      </c>
      <c r="T347" s="27">
        <f t="shared" si="260"/>
        <v>0</v>
      </c>
      <c r="U347" s="27">
        <f>IF(AND(D347/Summary!$C$4&gt;5, D347/Summary!$C$4&lt;=10),1,0)*E347</f>
        <v>0</v>
      </c>
      <c r="V347" s="27">
        <f t="shared" si="261"/>
        <v>0</v>
      </c>
      <c r="W347" s="27">
        <f>IF(AND(D347/Summary!$C$4&gt;10, D347/Summary!$C$4&lt;=20),1,0)*E347</f>
        <v>0</v>
      </c>
      <c r="X347" s="27">
        <f t="shared" si="262"/>
        <v>0</v>
      </c>
      <c r="Y347" s="27">
        <f>IF(AND(D347/Summary!$C$4&gt;20, D347/Summary!$C$4&lt;=30),1,0)*E347</f>
        <v>0</v>
      </c>
      <c r="Z347" s="27">
        <f t="shared" si="263"/>
        <v>0</v>
      </c>
      <c r="AA347" s="27">
        <f>IF(AND(D347/Summary!$C$4&gt;30, D347/Summary!$C$4&lt;=50),1,0)*E347</f>
        <v>0</v>
      </c>
      <c r="AB347" s="27">
        <f t="shared" si="264"/>
        <v>0</v>
      </c>
      <c r="AC347" s="27">
        <f>IF(AND(D347/Summary!$C$4&gt;50, D347/Summary!$C$4&lt;=100),1,0)*E347</f>
        <v>6</v>
      </c>
      <c r="AD347" s="27">
        <f t="shared" si="265"/>
        <v>439.79999999999995</v>
      </c>
      <c r="AE347" s="27">
        <f>IF(D347/Summary!$C$4&gt;100,1,0)*E347</f>
        <v>0</v>
      </c>
      <c r="AF347" s="27">
        <f t="shared" si="266"/>
        <v>0</v>
      </c>
      <c r="AG347" s="19">
        <f t="shared" si="267"/>
        <v>6</v>
      </c>
      <c r="AH347" s="19">
        <f t="shared" si="268"/>
        <v>0</v>
      </c>
      <c r="AI347" s="19">
        <f t="shared" si="269"/>
        <v>0</v>
      </c>
      <c r="AJ347" s="27">
        <f t="shared" si="270"/>
        <v>1</v>
      </c>
      <c r="AK347" s="27">
        <f t="shared" si="271"/>
        <v>6</v>
      </c>
      <c r="AL347" s="27">
        <f t="shared" si="272"/>
        <v>439.79999999999995</v>
      </c>
      <c r="AM347">
        <f t="shared" si="273"/>
        <v>0</v>
      </c>
      <c r="AN347">
        <f t="shared" si="274"/>
        <v>0</v>
      </c>
      <c r="AO347">
        <f t="shared" si="275"/>
        <v>0</v>
      </c>
      <c r="AP347">
        <f t="shared" si="276"/>
        <v>0</v>
      </c>
      <c r="AQ347">
        <f t="shared" si="277"/>
        <v>0</v>
      </c>
      <c r="AR347">
        <f t="shared" si="278"/>
        <v>0</v>
      </c>
      <c r="AS347">
        <f t="shared" si="279"/>
        <v>0</v>
      </c>
      <c r="AT347">
        <f t="shared" si="280"/>
        <v>0</v>
      </c>
      <c r="AU347">
        <f t="shared" si="281"/>
        <v>0</v>
      </c>
      <c r="AV347">
        <f t="shared" si="282"/>
        <v>6</v>
      </c>
      <c r="AW347">
        <f t="shared" si="283"/>
        <v>439.79999999999995</v>
      </c>
      <c r="AX347">
        <f t="shared" si="284"/>
        <v>0</v>
      </c>
      <c r="AY347">
        <f t="shared" si="285"/>
        <v>0</v>
      </c>
      <c r="AZ347">
        <f t="shared" si="286"/>
        <v>0</v>
      </c>
      <c r="BA347">
        <f t="shared" si="287"/>
        <v>0</v>
      </c>
      <c r="BB347">
        <f t="shared" si="288"/>
        <v>0</v>
      </c>
      <c r="BC347">
        <f t="shared" si="289"/>
        <v>0</v>
      </c>
      <c r="BD347">
        <f t="shared" si="290"/>
        <v>0</v>
      </c>
      <c r="BE347">
        <f t="shared" si="291"/>
        <v>0</v>
      </c>
      <c r="BF347">
        <f t="shared" si="292"/>
        <v>0</v>
      </c>
      <c r="BG347">
        <f t="shared" si="293"/>
        <v>0</v>
      </c>
      <c r="BH347">
        <f t="shared" si="294"/>
        <v>0</v>
      </c>
      <c r="BI347">
        <f t="shared" si="295"/>
        <v>0</v>
      </c>
      <c r="BJ347">
        <f t="shared" si="296"/>
        <v>0</v>
      </c>
      <c r="BK347">
        <f t="shared" si="297"/>
        <v>0</v>
      </c>
      <c r="BL347">
        <v>0</v>
      </c>
      <c r="BM347" t="str">
        <f t="shared" si="302"/>
        <v>Huge Win</v>
      </c>
      <c r="BN347" s="32" t="str">
        <f t="shared" si="303"/>
        <v>Free Plays A</v>
      </c>
      <c r="BO347">
        <f>(D347/Summary!$C$4-Summary!$C$8)^2*E347</f>
        <v>31511.405399999996</v>
      </c>
      <c r="BP347">
        <f t="shared" si="298"/>
        <v>0</v>
      </c>
      <c r="BQ347">
        <f t="shared" si="299"/>
        <v>0</v>
      </c>
      <c r="BR347">
        <f t="shared" si="300"/>
        <v>0</v>
      </c>
      <c r="BS347">
        <f t="shared" si="301"/>
        <v>0</v>
      </c>
    </row>
    <row r="348" spans="2:71">
      <c r="B348" s="16">
        <f>Tiers!B349</f>
        <v>346</v>
      </c>
      <c r="C348" s="17" t="str">
        <f>Tiers!Y349</f>
        <v>main-0|main-0|main-1|main-1|main-2|freeplayA-4|||| x 20</v>
      </c>
      <c r="D348" s="18">
        <f>Tiers!C349</f>
        <v>40.6</v>
      </c>
      <c r="E348" s="19">
        <f>Frequency!E350</f>
        <v>12</v>
      </c>
      <c r="F348" s="19">
        <f t="shared" si="255"/>
        <v>487.20000000000005</v>
      </c>
      <c r="G348" s="19">
        <f>IF(Tiers!D349&gt;1,'Data Analysis'!E348,0)</f>
        <v>12</v>
      </c>
      <c r="H348" s="19">
        <f t="shared" si="256"/>
        <v>487.20000000000005</v>
      </c>
      <c r="I348" s="19">
        <f>IF(AND(D348/Summary!$C$4&gt;0, D348/Summary!$C$4&lt;5),E348,0) * D348</f>
        <v>0</v>
      </c>
      <c r="J348" s="19">
        <f>IF(AND(D348/Summary!$C$4&gt;= 5, D348/Summary!$C$4&lt;10),E348,0) * D348</f>
        <v>0</v>
      </c>
      <c r="K348" s="19">
        <f>IF(AND(D348/Summary!$C$4&gt;=10, D348/Summary!$C$4&lt;25),E348,0)*D348</f>
        <v>0</v>
      </c>
      <c r="L348" s="19">
        <f>IF(D348/Summary!$C$4&gt;=25,E348,0)*D348</f>
        <v>487.20000000000005</v>
      </c>
      <c r="M348" s="27">
        <f>IF(AND(D348/Summary!$C$4&gt;0, D348/Summary!$C$4&lt;1),E348,0)</f>
        <v>0</v>
      </c>
      <c r="N348" s="27">
        <f t="shared" si="257"/>
        <v>0</v>
      </c>
      <c r="O348" s="27">
        <f>IF(D348/Summary!$C$4=1,1,0)*E348</f>
        <v>0</v>
      </c>
      <c r="P348" s="27">
        <f t="shared" si="258"/>
        <v>0</v>
      </c>
      <c r="Q348" s="27">
        <f>IF(AND(D348/Summary!$C$4&gt;1, D348/Summary!$C$4&lt;=2),1,0)*E348</f>
        <v>0</v>
      </c>
      <c r="R348" s="27">
        <f t="shared" si="259"/>
        <v>0</v>
      </c>
      <c r="S348" s="27">
        <f>IF(AND(D348/Summary!$C$4&gt;2,D348/Summary!$C$4&lt;=5),1,0)*E348</f>
        <v>0</v>
      </c>
      <c r="T348" s="27">
        <f t="shared" si="260"/>
        <v>0</v>
      </c>
      <c r="U348" s="27">
        <f>IF(AND(D348/Summary!$C$4&gt;5, D348/Summary!$C$4&lt;=10),1,0)*E348</f>
        <v>0</v>
      </c>
      <c r="V348" s="27">
        <f t="shared" si="261"/>
        <v>0</v>
      </c>
      <c r="W348" s="27">
        <f>IF(AND(D348/Summary!$C$4&gt;10, D348/Summary!$C$4&lt;=20),1,0)*E348</f>
        <v>0</v>
      </c>
      <c r="X348" s="27">
        <f t="shared" si="262"/>
        <v>0</v>
      </c>
      <c r="Y348" s="27">
        <f>IF(AND(D348/Summary!$C$4&gt;20, D348/Summary!$C$4&lt;=30),1,0)*E348</f>
        <v>0</v>
      </c>
      <c r="Z348" s="27">
        <f t="shared" si="263"/>
        <v>0</v>
      </c>
      <c r="AA348" s="27">
        <f>IF(AND(D348/Summary!$C$4&gt;30, D348/Summary!$C$4&lt;=50),1,0)*E348</f>
        <v>12</v>
      </c>
      <c r="AB348" s="27">
        <f t="shared" si="264"/>
        <v>487.20000000000005</v>
      </c>
      <c r="AC348" s="27">
        <f>IF(AND(D348/Summary!$C$4&gt;50, D348/Summary!$C$4&lt;=100),1,0)*E348</f>
        <v>0</v>
      </c>
      <c r="AD348" s="27">
        <f t="shared" si="265"/>
        <v>0</v>
      </c>
      <c r="AE348" s="27">
        <f>IF(D348/Summary!$C$4&gt;100,1,0)*E348</f>
        <v>0</v>
      </c>
      <c r="AF348" s="27">
        <f t="shared" si="266"/>
        <v>0</v>
      </c>
      <c r="AG348" s="19">
        <f t="shared" si="267"/>
        <v>12</v>
      </c>
      <c r="AH348" s="19">
        <f t="shared" si="268"/>
        <v>0</v>
      </c>
      <c r="AI348" s="19">
        <f t="shared" si="269"/>
        <v>0</v>
      </c>
      <c r="AJ348" s="27">
        <f t="shared" si="270"/>
        <v>1</v>
      </c>
      <c r="AK348" s="27">
        <f t="shared" si="271"/>
        <v>12</v>
      </c>
      <c r="AL348" s="27">
        <f t="shared" si="272"/>
        <v>487.20000000000005</v>
      </c>
      <c r="AM348">
        <f t="shared" si="273"/>
        <v>0</v>
      </c>
      <c r="AN348">
        <f t="shared" si="274"/>
        <v>0</v>
      </c>
      <c r="AO348">
        <f t="shared" si="275"/>
        <v>0</v>
      </c>
      <c r="AP348">
        <f t="shared" si="276"/>
        <v>0</v>
      </c>
      <c r="AQ348">
        <f t="shared" si="277"/>
        <v>0</v>
      </c>
      <c r="AR348">
        <f t="shared" si="278"/>
        <v>0</v>
      </c>
      <c r="AS348">
        <f t="shared" si="279"/>
        <v>0</v>
      </c>
      <c r="AT348">
        <f t="shared" si="280"/>
        <v>0</v>
      </c>
      <c r="AU348">
        <f t="shared" si="281"/>
        <v>0</v>
      </c>
      <c r="AV348">
        <f t="shared" si="282"/>
        <v>12</v>
      </c>
      <c r="AW348">
        <f t="shared" si="283"/>
        <v>487.20000000000005</v>
      </c>
      <c r="AX348">
        <f t="shared" si="284"/>
        <v>0</v>
      </c>
      <c r="AY348">
        <f t="shared" si="285"/>
        <v>0</v>
      </c>
      <c r="AZ348">
        <f t="shared" si="286"/>
        <v>0</v>
      </c>
      <c r="BA348">
        <f t="shared" si="287"/>
        <v>0</v>
      </c>
      <c r="BB348">
        <f t="shared" si="288"/>
        <v>0</v>
      </c>
      <c r="BC348">
        <f t="shared" si="289"/>
        <v>0</v>
      </c>
      <c r="BD348">
        <f t="shared" si="290"/>
        <v>0</v>
      </c>
      <c r="BE348">
        <f t="shared" si="291"/>
        <v>0</v>
      </c>
      <c r="BF348">
        <f t="shared" si="292"/>
        <v>0</v>
      </c>
      <c r="BG348">
        <f t="shared" si="293"/>
        <v>0</v>
      </c>
      <c r="BH348">
        <f t="shared" si="294"/>
        <v>0</v>
      </c>
      <c r="BI348">
        <f t="shared" si="295"/>
        <v>0</v>
      </c>
      <c r="BJ348">
        <f t="shared" si="296"/>
        <v>0</v>
      </c>
      <c r="BK348">
        <f t="shared" si="297"/>
        <v>0</v>
      </c>
      <c r="BL348">
        <v>0</v>
      </c>
      <c r="BM348" t="str">
        <f t="shared" si="302"/>
        <v>Big Win</v>
      </c>
      <c r="BN348" s="32" t="str">
        <f t="shared" si="303"/>
        <v>Free Plays A</v>
      </c>
      <c r="BO348">
        <f>(D348/Summary!$C$4-Summary!$C$8)^2*E348</f>
        <v>18979.834800000004</v>
      </c>
      <c r="BP348">
        <f t="shared" si="298"/>
        <v>0</v>
      </c>
      <c r="BQ348">
        <f t="shared" si="299"/>
        <v>0</v>
      </c>
      <c r="BR348">
        <f t="shared" si="300"/>
        <v>0</v>
      </c>
      <c r="BS348">
        <f t="shared" si="301"/>
        <v>0</v>
      </c>
    </row>
    <row r="349" spans="2:71">
      <c r="B349" s="16">
        <f>Tiers!B350</f>
        <v>347</v>
      </c>
      <c r="C349" s="17" t="str">
        <f>Tiers!Y350</f>
        <v>main-0|main-0|main-1|main-10|main-20|freeplayA-5|||| x 20</v>
      </c>
      <c r="D349" s="18">
        <f>Tiers!C350</f>
        <v>83.3</v>
      </c>
      <c r="E349" s="19">
        <f>Frequency!E351</f>
        <v>5</v>
      </c>
      <c r="F349" s="19">
        <f t="shared" si="255"/>
        <v>416.5</v>
      </c>
      <c r="G349" s="19">
        <f>IF(Tiers!D350&gt;1,'Data Analysis'!E349,0)</f>
        <v>5</v>
      </c>
      <c r="H349" s="19">
        <f t="shared" si="256"/>
        <v>416.5</v>
      </c>
      <c r="I349" s="19">
        <f>IF(AND(D349/Summary!$C$4&gt;0, D349/Summary!$C$4&lt;5),E349,0) * D349</f>
        <v>0</v>
      </c>
      <c r="J349" s="19">
        <f>IF(AND(D349/Summary!$C$4&gt;= 5, D349/Summary!$C$4&lt;10),E349,0) * D349</f>
        <v>0</v>
      </c>
      <c r="K349" s="19">
        <f>IF(AND(D349/Summary!$C$4&gt;=10, D349/Summary!$C$4&lt;25),E349,0)*D349</f>
        <v>0</v>
      </c>
      <c r="L349" s="19">
        <f>IF(D349/Summary!$C$4&gt;=25,E349,0)*D349</f>
        <v>416.5</v>
      </c>
      <c r="M349" s="27">
        <f>IF(AND(D349/Summary!$C$4&gt;0, D349/Summary!$C$4&lt;1),E349,0)</f>
        <v>0</v>
      </c>
      <c r="N349" s="27">
        <f t="shared" si="257"/>
        <v>0</v>
      </c>
      <c r="O349" s="27">
        <f>IF(D349/Summary!$C$4=1,1,0)*E349</f>
        <v>0</v>
      </c>
      <c r="P349" s="27">
        <f t="shared" si="258"/>
        <v>0</v>
      </c>
      <c r="Q349" s="27">
        <f>IF(AND(D349/Summary!$C$4&gt;1, D349/Summary!$C$4&lt;=2),1,0)*E349</f>
        <v>0</v>
      </c>
      <c r="R349" s="27">
        <f t="shared" si="259"/>
        <v>0</v>
      </c>
      <c r="S349" s="27">
        <f>IF(AND(D349/Summary!$C$4&gt;2,D349/Summary!$C$4&lt;=5),1,0)*E349</f>
        <v>0</v>
      </c>
      <c r="T349" s="27">
        <f t="shared" si="260"/>
        <v>0</v>
      </c>
      <c r="U349" s="27">
        <f>IF(AND(D349/Summary!$C$4&gt;5, D349/Summary!$C$4&lt;=10),1,0)*E349</f>
        <v>0</v>
      </c>
      <c r="V349" s="27">
        <f t="shared" si="261"/>
        <v>0</v>
      </c>
      <c r="W349" s="27">
        <f>IF(AND(D349/Summary!$C$4&gt;10, D349/Summary!$C$4&lt;=20),1,0)*E349</f>
        <v>0</v>
      </c>
      <c r="X349" s="27">
        <f t="shared" si="262"/>
        <v>0</v>
      </c>
      <c r="Y349" s="27">
        <f>IF(AND(D349/Summary!$C$4&gt;20, D349/Summary!$C$4&lt;=30),1,0)*E349</f>
        <v>0</v>
      </c>
      <c r="Z349" s="27">
        <f t="shared" si="263"/>
        <v>0</v>
      </c>
      <c r="AA349" s="27">
        <f>IF(AND(D349/Summary!$C$4&gt;30, D349/Summary!$C$4&lt;=50),1,0)*E349</f>
        <v>0</v>
      </c>
      <c r="AB349" s="27">
        <f t="shared" si="264"/>
        <v>0</v>
      </c>
      <c r="AC349" s="27">
        <f>IF(AND(D349/Summary!$C$4&gt;50, D349/Summary!$C$4&lt;=100),1,0)*E349</f>
        <v>5</v>
      </c>
      <c r="AD349" s="27">
        <f t="shared" si="265"/>
        <v>416.5</v>
      </c>
      <c r="AE349" s="27">
        <f>IF(D349/Summary!$C$4&gt;100,1,0)*E349</f>
        <v>0</v>
      </c>
      <c r="AF349" s="27">
        <f t="shared" si="266"/>
        <v>0</v>
      </c>
      <c r="AG349" s="19">
        <f t="shared" si="267"/>
        <v>5</v>
      </c>
      <c r="AH349" s="19">
        <f t="shared" si="268"/>
        <v>0</v>
      </c>
      <c r="AI349" s="19">
        <f t="shared" si="269"/>
        <v>0</v>
      </c>
      <c r="AJ349" s="27">
        <f t="shared" si="270"/>
        <v>1</v>
      </c>
      <c r="AK349" s="27">
        <f t="shared" si="271"/>
        <v>5</v>
      </c>
      <c r="AL349" s="27">
        <f t="shared" si="272"/>
        <v>416.5</v>
      </c>
      <c r="AM349">
        <f t="shared" si="273"/>
        <v>0</v>
      </c>
      <c r="AN349">
        <f t="shared" si="274"/>
        <v>0</v>
      </c>
      <c r="AO349">
        <f t="shared" si="275"/>
        <v>0</v>
      </c>
      <c r="AP349">
        <f t="shared" si="276"/>
        <v>0</v>
      </c>
      <c r="AQ349">
        <f t="shared" si="277"/>
        <v>0</v>
      </c>
      <c r="AR349">
        <f t="shared" si="278"/>
        <v>0</v>
      </c>
      <c r="AS349">
        <f t="shared" si="279"/>
        <v>0</v>
      </c>
      <c r="AT349">
        <f t="shared" si="280"/>
        <v>0</v>
      </c>
      <c r="AU349">
        <f t="shared" si="281"/>
        <v>0</v>
      </c>
      <c r="AV349">
        <f t="shared" si="282"/>
        <v>5</v>
      </c>
      <c r="AW349">
        <f t="shared" si="283"/>
        <v>416.5</v>
      </c>
      <c r="AX349">
        <f t="shared" si="284"/>
        <v>0</v>
      </c>
      <c r="AY349">
        <f t="shared" si="285"/>
        <v>0</v>
      </c>
      <c r="AZ349">
        <f t="shared" si="286"/>
        <v>0</v>
      </c>
      <c r="BA349">
        <f t="shared" si="287"/>
        <v>0</v>
      </c>
      <c r="BB349">
        <f t="shared" si="288"/>
        <v>0</v>
      </c>
      <c r="BC349">
        <f t="shared" si="289"/>
        <v>0</v>
      </c>
      <c r="BD349">
        <f t="shared" si="290"/>
        <v>0</v>
      </c>
      <c r="BE349">
        <f t="shared" si="291"/>
        <v>0</v>
      </c>
      <c r="BF349">
        <f t="shared" si="292"/>
        <v>0</v>
      </c>
      <c r="BG349">
        <f t="shared" si="293"/>
        <v>0</v>
      </c>
      <c r="BH349">
        <f t="shared" si="294"/>
        <v>0</v>
      </c>
      <c r="BI349">
        <f t="shared" si="295"/>
        <v>0</v>
      </c>
      <c r="BJ349">
        <f t="shared" si="296"/>
        <v>0</v>
      </c>
      <c r="BK349">
        <f t="shared" si="297"/>
        <v>0</v>
      </c>
      <c r="BL349">
        <v>0</v>
      </c>
      <c r="BM349" t="str">
        <f t="shared" si="302"/>
        <v>Huge Win</v>
      </c>
      <c r="BN349" s="32" t="str">
        <f t="shared" si="303"/>
        <v>Free Plays A</v>
      </c>
      <c r="BO349">
        <f>(D349/Summary!$C$4-Summary!$C$8)^2*E349</f>
        <v>34006.504500000003</v>
      </c>
      <c r="BP349">
        <f t="shared" si="298"/>
        <v>0</v>
      </c>
      <c r="BQ349">
        <f t="shared" si="299"/>
        <v>0</v>
      </c>
      <c r="BR349">
        <f t="shared" si="300"/>
        <v>0</v>
      </c>
      <c r="BS349">
        <f t="shared" si="301"/>
        <v>0</v>
      </c>
    </row>
    <row r="350" spans="2:71">
      <c r="B350" s="16">
        <f>Tiers!B351</f>
        <v>348</v>
      </c>
      <c r="C350" s="131" t="str">
        <f>Tiers!Y351</f>
        <v>bonusA-0||||||||| x 1</v>
      </c>
      <c r="D350" s="18">
        <f>Tiers!C351</f>
        <v>10</v>
      </c>
      <c r="E350" s="19">
        <f>Frequency!E352</f>
        <v>2500</v>
      </c>
      <c r="F350" s="19">
        <f t="shared" si="255"/>
        <v>25000</v>
      </c>
      <c r="G350" s="19">
        <f>IF(Tiers!D351&gt;1,'Data Analysis'!E350,0)</f>
        <v>0</v>
      </c>
      <c r="H350" s="19">
        <f t="shared" si="256"/>
        <v>0</v>
      </c>
      <c r="I350" s="19">
        <f>IF(AND(D350/Summary!$C$4&gt;0, D350/Summary!$C$4&lt;5),E350,0) * D350</f>
        <v>0</v>
      </c>
      <c r="J350" s="19">
        <f>IF(AND(D350/Summary!$C$4&gt;= 5, D350/Summary!$C$4&lt;10),E350,0) * D350</f>
        <v>0</v>
      </c>
      <c r="K350" s="19">
        <f>IF(AND(D350/Summary!$C$4&gt;=10, D350/Summary!$C$4&lt;25),E350,0)*D350</f>
        <v>25000</v>
      </c>
      <c r="L350" s="19">
        <f>IF(D350/Summary!$C$4&gt;=25,E350,0)*D350</f>
        <v>0</v>
      </c>
      <c r="M350" s="27">
        <f>IF(AND(D350/Summary!$C$4&gt;0, D350/Summary!$C$4&lt;1),E350,0)</f>
        <v>0</v>
      </c>
      <c r="N350" s="27">
        <f t="shared" si="257"/>
        <v>0</v>
      </c>
      <c r="O350" s="27">
        <f>IF(D350/Summary!$C$4=1,1,0)*E350</f>
        <v>0</v>
      </c>
      <c r="P350" s="27">
        <f t="shared" si="258"/>
        <v>0</v>
      </c>
      <c r="Q350" s="27">
        <f>IF(AND(D350/Summary!$C$4&gt;1, D350/Summary!$C$4&lt;=2),1,0)*E350</f>
        <v>0</v>
      </c>
      <c r="R350" s="27">
        <f t="shared" si="259"/>
        <v>0</v>
      </c>
      <c r="S350" s="27">
        <f>IF(AND(D350/Summary!$C$4&gt;2,D350/Summary!$C$4&lt;=5),1,0)*E350</f>
        <v>0</v>
      </c>
      <c r="T350" s="27">
        <f t="shared" si="260"/>
        <v>0</v>
      </c>
      <c r="U350" s="27">
        <f>IF(AND(D350/Summary!$C$4&gt;5, D350/Summary!$C$4&lt;=10),1,0)*E350</f>
        <v>2500</v>
      </c>
      <c r="V350" s="27">
        <f t="shared" si="261"/>
        <v>25000</v>
      </c>
      <c r="W350" s="27">
        <f>IF(AND(D350/Summary!$C$4&gt;10, D350/Summary!$C$4&lt;=20),1,0)*E350</f>
        <v>0</v>
      </c>
      <c r="X350" s="27">
        <f t="shared" si="262"/>
        <v>0</v>
      </c>
      <c r="Y350" s="27">
        <f>IF(AND(D350/Summary!$C$4&gt;20, D350/Summary!$C$4&lt;=30),1,0)*E350</f>
        <v>0</v>
      </c>
      <c r="Z350" s="27">
        <f t="shared" si="263"/>
        <v>0</v>
      </c>
      <c r="AA350" s="27">
        <f>IF(AND(D350/Summary!$C$4&gt;30, D350/Summary!$C$4&lt;=50),1,0)*E350</f>
        <v>0</v>
      </c>
      <c r="AB350" s="27">
        <f t="shared" si="264"/>
        <v>0</v>
      </c>
      <c r="AC350" s="27">
        <f>IF(AND(D350/Summary!$C$4&gt;50, D350/Summary!$C$4&lt;=100),1,0)*E350</f>
        <v>0</v>
      </c>
      <c r="AD350" s="27">
        <f t="shared" si="265"/>
        <v>0</v>
      </c>
      <c r="AE350" s="27">
        <f>IF(D350/Summary!$C$4&gt;100,1,0)*E350</f>
        <v>0</v>
      </c>
      <c r="AF350" s="27">
        <f t="shared" si="266"/>
        <v>0</v>
      </c>
      <c r="AG350" s="19">
        <f t="shared" si="267"/>
        <v>0</v>
      </c>
      <c r="AH350" s="19">
        <f t="shared" si="268"/>
        <v>2500</v>
      </c>
      <c r="AI350" s="19">
        <f t="shared" si="269"/>
        <v>0</v>
      </c>
      <c r="AJ350" s="27">
        <f t="shared" si="270"/>
        <v>0</v>
      </c>
      <c r="AK350" s="27">
        <f t="shared" si="271"/>
        <v>0</v>
      </c>
      <c r="AL350" s="27">
        <f t="shared" si="272"/>
        <v>0</v>
      </c>
      <c r="AM350">
        <f t="shared" si="273"/>
        <v>0</v>
      </c>
      <c r="AN350">
        <f t="shared" si="274"/>
        <v>0</v>
      </c>
      <c r="AO350">
        <f t="shared" si="275"/>
        <v>0</v>
      </c>
      <c r="AP350">
        <f t="shared" si="276"/>
        <v>0</v>
      </c>
      <c r="AQ350">
        <f t="shared" si="277"/>
        <v>0</v>
      </c>
      <c r="AR350">
        <f t="shared" si="278"/>
        <v>0</v>
      </c>
      <c r="AS350">
        <f t="shared" si="279"/>
        <v>0</v>
      </c>
      <c r="AT350">
        <f t="shared" si="280"/>
        <v>0</v>
      </c>
      <c r="AU350">
        <f t="shared" si="281"/>
        <v>0</v>
      </c>
      <c r="AV350">
        <f t="shared" si="282"/>
        <v>0</v>
      </c>
      <c r="AW350">
        <f t="shared" si="283"/>
        <v>0</v>
      </c>
      <c r="AX350">
        <f t="shared" si="284"/>
        <v>0</v>
      </c>
      <c r="AY350">
        <f t="shared" si="285"/>
        <v>0</v>
      </c>
      <c r="AZ350">
        <f t="shared" si="286"/>
        <v>0</v>
      </c>
      <c r="BA350">
        <f t="shared" si="287"/>
        <v>0</v>
      </c>
      <c r="BB350">
        <f t="shared" si="288"/>
        <v>0</v>
      </c>
      <c r="BC350">
        <f t="shared" si="289"/>
        <v>0</v>
      </c>
      <c r="BD350">
        <f t="shared" si="290"/>
        <v>2500</v>
      </c>
      <c r="BE350">
        <f t="shared" si="291"/>
        <v>25000</v>
      </c>
      <c r="BF350">
        <f t="shared" si="292"/>
        <v>0</v>
      </c>
      <c r="BG350">
        <f t="shared" si="293"/>
        <v>0</v>
      </c>
      <c r="BH350">
        <f t="shared" si="294"/>
        <v>0</v>
      </c>
      <c r="BI350">
        <f t="shared" si="295"/>
        <v>0</v>
      </c>
      <c r="BJ350">
        <f t="shared" si="296"/>
        <v>0</v>
      </c>
      <c r="BK350">
        <f t="shared" si="297"/>
        <v>0</v>
      </c>
      <c r="BL350">
        <v>0</v>
      </c>
      <c r="BM350" t="str">
        <f t="shared" si="302"/>
        <v>Big Win</v>
      </c>
      <c r="BN350" s="32" t="str">
        <f t="shared" si="303"/>
        <v>Bonus Game A</v>
      </c>
      <c r="BO350">
        <f>(D350/Summary!$C$4-Summary!$C$8)^2*E350</f>
        <v>210222.25</v>
      </c>
      <c r="BP350">
        <f t="shared" si="298"/>
        <v>0</v>
      </c>
      <c r="BQ350">
        <f t="shared" si="299"/>
        <v>0</v>
      </c>
      <c r="BR350">
        <f t="shared" si="300"/>
        <v>0</v>
      </c>
      <c r="BS350">
        <f t="shared" si="301"/>
        <v>0</v>
      </c>
    </row>
    <row r="351" spans="2:71">
      <c r="B351" s="16">
        <f>Tiers!B352</f>
        <v>349</v>
      </c>
      <c r="C351" s="131" t="str">
        <f>Tiers!Y352</f>
        <v>bonusA-1||||||||| x 1</v>
      </c>
      <c r="D351" s="18">
        <f>Tiers!C352</f>
        <v>15</v>
      </c>
      <c r="E351" s="19">
        <f>Frequency!E353</f>
        <v>2800</v>
      </c>
      <c r="F351" s="19">
        <f t="shared" si="255"/>
        <v>42000</v>
      </c>
      <c r="G351" s="19">
        <f>IF(Tiers!D352&gt;1,'Data Analysis'!E351,0)</f>
        <v>0</v>
      </c>
      <c r="H351" s="19">
        <f t="shared" si="256"/>
        <v>0</v>
      </c>
      <c r="I351" s="19">
        <f>IF(AND(D351/Summary!$C$4&gt;0, D351/Summary!$C$4&lt;5),E351,0) * D351</f>
        <v>0</v>
      </c>
      <c r="J351" s="19">
        <f>IF(AND(D351/Summary!$C$4&gt;= 5, D351/Summary!$C$4&lt;10),E351,0) * D351</f>
        <v>0</v>
      </c>
      <c r="K351" s="19">
        <f>IF(AND(D351/Summary!$C$4&gt;=10, D351/Summary!$C$4&lt;25),E351,0)*D351</f>
        <v>42000</v>
      </c>
      <c r="L351" s="19">
        <f>IF(D351/Summary!$C$4&gt;=25,E351,0)*D351</f>
        <v>0</v>
      </c>
      <c r="M351" s="27">
        <f>IF(AND(D351/Summary!$C$4&gt;0, D351/Summary!$C$4&lt;1),E351,0)</f>
        <v>0</v>
      </c>
      <c r="N351" s="27">
        <f t="shared" si="257"/>
        <v>0</v>
      </c>
      <c r="O351" s="27">
        <f>IF(D351/Summary!$C$4=1,1,0)*E351</f>
        <v>0</v>
      </c>
      <c r="P351" s="27">
        <f t="shared" si="258"/>
        <v>0</v>
      </c>
      <c r="Q351" s="27">
        <f>IF(AND(D351/Summary!$C$4&gt;1, D351/Summary!$C$4&lt;=2),1,0)*E351</f>
        <v>0</v>
      </c>
      <c r="R351" s="27">
        <f t="shared" si="259"/>
        <v>0</v>
      </c>
      <c r="S351" s="27">
        <f>IF(AND(D351/Summary!$C$4&gt;2,D351/Summary!$C$4&lt;=5),1,0)*E351</f>
        <v>0</v>
      </c>
      <c r="T351" s="27">
        <f t="shared" si="260"/>
        <v>0</v>
      </c>
      <c r="U351" s="27">
        <f>IF(AND(D351/Summary!$C$4&gt;5, D351/Summary!$C$4&lt;=10),1,0)*E351</f>
        <v>0</v>
      </c>
      <c r="V351" s="27">
        <f t="shared" si="261"/>
        <v>0</v>
      </c>
      <c r="W351" s="27">
        <f>IF(AND(D351/Summary!$C$4&gt;10, D351/Summary!$C$4&lt;=20),1,0)*E351</f>
        <v>2800</v>
      </c>
      <c r="X351" s="27">
        <f t="shared" si="262"/>
        <v>42000</v>
      </c>
      <c r="Y351" s="27">
        <f>IF(AND(D351/Summary!$C$4&gt;20, D351/Summary!$C$4&lt;=30),1,0)*E351</f>
        <v>0</v>
      </c>
      <c r="Z351" s="27">
        <f t="shared" si="263"/>
        <v>0</v>
      </c>
      <c r="AA351" s="27">
        <f>IF(AND(D351/Summary!$C$4&gt;30, D351/Summary!$C$4&lt;=50),1,0)*E351</f>
        <v>0</v>
      </c>
      <c r="AB351" s="27">
        <f t="shared" si="264"/>
        <v>0</v>
      </c>
      <c r="AC351" s="27">
        <f>IF(AND(D351/Summary!$C$4&gt;50, D351/Summary!$C$4&lt;=100),1,0)*E351</f>
        <v>0</v>
      </c>
      <c r="AD351" s="27">
        <f t="shared" si="265"/>
        <v>0</v>
      </c>
      <c r="AE351" s="27">
        <f>IF(D351/Summary!$C$4&gt;100,1,0)*E351</f>
        <v>0</v>
      </c>
      <c r="AF351" s="27">
        <f t="shared" si="266"/>
        <v>0</v>
      </c>
      <c r="AG351" s="19">
        <f t="shared" si="267"/>
        <v>0</v>
      </c>
      <c r="AH351" s="19">
        <f t="shared" si="268"/>
        <v>2800</v>
      </c>
      <c r="AI351" s="19">
        <f t="shared" si="269"/>
        <v>0</v>
      </c>
      <c r="AJ351" s="27">
        <f t="shared" si="270"/>
        <v>0</v>
      </c>
      <c r="AK351" s="27">
        <f t="shared" si="271"/>
        <v>0</v>
      </c>
      <c r="AL351" s="27">
        <f t="shared" si="272"/>
        <v>0</v>
      </c>
      <c r="AM351">
        <f t="shared" si="273"/>
        <v>0</v>
      </c>
      <c r="AN351">
        <f t="shared" si="274"/>
        <v>0</v>
      </c>
      <c r="AO351">
        <f t="shared" si="275"/>
        <v>0</v>
      </c>
      <c r="AP351">
        <f t="shared" si="276"/>
        <v>0</v>
      </c>
      <c r="AQ351">
        <f t="shared" si="277"/>
        <v>0</v>
      </c>
      <c r="AR351">
        <f t="shared" si="278"/>
        <v>0</v>
      </c>
      <c r="AS351">
        <f t="shared" si="279"/>
        <v>0</v>
      </c>
      <c r="AT351">
        <f t="shared" si="280"/>
        <v>0</v>
      </c>
      <c r="AU351">
        <f t="shared" si="281"/>
        <v>0</v>
      </c>
      <c r="AV351">
        <f t="shared" si="282"/>
        <v>0</v>
      </c>
      <c r="AW351">
        <f t="shared" si="283"/>
        <v>0</v>
      </c>
      <c r="AX351">
        <f t="shared" si="284"/>
        <v>0</v>
      </c>
      <c r="AY351">
        <f t="shared" si="285"/>
        <v>0</v>
      </c>
      <c r="AZ351">
        <f t="shared" si="286"/>
        <v>0</v>
      </c>
      <c r="BA351">
        <f t="shared" si="287"/>
        <v>0</v>
      </c>
      <c r="BB351">
        <f t="shared" si="288"/>
        <v>0</v>
      </c>
      <c r="BC351">
        <f t="shared" si="289"/>
        <v>0</v>
      </c>
      <c r="BD351">
        <f t="shared" si="290"/>
        <v>2800</v>
      </c>
      <c r="BE351">
        <f t="shared" si="291"/>
        <v>42000</v>
      </c>
      <c r="BF351">
        <f t="shared" si="292"/>
        <v>0</v>
      </c>
      <c r="BG351">
        <f t="shared" si="293"/>
        <v>0</v>
      </c>
      <c r="BH351">
        <f t="shared" si="294"/>
        <v>0</v>
      </c>
      <c r="BI351">
        <f t="shared" si="295"/>
        <v>0</v>
      </c>
      <c r="BJ351">
        <f t="shared" si="296"/>
        <v>0</v>
      </c>
      <c r="BK351">
        <f t="shared" si="297"/>
        <v>0</v>
      </c>
      <c r="BL351">
        <v>0</v>
      </c>
      <c r="BM351" t="str">
        <f t="shared" si="302"/>
        <v>Big Win</v>
      </c>
      <c r="BN351" s="32" t="str">
        <f t="shared" si="303"/>
        <v>Bonus Game A</v>
      </c>
      <c r="BO351">
        <f>(D351/Summary!$C$4-Summary!$C$8)^2*E351</f>
        <v>562208.91999999993</v>
      </c>
      <c r="BP351">
        <f t="shared" si="298"/>
        <v>0</v>
      </c>
      <c r="BQ351">
        <f t="shared" si="299"/>
        <v>0</v>
      </c>
      <c r="BR351">
        <f t="shared" si="300"/>
        <v>0</v>
      </c>
      <c r="BS351">
        <f t="shared" si="301"/>
        <v>0</v>
      </c>
    </row>
    <row r="352" spans="2:71">
      <c r="B352" s="16">
        <f>Tiers!B353</f>
        <v>350</v>
      </c>
      <c r="C352" s="131" t="str">
        <f>Tiers!Y353</f>
        <v>bonusA-2||||||||| x 1</v>
      </c>
      <c r="D352" s="18">
        <f>Tiers!C353</f>
        <v>20</v>
      </c>
      <c r="E352" s="19">
        <f>Frequency!E354</f>
        <v>3000</v>
      </c>
      <c r="F352" s="19">
        <f t="shared" si="255"/>
        <v>60000</v>
      </c>
      <c r="G352" s="19">
        <f>IF(Tiers!D353&gt;1,'Data Analysis'!E352,0)</f>
        <v>0</v>
      </c>
      <c r="H352" s="19">
        <f t="shared" si="256"/>
        <v>0</v>
      </c>
      <c r="I352" s="19">
        <f>IF(AND(D352/Summary!$C$4&gt;0, D352/Summary!$C$4&lt;5),E352,0) * D352</f>
        <v>0</v>
      </c>
      <c r="J352" s="19">
        <f>IF(AND(D352/Summary!$C$4&gt;= 5, D352/Summary!$C$4&lt;10),E352,0) * D352</f>
        <v>0</v>
      </c>
      <c r="K352" s="19">
        <f>IF(AND(D352/Summary!$C$4&gt;=10, D352/Summary!$C$4&lt;25),E352,0)*D352</f>
        <v>60000</v>
      </c>
      <c r="L352" s="19">
        <f>IF(D352/Summary!$C$4&gt;=25,E352,0)*D352</f>
        <v>0</v>
      </c>
      <c r="M352" s="27">
        <f>IF(AND(D352/Summary!$C$4&gt;0, D352/Summary!$C$4&lt;1),E352,0)</f>
        <v>0</v>
      </c>
      <c r="N352" s="27">
        <f t="shared" si="257"/>
        <v>0</v>
      </c>
      <c r="O352" s="27">
        <f>IF(D352/Summary!$C$4=1,1,0)*E352</f>
        <v>0</v>
      </c>
      <c r="P352" s="27">
        <f t="shared" si="258"/>
        <v>0</v>
      </c>
      <c r="Q352" s="27">
        <f>IF(AND(D352/Summary!$C$4&gt;1, D352/Summary!$C$4&lt;=2),1,0)*E352</f>
        <v>0</v>
      </c>
      <c r="R352" s="27">
        <f t="shared" si="259"/>
        <v>0</v>
      </c>
      <c r="S352" s="27">
        <f>IF(AND(D352/Summary!$C$4&gt;2,D352/Summary!$C$4&lt;=5),1,0)*E352</f>
        <v>0</v>
      </c>
      <c r="T352" s="27">
        <f t="shared" si="260"/>
        <v>0</v>
      </c>
      <c r="U352" s="27">
        <f>IF(AND(D352/Summary!$C$4&gt;5, D352/Summary!$C$4&lt;=10),1,0)*E352</f>
        <v>0</v>
      </c>
      <c r="V352" s="27">
        <f t="shared" si="261"/>
        <v>0</v>
      </c>
      <c r="W352" s="27">
        <f>IF(AND(D352/Summary!$C$4&gt;10, D352/Summary!$C$4&lt;=20),1,0)*E352</f>
        <v>3000</v>
      </c>
      <c r="X352" s="27">
        <f t="shared" si="262"/>
        <v>60000</v>
      </c>
      <c r="Y352" s="27">
        <f>IF(AND(D352/Summary!$C$4&gt;20, D352/Summary!$C$4&lt;=30),1,0)*E352</f>
        <v>0</v>
      </c>
      <c r="Z352" s="27">
        <f t="shared" si="263"/>
        <v>0</v>
      </c>
      <c r="AA352" s="27">
        <f>IF(AND(D352/Summary!$C$4&gt;30, D352/Summary!$C$4&lt;=50),1,0)*E352</f>
        <v>0</v>
      </c>
      <c r="AB352" s="27">
        <f t="shared" si="264"/>
        <v>0</v>
      </c>
      <c r="AC352" s="27">
        <f>IF(AND(D352/Summary!$C$4&gt;50, D352/Summary!$C$4&lt;=100),1,0)*E352</f>
        <v>0</v>
      </c>
      <c r="AD352" s="27">
        <f t="shared" si="265"/>
        <v>0</v>
      </c>
      <c r="AE352" s="27">
        <f>IF(D352/Summary!$C$4&gt;100,1,0)*E352</f>
        <v>0</v>
      </c>
      <c r="AF352" s="27">
        <f t="shared" si="266"/>
        <v>0</v>
      </c>
      <c r="AG352" s="19">
        <f t="shared" si="267"/>
        <v>0</v>
      </c>
      <c r="AH352" s="19">
        <f t="shared" si="268"/>
        <v>3000</v>
      </c>
      <c r="AI352" s="19">
        <f t="shared" si="269"/>
        <v>0</v>
      </c>
      <c r="AJ352" s="27">
        <f t="shared" si="270"/>
        <v>0</v>
      </c>
      <c r="AK352" s="27">
        <f t="shared" si="271"/>
        <v>0</v>
      </c>
      <c r="AL352" s="27">
        <f t="shared" si="272"/>
        <v>0</v>
      </c>
      <c r="AM352">
        <f t="shared" si="273"/>
        <v>0</v>
      </c>
      <c r="AN352">
        <f t="shared" si="274"/>
        <v>0</v>
      </c>
      <c r="AO352">
        <f t="shared" si="275"/>
        <v>0</v>
      </c>
      <c r="AP352">
        <f t="shared" si="276"/>
        <v>0</v>
      </c>
      <c r="AQ352">
        <f t="shared" si="277"/>
        <v>0</v>
      </c>
      <c r="AR352">
        <f t="shared" si="278"/>
        <v>0</v>
      </c>
      <c r="AS352">
        <f t="shared" si="279"/>
        <v>0</v>
      </c>
      <c r="AT352">
        <f t="shared" si="280"/>
        <v>0</v>
      </c>
      <c r="AU352">
        <f t="shared" si="281"/>
        <v>0</v>
      </c>
      <c r="AV352">
        <f t="shared" si="282"/>
        <v>0</v>
      </c>
      <c r="AW352">
        <f t="shared" si="283"/>
        <v>0</v>
      </c>
      <c r="AX352">
        <f t="shared" si="284"/>
        <v>0</v>
      </c>
      <c r="AY352">
        <f t="shared" si="285"/>
        <v>0</v>
      </c>
      <c r="AZ352">
        <f t="shared" si="286"/>
        <v>0</v>
      </c>
      <c r="BA352">
        <f t="shared" si="287"/>
        <v>0</v>
      </c>
      <c r="BB352">
        <f t="shared" si="288"/>
        <v>0</v>
      </c>
      <c r="BC352">
        <f t="shared" si="289"/>
        <v>0</v>
      </c>
      <c r="BD352">
        <f t="shared" si="290"/>
        <v>3000</v>
      </c>
      <c r="BE352">
        <f t="shared" si="291"/>
        <v>60000</v>
      </c>
      <c r="BF352">
        <f t="shared" si="292"/>
        <v>0</v>
      </c>
      <c r="BG352">
        <f t="shared" si="293"/>
        <v>0</v>
      </c>
      <c r="BH352">
        <f t="shared" si="294"/>
        <v>0</v>
      </c>
      <c r="BI352">
        <f t="shared" si="295"/>
        <v>0</v>
      </c>
      <c r="BJ352">
        <f t="shared" si="296"/>
        <v>0</v>
      </c>
      <c r="BK352">
        <f t="shared" si="297"/>
        <v>0</v>
      </c>
      <c r="BL352">
        <v>0</v>
      </c>
      <c r="BM352" t="str">
        <f t="shared" si="302"/>
        <v>Big Win</v>
      </c>
      <c r="BN352" s="32" t="str">
        <f t="shared" si="303"/>
        <v>Bonus Game A</v>
      </c>
      <c r="BO352">
        <f>(D352/Summary!$C$4-Summary!$C$8)^2*E352</f>
        <v>1102466.7000000002</v>
      </c>
      <c r="BP352">
        <f t="shared" si="298"/>
        <v>0</v>
      </c>
      <c r="BQ352">
        <f t="shared" si="299"/>
        <v>0</v>
      </c>
      <c r="BR352">
        <f t="shared" si="300"/>
        <v>0</v>
      </c>
      <c r="BS352">
        <f t="shared" si="301"/>
        <v>0</v>
      </c>
    </row>
    <row r="353" spans="2:71">
      <c r="B353" s="16">
        <f>Tiers!B354</f>
        <v>351</v>
      </c>
      <c r="C353" s="131" t="str">
        <f>Tiers!Y354</f>
        <v>bonusA-3||||||||| x 1</v>
      </c>
      <c r="D353" s="18">
        <f>Tiers!C354</f>
        <v>25</v>
      </c>
      <c r="E353" s="19">
        <f>Frequency!E355</f>
        <v>1500</v>
      </c>
      <c r="F353" s="19">
        <f t="shared" si="255"/>
        <v>37500</v>
      </c>
      <c r="G353" s="19">
        <f>IF(Tiers!D354&gt;1,'Data Analysis'!E353,0)</f>
        <v>0</v>
      </c>
      <c r="H353" s="19">
        <f t="shared" si="256"/>
        <v>0</v>
      </c>
      <c r="I353" s="19">
        <f>IF(AND(D353/Summary!$C$4&gt;0, D353/Summary!$C$4&lt;5),E353,0) * D353</f>
        <v>0</v>
      </c>
      <c r="J353" s="19">
        <f>IF(AND(D353/Summary!$C$4&gt;= 5, D353/Summary!$C$4&lt;10),E353,0) * D353</f>
        <v>0</v>
      </c>
      <c r="K353" s="19">
        <f>IF(AND(D353/Summary!$C$4&gt;=10, D353/Summary!$C$4&lt;25),E353,0)*D353</f>
        <v>0</v>
      </c>
      <c r="L353" s="19">
        <f>IF(D353/Summary!$C$4&gt;=25,E353,0)*D353</f>
        <v>37500</v>
      </c>
      <c r="M353" s="27">
        <f>IF(AND(D353/Summary!$C$4&gt;0, D353/Summary!$C$4&lt;1),E353,0)</f>
        <v>0</v>
      </c>
      <c r="N353" s="27">
        <f t="shared" si="257"/>
        <v>0</v>
      </c>
      <c r="O353" s="27">
        <f>IF(D353/Summary!$C$4=1,1,0)*E353</f>
        <v>0</v>
      </c>
      <c r="P353" s="27">
        <f t="shared" si="258"/>
        <v>0</v>
      </c>
      <c r="Q353" s="27">
        <f>IF(AND(D353/Summary!$C$4&gt;1, D353/Summary!$C$4&lt;=2),1,0)*E353</f>
        <v>0</v>
      </c>
      <c r="R353" s="27">
        <f t="shared" si="259"/>
        <v>0</v>
      </c>
      <c r="S353" s="27">
        <f>IF(AND(D353/Summary!$C$4&gt;2,D353/Summary!$C$4&lt;=5),1,0)*E353</f>
        <v>0</v>
      </c>
      <c r="T353" s="27">
        <f t="shared" si="260"/>
        <v>0</v>
      </c>
      <c r="U353" s="27">
        <f>IF(AND(D353/Summary!$C$4&gt;5, D353/Summary!$C$4&lt;=10),1,0)*E353</f>
        <v>0</v>
      </c>
      <c r="V353" s="27">
        <f t="shared" si="261"/>
        <v>0</v>
      </c>
      <c r="W353" s="27">
        <f>IF(AND(D353/Summary!$C$4&gt;10, D353/Summary!$C$4&lt;=20),1,0)*E353</f>
        <v>0</v>
      </c>
      <c r="X353" s="27">
        <f t="shared" si="262"/>
        <v>0</v>
      </c>
      <c r="Y353" s="27">
        <f>IF(AND(D353/Summary!$C$4&gt;20, D353/Summary!$C$4&lt;=30),1,0)*E353</f>
        <v>1500</v>
      </c>
      <c r="Z353" s="27">
        <f t="shared" si="263"/>
        <v>37500</v>
      </c>
      <c r="AA353" s="27">
        <f>IF(AND(D353/Summary!$C$4&gt;30, D353/Summary!$C$4&lt;=50),1,0)*E353</f>
        <v>0</v>
      </c>
      <c r="AB353" s="27">
        <f t="shared" si="264"/>
        <v>0</v>
      </c>
      <c r="AC353" s="27">
        <f>IF(AND(D353/Summary!$C$4&gt;50, D353/Summary!$C$4&lt;=100),1,0)*E353</f>
        <v>0</v>
      </c>
      <c r="AD353" s="27">
        <f t="shared" si="265"/>
        <v>0</v>
      </c>
      <c r="AE353" s="27">
        <f>IF(D353/Summary!$C$4&gt;100,1,0)*E353</f>
        <v>0</v>
      </c>
      <c r="AF353" s="27">
        <f t="shared" si="266"/>
        <v>0</v>
      </c>
      <c r="AG353" s="19">
        <f t="shared" si="267"/>
        <v>0</v>
      </c>
      <c r="AH353" s="19">
        <f t="shared" si="268"/>
        <v>1500</v>
      </c>
      <c r="AI353" s="19">
        <f t="shared" si="269"/>
        <v>0</v>
      </c>
      <c r="AJ353" s="27">
        <f t="shared" si="270"/>
        <v>0</v>
      </c>
      <c r="AK353" s="27">
        <f t="shared" si="271"/>
        <v>0</v>
      </c>
      <c r="AL353" s="27">
        <f t="shared" si="272"/>
        <v>0</v>
      </c>
      <c r="AM353">
        <f t="shared" si="273"/>
        <v>0</v>
      </c>
      <c r="AN353">
        <f t="shared" si="274"/>
        <v>0</v>
      </c>
      <c r="AO353">
        <f t="shared" si="275"/>
        <v>0</v>
      </c>
      <c r="AP353">
        <f t="shared" si="276"/>
        <v>0</v>
      </c>
      <c r="AQ353">
        <f t="shared" si="277"/>
        <v>0</v>
      </c>
      <c r="AR353">
        <f t="shared" si="278"/>
        <v>0</v>
      </c>
      <c r="AS353">
        <f t="shared" si="279"/>
        <v>0</v>
      </c>
      <c r="AT353">
        <f t="shared" si="280"/>
        <v>0</v>
      </c>
      <c r="AU353">
        <f t="shared" si="281"/>
        <v>0</v>
      </c>
      <c r="AV353">
        <f t="shared" si="282"/>
        <v>0</v>
      </c>
      <c r="AW353">
        <f t="shared" si="283"/>
        <v>0</v>
      </c>
      <c r="AX353">
        <f t="shared" si="284"/>
        <v>0</v>
      </c>
      <c r="AY353">
        <f t="shared" si="285"/>
        <v>0</v>
      </c>
      <c r="AZ353">
        <f t="shared" si="286"/>
        <v>0</v>
      </c>
      <c r="BA353">
        <f t="shared" si="287"/>
        <v>0</v>
      </c>
      <c r="BB353">
        <f t="shared" si="288"/>
        <v>0</v>
      </c>
      <c r="BC353">
        <f t="shared" si="289"/>
        <v>0</v>
      </c>
      <c r="BD353">
        <f t="shared" si="290"/>
        <v>1500</v>
      </c>
      <c r="BE353">
        <f t="shared" si="291"/>
        <v>37500</v>
      </c>
      <c r="BF353">
        <f t="shared" si="292"/>
        <v>0</v>
      </c>
      <c r="BG353">
        <f t="shared" si="293"/>
        <v>0</v>
      </c>
      <c r="BH353">
        <f t="shared" si="294"/>
        <v>0</v>
      </c>
      <c r="BI353">
        <f t="shared" si="295"/>
        <v>0</v>
      </c>
      <c r="BJ353">
        <f t="shared" si="296"/>
        <v>0</v>
      </c>
      <c r="BK353">
        <f t="shared" si="297"/>
        <v>0</v>
      </c>
      <c r="BL353">
        <v>0</v>
      </c>
      <c r="BM353" t="str">
        <f t="shared" si="302"/>
        <v>Big Win</v>
      </c>
      <c r="BN353" s="32" t="str">
        <f t="shared" si="303"/>
        <v>Bonus Game A</v>
      </c>
      <c r="BO353">
        <f>(D353/Summary!$C$4-Summary!$C$8)^2*E353</f>
        <v>876283.35000000021</v>
      </c>
      <c r="BP353">
        <f t="shared" si="298"/>
        <v>0</v>
      </c>
      <c r="BQ353">
        <f t="shared" si="299"/>
        <v>0</v>
      </c>
      <c r="BR353">
        <f t="shared" si="300"/>
        <v>0</v>
      </c>
      <c r="BS353">
        <f t="shared" si="301"/>
        <v>0</v>
      </c>
    </row>
    <row r="354" spans="2:71">
      <c r="B354" s="16">
        <f>Tiers!B355</f>
        <v>352</v>
      </c>
      <c r="C354" s="131" t="str">
        <f>Tiers!Y355</f>
        <v>bonusA-4||||||||| x 1</v>
      </c>
      <c r="D354" s="18">
        <f>Tiers!C355</f>
        <v>30</v>
      </c>
      <c r="E354" s="19">
        <f>Frequency!E356</f>
        <v>800</v>
      </c>
      <c r="F354" s="19">
        <f t="shared" si="255"/>
        <v>24000</v>
      </c>
      <c r="G354" s="19">
        <f>IF(Tiers!D355&gt;1,'Data Analysis'!E354,0)</f>
        <v>0</v>
      </c>
      <c r="H354" s="19">
        <f t="shared" si="256"/>
        <v>0</v>
      </c>
      <c r="I354" s="19">
        <f>IF(AND(D354/Summary!$C$4&gt;0, D354/Summary!$C$4&lt;5),E354,0) * D354</f>
        <v>0</v>
      </c>
      <c r="J354" s="19">
        <f>IF(AND(D354/Summary!$C$4&gt;= 5, D354/Summary!$C$4&lt;10),E354,0) * D354</f>
        <v>0</v>
      </c>
      <c r="K354" s="19">
        <f>IF(AND(D354/Summary!$C$4&gt;=10, D354/Summary!$C$4&lt;25),E354,0)*D354</f>
        <v>0</v>
      </c>
      <c r="L354" s="19">
        <f>IF(D354/Summary!$C$4&gt;=25,E354,0)*D354</f>
        <v>24000</v>
      </c>
      <c r="M354" s="27">
        <f>IF(AND(D354/Summary!$C$4&gt;0, D354/Summary!$C$4&lt;1),E354,0)</f>
        <v>0</v>
      </c>
      <c r="N354" s="27">
        <f t="shared" si="257"/>
        <v>0</v>
      </c>
      <c r="O354" s="27">
        <f>IF(D354/Summary!$C$4=1,1,0)*E354</f>
        <v>0</v>
      </c>
      <c r="P354" s="27">
        <f t="shared" si="258"/>
        <v>0</v>
      </c>
      <c r="Q354" s="27">
        <f>IF(AND(D354/Summary!$C$4&gt;1, D354/Summary!$C$4&lt;=2),1,0)*E354</f>
        <v>0</v>
      </c>
      <c r="R354" s="27">
        <f t="shared" si="259"/>
        <v>0</v>
      </c>
      <c r="S354" s="27">
        <f>IF(AND(D354/Summary!$C$4&gt;2,D354/Summary!$C$4&lt;=5),1,0)*E354</f>
        <v>0</v>
      </c>
      <c r="T354" s="27">
        <f t="shared" si="260"/>
        <v>0</v>
      </c>
      <c r="U354" s="27">
        <f>IF(AND(D354/Summary!$C$4&gt;5, D354/Summary!$C$4&lt;=10),1,0)*E354</f>
        <v>0</v>
      </c>
      <c r="V354" s="27">
        <f t="shared" si="261"/>
        <v>0</v>
      </c>
      <c r="W354" s="27">
        <f>IF(AND(D354/Summary!$C$4&gt;10, D354/Summary!$C$4&lt;=20),1,0)*E354</f>
        <v>0</v>
      </c>
      <c r="X354" s="27">
        <f t="shared" si="262"/>
        <v>0</v>
      </c>
      <c r="Y354" s="27">
        <f>IF(AND(D354/Summary!$C$4&gt;20, D354/Summary!$C$4&lt;=30),1,0)*E354</f>
        <v>800</v>
      </c>
      <c r="Z354" s="27">
        <f t="shared" si="263"/>
        <v>24000</v>
      </c>
      <c r="AA354" s="27">
        <f>IF(AND(D354/Summary!$C$4&gt;30, D354/Summary!$C$4&lt;=50),1,0)*E354</f>
        <v>0</v>
      </c>
      <c r="AB354" s="27">
        <f t="shared" si="264"/>
        <v>0</v>
      </c>
      <c r="AC354" s="27">
        <f>IF(AND(D354/Summary!$C$4&gt;50, D354/Summary!$C$4&lt;=100),1,0)*E354</f>
        <v>0</v>
      </c>
      <c r="AD354" s="27">
        <f t="shared" si="265"/>
        <v>0</v>
      </c>
      <c r="AE354" s="27">
        <f>IF(D354/Summary!$C$4&gt;100,1,0)*E354</f>
        <v>0</v>
      </c>
      <c r="AF354" s="27">
        <f t="shared" si="266"/>
        <v>0</v>
      </c>
      <c r="AG354" s="19">
        <f t="shared" si="267"/>
        <v>0</v>
      </c>
      <c r="AH354" s="19">
        <f t="shared" si="268"/>
        <v>800</v>
      </c>
      <c r="AI354" s="19">
        <f t="shared" si="269"/>
        <v>0</v>
      </c>
      <c r="AJ354" s="27">
        <f t="shared" si="270"/>
        <v>0</v>
      </c>
      <c r="AK354" s="27">
        <f t="shared" si="271"/>
        <v>0</v>
      </c>
      <c r="AL354" s="27">
        <f t="shared" si="272"/>
        <v>0</v>
      </c>
      <c r="AM354">
        <f t="shared" si="273"/>
        <v>0</v>
      </c>
      <c r="AN354">
        <f t="shared" si="274"/>
        <v>0</v>
      </c>
      <c r="AO354">
        <f t="shared" si="275"/>
        <v>0</v>
      </c>
      <c r="AP354">
        <f t="shared" si="276"/>
        <v>0</v>
      </c>
      <c r="AQ354">
        <f t="shared" si="277"/>
        <v>0</v>
      </c>
      <c r="AR354">
        <f t="shared" si="278"/>
        <v>0</v>
      </c>
      <c r="AS354">
        <f t="shared" si="279"/>
        <v>0</v>
      </c>
      <c r="AT354">
        <f t="shared" si="280"/>
        <v>0</v>
      </c>
      <c r="AU354">
        <f t="shared" si="281"/>
        <v>0</v>
      </c>
      <c r="AV354">
        <f t="shared" si="282"/>
        <v>0</v>
      </c>
      <c r="AW354">
        <f t="shared" si="283"/>
        <v>0</v>
      </c>
      <c r="AX354">
        <f t="shared" si="284"/>
        <v>0</v>
      </c>
      <c r="AY354">
        <f t="shared" si="285"/>
        <v>0</v>
      </c>
      <c r="AZ354">
        <f t="shared" si="286"/>
        <v>0</v>
      </c>
      <c r="BA354">
        <f t="shared" si="287"/>
        <v>0</v>
      </c>
      <c r="BB354">
        <f t="shared" si="288"/>
        <v>0</v>
      </c>
      <c r="BC354">
        <f t="shared" si="289"/>
        <v>0</v>
      </c>
      <c r="BD354">
        <f t="shared" si="290"/>
        <v>800</v>
      </c>
      <c r="BE354">
        <f t="shared" si="291"/>
        <v>24000</v>
      </c>
      <c r="BF354">
        <f t="shared" si="292"/>
        <v>0</v>
      </c>
      <c r="BG354">
        <f t="shared" si="293"/>
        <v>0</v>
      </c>
      <c r="BH354">
        <f t="shared" si="294"/>
        <v>0</v>
      </c>
      <c r="BI354">
        <f t="shared" si="295"/>
        <v>0</v>
      </c>
      <c r="BJ354">
        <f t="shared" si="296"/>
        <v>0</v>
      </c>
      <c r="BK354">
        <f t="shared" si="297"/>
        <v>0</v>
      </c>
      <c r="BL354">
        <v>0</v>
      </c>
      <c r="BM354" t="str">
        <f t="shared" si="302"/>
        <v>Big Win</v>
      </c>
      <c r="BN354" s="32" t="str">
        <f t="shared" si="303"/>
        <v>Bonus Game A</v>
      </c>
      <c r="BO354">
        <f>(D354/Summary!$C$4-Summary!$C$8)^2*E354</f>
        <v>680711.12000000011</v>
      </c>
      <c r="BP354">
        <f t="shared" si="298"/>
        <v>0</v>
      </c>
      <c r="BQ354">
        <f t="shared" si="299"/>
        <v>0</v>
      </c>
      <c r="BR354">
        <f t="shared" si="300"/>
        <v>0</v>
      </c>
      <c r="BS354">
        <f t="shared" si="301"/>
        <v>0</v>
      </c>
    </row>
    <row r="355" spans="2:71">
      <c r="B355" s="16">
        <f>Tiers!B356</f>
        <v>353</v>
      </c>
      <c r="C355" s="131" t="str">
        <f>Tiers!Y356</f>
        <v>bonusA-5||||||||| x 1</v>
      </c>
      <c r="D355" s="18">
        <f>Tiers!C356</f>
        <v>50</v>
      </c>
      <c r="E355" s="19">
        <f>Frequency!E357</f>
        <v>600</v>
      </c>
      <c r="F355" s="19">
        <f t="shared" si="255"/>
        <v>30000</v>
      </c>
      <c r="G355" s="19">
        <f>IF(Tiers!D356&gt;1,'Data Analysis'!E355,0)</f>
        <v>0</v>
      </c>
      <c r="H355" s="19">
        <f t="shared" si="256"/>
        <v>0</v>
      </c>
      <c r="I355" s="19">
        <f>IF(AND(D355/Summary!$C$4&gt;0, D355/Summary!$C$4&lt;5),E355,0) * D355</f>
        <v>0</v>
      </c>
      <c r="J355" s="19">
        <f>IF(AND(D355/Summary!$C$4&gt;= 5, D355/Summary!$C$4&lt;10),E355,0) * D355</f>
        <v>0</v>
      </c>
      <c r="K355" s="19">
        <f>IF(AND(D355/Summary!$C$4&gt;=10, D355/Summary!$C$4&lt;25),E355,0)*D355</f>
        <v>0</v>
      </c>
      <c r="L355" s="19">
        <f>IF(D355/Summary!$C$4&gt;=25,E355,0)*D355</f>
        <v>30000</v>
      </c>
      <c r="M355" s="27">
        <f>IF(AND(D355/Summary!$C$4&gt;0, D355/Summary!$C$4&lt;1),E355,0)</f>
        <v>0</v>
      </c>
      <c r="N355" s="27">
        <f t="shared" si="257"/>
        <v>0</v>
      </c>
      <c r="O355" s="27">
        <f>IF(D355/Summary!$C$4=1,1,0)*E355</f>
        <v>0</v>
      </c>
      <c r="P355" s="27">
        <f t="shared" si="258"/>
        <v>0</v>
      </c>
      <c r="Q355" s="27">
        <f>IF(AND(D355/Summary!$C$4&gt;1, D355/Summary!$C$4&lt;=2),1,0)*E355</f>
        <v>0</v>
      </c>
      <c r="R355" s="27">
        <f t="shared" si="259"/>
        <v>0</v>
      </c>
      <c r="S355" s="27">
        <f>IF(AND(D355/Summary!$C$4&gt;2,D355/Summary!$C$4&lt;=5),1,0)*E355</f>
        <v>0</v>
      </c>
      <c r="T355" s="27">
        <f t="shared" si="260"/>
        <v>0</v>
      </c>
      <c r="U355" s="27">
        <f>IF(AND(D355/Summary!$C$4&gt;5, D355/Summary!$C$4&lt;=10),1,0)*E355</f>
        <v>0</v>
      </c>
      <c r="V355" s="27">
        <f t="shared" si="261"/>
        <v>0</v>
      </c>
      <c r="W355" s="27">
        <f>IF(AND(D355/Summary!$C$4&gt;10, D355/Summary!$C$4&lt;=20),1,0)*E355</f>
        <v>0</v>
      </c>
      <c r="X355" s="27">
        <f t="shared" si="262"/>
        <v>0</v>
      </c>
      <c r="Y355" s="27">
        <f>IF(AND(D355/Summary!$C$4&gt;20, D355/Summary!$C$4&lt;=30),1,0)*E355</f>
        <v>0</v>
      </c>
      <c r="Z355" s="27">
        <f t="shared" si="263"/>
        <v>0</v>
      </c>
      <c r="AA355" s="27">
        <f>IF(AND(D355/Summary!$C$4&gt;30, D355/Summary!$C$4&lt;=50),1,0)*E355</f>
        <v>600</v>
      </c>
      <c r="AB355" s="27">
        <f t="shared" si="264"/>
        <v>30000</v>
      </c>
      <c r="AC355" s="27">
        <f>IF(AND(D355/Summary!$C$4&gt;50, D355/Summary!$C$4&lt;=100),1,0)*E355</f>
        <v>0</v>
      </c>
      <c r="AD355" s="27">
        <f t="shared" si="265"/>
        <v>0</v>
      </c>
      <c r="AE355" s="27">
        <f>IF(D355/Summary!$C$4&gt;100,1,0)*E355</f>
        <v>0</v>
      </c>
      <c r="AF355" s="27">
        <f t="shared" si="266"/>
        <v>0</v>
      </c>
      <c r="AG355" s="19">
        <f t="shared" si="267"/>
        <v>0</v>
      </c>
      <c r="AH355" s="19">
        <f t="shared" si="268"/>
        <v>600</v>
      </c>
      <c r="AI355" s="19">
        <f t="shared" si="269"/>
        <v>0</v>
      </c>
      <c r="AJ355" s="27">
        <f t="shared" si="270"/>
        <v>0</v>
      </c>
      <c r="AK355" s="27">
        <f t="shared" si="271"/>
        <v>0</v>
      </c>
      <c r="AL355" s="27">
        <f t="shared" si="272"/>
        <v>0</v>
      </c>
      <c r="AM355">
        <f t="shared" si="273"/>
        <v>0</v>
      </c>
      <c r="AN355">
        <f t="shared" si="274"/>
        <v>0</v>
      </c>
      <c r="AO355">
        <f t="shared" si="275"/>
        <v>0</v>
      </c>
      <c r="AP355">
        <f t="shared" si="276"/>
        <v>0</v>
      </c>
      <c r="AQ355">
        <f t="shared" si="277"/>
        <v>0</v>
      </c>
      <c r="AR355">
        <f t="shared" si="278"/>
        <v>0</v>
      </c>
      <c r="AS355">
        <f t="shared" si="279"/>
        <v>0</v>
      </c>
      <c r="AT355">
        <f t="shared" si="280"/>
        <v>0</v>
      </c>
      <c r="AU355">
        <f t="shared" si="281"/>
        <v>0</v>
      </c>
      <c r="AV355">
        <f t="shared" si="282"/>
        <v>0</v>
      </c>
      <c r="AW355">
        <f t="shared" si="283"/>
        <v>0</v>
      </c>
      <c r="AX355">
        <f t="shared" si="284"/>
        <v>0</v>
      </c>
      <c r="AY355">
        <f t="shared" si="285"/>
        <v>0</v>
      </c>
      <c r="AZ355">
        <f t="shared" si="286"/>
        <v>0</v>
      </c>
      <c r="BA355">
        <f t="shared" si="287"/>
        <v>0</v>
      </c>
      <c r="BB355">
        <f t="shared" si="288"/>
        <v>0</v>
      </c>
      <c r="BC355">
        <f t="shared" si="289"/>
        <v>0</v>
      </c>
      <c r="BD355">
        <f t="shared" si="290"/>
        <v>600</v>
      </c>
      <c r="BE355">
        <f t="shared" si="291"/>
        <v>30000</v>
      </c>
      <c r="BF355">
        <f t="shared" si="292"/>
        <v>0</v>
      </c>
      <c r="BG355">
        <f t="shared" si="293"/>
        <v>0</v>
      </c>
      <c r="BH355">
        <f t="shared" si="294"/>
        <v>0</v>
      </c>
      <c r="BI355">
        <f t="shared" si="295"/>
        <v>0</v>
      </c>
      <c r="BJ355">
        <f t="shared" si="296"/>
        <v>0</v>
      </c>
      <c r="BK355">
        <f t="shared" si="297"/>
        <v>0</v>
      </c>
      <c r="BL355">
        <v>0</v>
      </c>
      <c r="BM355" t="str">
        <f t="shared" si="302"/>
        <v>Huge Win</v>
      </c>
      <c r="BN355" s="32" t="str">
        <f t="shared" si="303"/>
        <v>Bonus Game A</v>
      </c>
      <c r="BO355">
        <f>(D355/Summary!$C$4-Summary!$C$8)^2*E355</f>
        <v>1450613.34</v>
      </c>
      <c r="BP355">
        <f t="shared" si="298"/>
        <v>0</v>
      </c>
      <c r="BQ355">
        <f t="shared" si="299"/>
        <v>0</v>
      </c>
      <c r="BR355">
        <f t="shared" si="300"/>
        <v>0</v>
      </c>
      <c r="BS355">
        <f t="shared" si="301"/>
        <v>0</v>
      </c>
    </row>
    <row r="356" spans="2:71" s="7" customFormat="1" ht="13.8" customHeight="1" thickBot="1">
      <c r="B356" s="34">
        <f>Tiers!B357</f>
        <v>354</v>
      </c>
      <c r="C356" s="132" t="str">
        <f>Tiers!Y357</f>
        <v>bonusA-6||||||||| x 1</v>
      </c>
      <c r="D356" s="126">
        <f>Tiers!C357</f>
        <v>100</v>
      </c>
      <c r="E356" s="127">
        <f>Frequency!E358</f>
        <v>100</v>
      </c>
      <c r="F356" s="127">
        <f t="shared" si="255"/>
        <v>10000</v>
      </c>
      <c r="G356" s="127">
        <f>IF(Tiers!D357&gt;1,'Data Analysis'!E356,0)</f>
        <v>0</v>
      </c>
      <c r="H356" s="127">
        <f t="shared" si="256"/>
        <v>0</v>
      </c>
      <c r="I356" s="127">
        <f>IF(AND(D356/Summary!$C$4&gt;0, D356/Summary!$C$4&lt;5),E356,0) * D356</f>
        <v>0</v>
      </c>
      <c r="J356" s="127">
        <f>IF(AND(D356/Summary!$C$4&gt;= 5, D356/Summary!$C$4&lt;10),E356,0) * D356</f>
        <v>0</v>
      </c>
      <c r="K356" s="127">
        <f>IF(AND(D356/Summary!$C$4&gt;=10, D356/Summary!$C$4&lt;25),E356,0)*D356</f>
        <v>0</v>
      </c>
      <c r="L356" s="127">
        <f>IF(D356/Summary!$C$4&gt;=25,E356,0)*D356</f>
        <v>10000</v>
      </c>
      <c r="M356" s="128">
        <f>IF(AND(D356/Summary!$C$4&gt;0, D356/Summary!$C$4&lt;1),E356,0)</f>
        <v>0</v>
      </c>
      <c r="N356" s="128">
        <f t="shared" si="257"/>
        <v>0</v>
      </c>
      <c r="O356" s="128">
        <f>IF(D356/Summary!$C$4=1,1,0)*E356</f>
        <v>0</v>
      </c>
      <c r="P356" s="128">
        <f t="shared" si="258"/>
        <v>0</v>
      </c>
      <c r="Q356" s="128">
        <f>IF(AND(D356/Summary!$C$4&gt;1, D356/Summary!$C$4&lt;=2),1,0)*E356</f>
        <v>0</v>
      </c>
      <c r="R356" s="128">
        <f t="shared" si="259"/>
        <v>0</v>
      </c>
      <c r="S356" s="128">
        <f>IF(AND(D356/Summary!$C$4&gt;2,D356/Summary!$C$4&lt;=5),1,0)*E356</f>
        <v>0</v>
      </c>
      <c r="T356" s="128">
        <f t="shared" si="260"/>
        <v>0</v>
      </c>
      <c r="U356" s="128">
        <f>IF(AND(D356/Summary!$C$4&gt;5, D356/Summary!$C$4&lt;=10),1,0)*E356</f>
        <v>0</v>
      </c>
      <c r="V356" s="128">
        <f t="shared" si="261"/>
        <v>0</v>
      </c>
      <c r="W356" s="128">
        <f>IF(AND(D356/Summary!$C$4&gt;10, D356/Summary!$C$4&lt;=20),1,0)*E356</f>
        <v>0</v>
      </c>
      <c r="X356" s="128">
        <f t="shared" si="262"/>
        <v>0</v>
      </c>
      <c r="Y356" s="128">
        <f>IF(AND(D356/Summary!$C$4&gt;20, D356/Summary!$C$4&lt;=30),1,0)*E356</f>
        <v>0</v>
      </c>
      <c r="Z356" s="128">
        <f t="shared" si="263"/>
        <v>0</v>
      </c>
      <c r="AA356" s="128">
        <f>IF(AND(D356/Summary!$C$4&gt;30, D356/Summary!$C$4&lt;=50),1,0)*E356</f>
        <v>0</v>
      </c>
      <c r="AB356" s="128">
        <f t="shared" si="264"/>
        <v>0</v>
      </c>
      <c r="AC356" s="128">
        <f>IF(AND(D356/Summary!$C$4&gt;50, D356/Summary!$C$4&lt;=100),1,0)*E356</f>
        <v>100</v>
      </c>
      <c r="AD356" s="128">
        <f t="shared" si="265"/>
        <v>10000</v>
      </c>
      <c r="AE356" s="128">
        <f>IF(D356/Summary!$C$4&gt;100,1,0)*E356</f>
        <v>0</v>
      </c>
      <c r="AF356" s="128">
        <f t="shared" si="266"/>
        <v>0</v>
      </c>
      <c r="AG356" s="127">
        <f t="shared" si="267"/>
        <v>0</v>
      </c>
      <c r="AH356" s="127">
        <f t="shared" si="268"/>
        <v>100</v>
      </c>
      <c r="AI356" s="127">
        <f t="shared" si="269"/>
        <v>0</v>
      </c>
      <c r="AJ356" s="128">
        <f t="shared" si="270"/>
        <v>0</v>
      </c>
      <c r="AK356" s="128">
        <f t="shared" si="271"/>
        <v>0</v>
      </c>
      <c r="AL356" s="128">
        <f t="shared" si="272"/>
        <v>0</v>
      </c>
      <c r="AM356" s="7">
        <f t="shared" si="273"/>
        <v>0</v>
      </c>
      <c r="AN356" s="7">
        <f t="shared" si="274"/>
        <v>0</v>
      </c>
      <c r="AO356" s="7">
        <f t="shared" si="275"/>
        <v>0</v>
      </c>
      <c r="AP356" s="7">
        <f t="shared" si="276"/>
        <v>0</v>
      </c>
      <c r="AQ356" s="7">
        <f t="shared" si="277"/>
        <v>0</v>
      </c>
      <c r="AR356" s="7">
        <f t="shared" si="278"/>
        <v>0</v>
      </c>
      <c r="AS356" s="7">
        <f t="shared" si="279"/>
        <v>0</v>
      </c>
      <c r="AT356" s="7">
        <f t="shared" si="280"/>
        <v>0</v>
      </c>
      <c r="AU356" s="7">
        <f t="shared" si="281"/>
        <v>0</v>
      </c>
      <c r="AV356" s="7">
        <f t="shared" si="282"/>
        <v>0</v>
      </c>
      <c r="AW356" s="7">
        <f t="shared" si="283"/>
        <v>0</v>
      </c>
      <c r="AX356" s="7">
        <f t="shared" si="284"/>
        <v>0</v>
      </c>
      <c r="AY356" s="7">
        <f t="shared" si="285"/>
        <v>0</v>
      </c>
      <c r="AZ356" s="7">
        <f t="shared" si="286"/>
        <v>0</v>
      </c>
      <c r="BA356" s="7">
        <f t="shared" si="287"/>
        <v>0</v>
      </c>
      <c r="BB356" s="7">
        <f t="shared" si="288"/>
        <v>0</v>
      </c>
      <c r="BC356" s="7">
        <f t="shared" si="289"/>
        <v>0</v>
      </c>
      <c r="BD356" s="7">
        <f t="shared" si="290"/>
        <v>100</v>
      </c>
      <c r="BE356" s="7">
        <f t="shared" si="291"/>
        <v>10000</v>
      </c>
      <c r="BF356" s="7">
        <f t="shared" si="292"/>
        <v>0</v>
      </c>
      <c r="BG356" s="7">
        <f t="shared" si="293"/>
        <v>0</v>
      </c>
      <c r="BH356" s="7">
        <f t="shared" si="294"/>
        <v>0</v>
      </c>
      <c r="BI356" s="7">
        <f t="shared" si="295"/>
        <v>0</v>
      </c>
      <c r="BJ356" s="7">
        <f t="shared" si="296"/>
        <v>0</v>
      </c>
      <c r="BK356" s="7">
        <f t="shared" si="297"/>
        <v>0</v>
      </c>
      <c r="BL356" s="7">
        <v>0</v>
      </c>
      <c r="BM356" s="7" t="str">
        <f t="shared" si="302"/>
        <v>Huge Win</v>
      </c>
      <c r="BN356" s="129" t="str">
        <f t="shared" si="303"/>
        <v>Bonus Game A</v>
      </c>
      <c r="BO356" s="7">
        <f>(D356/Summary!$C$4-Summary!$C$8)^2*E356</f>
        <v>983468.89000000013</v>
      </c>
      <c r="BP356" s="7">
        <f t="shared" si="298"/>
        <v>0</v>
      </c>
      <c r="BQ356" s="7">
        <f t="shared" si="299"/>
        <v>0</v>
      </c>
      <c r="BR356" s="7">
        <f t="shared" si="300"/>
        <v>0</v>
      </c>
      <c r="BS356" s="7">
        <f t="shared" si="301"/>
        <v>0</v>
      </c>
    </row>
    <row r="357" spans="2:71">
      <c r="E357" s="28">
        <f t="shared" ref="E357:AJ357" si="304">SUM(E2:E356)</f>
        <v>2000000</v>
      </c>
      <c r="F357" s="28">
        <f t="shared" si="304"/>
        <v>1659999.9999999995</v>
      </c>
      <c r="G357" s="28">
        <f t="shared" si="304"/>
        <v>30628</v>
      </c>
      <c r="H357" s="28">
        <f t="shared" si="304"/>
        <v>550016.80000000016</v>
      </c>
      <c r="I357" s="28">
        <f t="shared" si="304"/>
        <v>443875.6</v>
      </c>
      <c r="J357" s="28">
        <f t="shared" si="304"/>
        <v>51857.4</v>
      </c>
      <c r="K357" s="28">
        <f t="shared" si="304"/>
        <v>528256</v>
      </c>
      <c r="L357" s="28">
        <f t="shared" si="304"/>
        <v>636011.00000000012</v>
      </c>
      <c r="M357" s="28">
        <f t="shared" si="304"/>
        <v>190004</v>
      </c>
      <c r="N357" s="28">
        <f t="shared" si="304"/>
        <v>44201.1</v>
      </c>
      <c r="O357" s="28">
        <f t="shared" si="304"/>
        <v>133806</v>
      </c>
      <c r="P357" s="28">
        <f t="shared" si="304"/>
        <v>133806</v>
      </c>
      <c r="Q357" s="28">
        <f t="shared" si="304"/>
        <v>142772</v>
      </c>
      <c r="R357" s="28">
        <f t="shared" si="304"/>
        <v>240294</v>
      </c>
      <c r="S357" s="28">
        <f t="shared" si="304"/>
        <v>11912</v>
      </c>
      <c r="T357" s="28">
        <f t="shared" si="304"/>
        <v>46039.5</v>
      </c>
      <c r="U357" s="28">
        <f t="shared" si="304"/>
        <v>10924</v>
      </c>
      <c r="V357" s="28">
        <f t="shared" si="304"/>
        <v>97572.4</v>
      </c>
      <c r="W357" s="28">
        <f t="shared" si="304"/>
        <v>21594</v>
      </c>
      <c r="X357" s="28">
        <f t="shared" si="304"/>
        <v>357588.30000000005</v>
      </c>
      <c r="Y357" s="28">
        <f t="shared" si="304"/>
        <v>13920</v>
      </c>
      <c r="Z357" s="28">
        <f t="shared" si="304"/>
        <v>354786.7</v>
      </c>
      <c r="AA357" s="28">
        <f t="shared" si="304"/>
        <v>6916</v>
      </c>
      <c r="AB357" s="28">
        <f t="shared" si="304"/>
        <v>271725.90000000002</v>
      </c>
      <c r="AC357" s="28">
        <f t="shared" si="304"/>
        <v>1745</v>
      </c>
      <c r="AD357" s="28">
        <f t="shared" si="304"/>
        <v>109722.3</v>
      </c>
      <c r="AE357" s="28">
        <f t="shared" si="304"/>
        <v>15</v>
      </c>
      <c r="AF357" s="28">
        <f t="shared" si="304"/>
        <v>4263.8</v>
      </c>
      <c r="AG357" s="28">
        <f t="shared" si="304"/>
        <v>10238</v>
      </c>
      <c r="AH357" s="28">
        <f t="shared" si="304"/>
        <v>23660</v>
      </c>
      <c r="AI357" s="28">
        <f t="shared" si="304"/>
        <v>0</v>
      </c>
      <c r="AJ357" s="28">
        <f t="shared" si="304"/>
        <v>260</v>
      </c>
      <c r="AK357" s="28">
        <f t="shared" ref="AK357:BP357" si="305">SUM(AK2:AK356)</f>
        <v>95720</v>
      </c>
      <c r="AL357" s="28">
        <f t="shared" si="305"/>
        <v>729548.90000000037</v>
      </c>
      <c r="AM357" s="28">
        <f t="shared" si="305"/>
        <v>0</v>
      </c>
      <c r="AN357" s="28">
        <f t="shared" si="305"/>
        <v>0</v>
      </c>
      <c r="AO357" s="28">
        <f t="shared" si="305"/>
        <v>0</v>
      </c>
      <c r="AP357" s="28">
        <f t="shared" si="305"/>
        <v>0</v>
      </c>
      <c r="AQ357" s="28">
        <f t="shared" si="305"/>
        <v>0</v>
      </c>
      <c r="AR357" s="28">
        <f t="shared" si="305"/>
        <v>0</v>
      </c>
      <c r="AS357" s="28">
        <f t="shared" si="305"/>
        <v>0</v>
      </c>
      <c r="AT357" s="28">
        <f t="shared" si="305"/>
        <v>0</v>
      </c>
      <c r="AU357" s="28">
        <f t="shared" si="305"/>
        <v>0</v>
      </c>
      <c r="AV357" s="28">
        <f t="shared" si="305"/>
        <v>10238</v>
      </c>
      <c r="AW357" s="28">
        <f t="shared" si="305"/>
        <v>288172.99999999994</v>
      </c>
      <c r="AX357" s="28">
        <f t="shared" si="305"/>
        <v>0</v>
      </c>
      <c r="AY357" s="28">
        <f t="shared" si="305"/>
        <v>0</v>
      </c>
      <c r="AZ357" s="28">
        <f t="shared" si="305"/>
        <v>0</v>
      </c>
      <c r="BA357" s="28">
        <f t="shared" si="305"/>
        <v>0</v>
      </c>
      <c r="BB357" s="28">
        <f t="shared" si="305"/>
        <v>0</v>
      </c>
      <c r="BC357" s="28">
        <f t="shared" si="305"/>
        <v>0</v>
      </c>
      <c r="BD357" s="28">
        <f t="shared" si="305"/>
        <v>23660</v>
      </c>
      <c r="BE357" s="28">
        <f t="shared" si="305"/>
        <v>554145.30000000005</v>
      </c>
      <c r="BF357" s="28">
        <f t="shared" si="305"/>
        <v>0</v>
      </c>
      <c r="BG357" s="28">
        <f t="shared" si="305"/>
        <v>0</v>
      </c>
      <c r="BH357" s="28">
        <f t="shared" si="305"/>
        <v>0</v>
      </c>
      <c r="BI357" s="28">
        <f t="shared" si="305"/>
        <v>0</v>
      </c>
      <c r="BJ357" s="28">
        <f t="shared" si="305"/>
        <v>0</v>
      </c>
      <c r="BK357" s="28">
        <f t="shared" si="305"/>
        <v>0</v>
      </c>
      <c r="BL357" s="28">
        <f t="shared" si="305"/>
        <v>0</v>
      </c>
      <c r="BM357" s="28">
        <f t="shared" si="305"/>
        <v>0</v>
      </c>
      <c r="BN357" s="28">
        <f t="shared" si="305"/>
        <v>0</v>
      </c>
      <c r="BO357" s="28">
        <f t="shared" si="305"/>
        <v>35698785.560000002</v>
      </c>
      <c r="BP357" s="28">
        <f t="shared" si="305"/>
        <v>0</v>
      </c>
      <c r="BQ357" s="28">
        <f t="shared" ref="BQ357:BS357" si="306">SUM(BQ2:BQ356)</f>
        <v>0</v>
      </c>
      <c r="BR357" s="28">
        <f t="shared" si="306"/>
        <v>0</v>
      </c>
      <c r="BS357" s="28">
        <f t="shared" si="306"/>
        <v>0</v>
      </c>
    </row>
    <row r="363" spans="2:71">
      <c r="C363" t="s">
        <v>89</v>
      </c>
      <c r="D363">
        <f>Summary!C4</f>
        <v>1</v>
      </c>
    </row>
    <row r="364" spans="2:71">
      <c r="C364" t="s">
        <v>144</v>
      </c>
      <c r="D364">
        <f>Summary!C7</f>
        <v>1000</v>
      </c>
    </row>
    <row r="366" spans="2:71">
      <c r="C366" t="s">
        <v>390</v>
      </c>
      <c r="D366" t="s">
        <v>391</v>
      </c>
      <c r="E366" t="s">
        <v>186</v>
      </c>
    </row>
    <row r="367" spans="2:71">
      <c r="B367">
        <v>1</v>
      </c>
      <c r="C367" s="15" t="s">
        <v>392</v>
      </c>
      <c r="D367">
        <f>E367*D363</f>
        <v>1</v>
      </c>
      <c r="E367">
        <v>1</v>
      </c>
    </row>
    <row r="368" spans="2:71">
      <c r="B368">
        <v>2</v>
      </c>
      <c r="C368" s="15" t="s">
        <v>393</v>
      </c>
      <c r="D368">
        <f>E368*D363</f>
        <v>1</v>
      </c>
      <c r="E368">
        <v>1</v>
      </c>
    </row>
    <row r="369" spans="2:5">
      <c r="B369">
        <v>3</v>
      </c>
      <c r="C369" s="15" t="s">
        <v>394</v>
      </c>
      <c r="D369">
        <f>E369*D363</f>
        <v>10</v>
      </c>
      <c r="E369">
        <v>10</v>
      </c>
    </row>
    <row r="370" spans="2:5">
      <c r="B370">
        <v>4</v>
      </c>
      <c r="C370" s="15" t="s">
        <v>395</v>
      </c>
      <c r="D370">
        <f>E370*D363</f>
        <v>50</v>
      </c>
      <c r="E370">
        <v>50</v>
      </c>
    </row>
    <row r="371" spans="2:5">
      <c r="B371">
        <v>5</v>
      </c>
      <c r="C371" s="15" t="s">
        <v>396</v>
      </c>
      <c r="D371">
        <f>D364</f>
        <v>1000</v>
      </c>
      <c r="E371">
        <f>D364</f>
        <v>1000</v>
      </c>
    </row>
    <row r="372" spans="2:5">
      <c r="B372">
        <v>6</v>
      </c>
      <c r="C372" s="15" t="s">
        <v>97</v>
      </c>
    </row>
    <row r="375" spans="2:5">
      <c r="C375" t="s">
        <v>397</v>
      </c>
    </row>
    <row r="376" spans="2:5">
      <c r="B376">
        <v>1</v>
      </c>
      <c r="C376" s="15" t="s">
        <v>398</v>
      </c>
    </row>
    <row r="377" spans="2:5">
      <c r="B377">
        <v>2</v>
      </c>
      <c r="C377" s="15" t="s">
        <v>399</v>
      </c>
    </row>
    <row r="378" spans="2:5" ht="12.6" customHeight="1">
      <c r="B378">
        <v>3</v>
      </c>
      <c r="C378" s="15" t="s">
        <v>400</v>
      </c>
    </row>
    <row r="379" spans="2:5" ht="12.6" customHeight="1">
      <c r="B379">
        <v>4</v>
      </c>
      <c r="C379" s="15" t="s">
        <v>401</v>
      </c>
    </row>
    <row r="380" spans="2:5">
      <c r="B380">
        <v>5</v>
      </c>
      <c r="C380" s="15" t="s">
        <v>402</v>
      </c>
    </row>
    <row r="381" spans="2:5">
      <c r="B381">
        <v>6</v>
      </c>
      <c r="C381" s="15" t="s">
        <v>403</v>
      </c>
    </row>
    <row r="382" spans="2:5">
      <c r="B382">
        <v>7</v>
      </c>
      <c r="C382" s="15" t="s">
        <v>404</v>
      </c>
    </row>
    <row r="383" spans="2:5">
      <c r="B383">
        <v>8</v>
      </c>
      <c r="C383" s="15" t="s">
        <v>405</v>
      </c>
    </row>
    <row r="384" spans="2:5">
      <c r="B384">
        <v>9</v>
      </c>
      <c r="C384" s="15" t="s">
        <v>406</v>
      </c>
    </row>
    <row r="385" spans="2:3">
      <c r="B385">
        <v>10</v>
      </c>
      <c r="C385" s="15" t="s">
        <v>407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37"/>
  <sheetViews>
    <sheetView workbookViewId="0">
      <selection activeCell="H34" sqref="H34"/>
    </sheetView>
  </sheetViews>
  <sheetFormatPr defaultRowHeight="13.2"/>
  <cols>
    <col min="3" max="3" width="38.33203125" customWidth="1"/>
    <col min="7" max="7" width="13.88671875" customWidth="1"/>
    <col min="8" max="8" width="14.33203125" customWidth="1"/>
  </cols>
  <sheetData>
    <row r="2" spans="2:7">
      <c r="B2" s="88" t="s">
        <v>408</v>
      </c>
      <c r="C2" s="89" t="s">
        <v>409</v>
      </c>
      <c r="D2" s="90" t="s">
        <v>410</v>
      </c>
      <c r="G2" s="80" t="s">
        <v>411</v>
      </c>
    </row>
    <row r="3" spans="2:7">
      <c r="B3" s="88">
        <v>1</v>
      </c>
      <c r="C3" s="89" t="s">
        <v>412</v>
      </c>
      <c r="D3" s="90" t="s">
        <v>413</v>
      </c>
      <c r="G3" s="83" t="s">
        <v>414</v>
      </c>
    </row>
    <row r="4" spans="2:7">
      <c r="B4" s="81">
        <v>2</v>
      </c>
      <c r="C4" t="s">
        <v>415</v>
      </c>
      <c r="D4" s="82" t="s">
        <v>413</v>
      </c>
      <c r="G4" s="83" t="s">
        <v>416</v>
      </c>
    </row>
    <row r="5" spans="2:7">
      <c r="B5" s="81">
        <v>3</v>
      </c>
      <c r="C5" t="s">
        <v>417</v>
      </c>
      <c r="D5" s="82" t="s">
        <v>413</v>
      </c>
      <c r="G5" s="83" t="s">
        <v>418</v>
      </c>
    </row>
    <row r="6" spans="2:7">
      <c r="B6" s="81">
        <v>4</v>
      </c>
      <c r="C6" t="s">
        <v>419</v>
      </c>
      <c r="D6" s="82" t="s">
        <v>413</v>
      </c>
      <c r="G6" s="83" t="s">
        <v>420</v>
      </c>
    </row>
    <row r="7" spans="2:7">
      <c r="B7" s="81">
        <v>5</v>
      </c>
      <c r="C7" t="s">
        <v>421</v>
      </c>
      <c r="D7" s="82" t="s">
        <v>413</v>
      </c>
      <c r="G7" s="83" t="s">
        <v>422</v>
      </c>
    </row>
    <row r="8" spans="2:7">
      <c r="B8" s="81">
        <v>6</v>
      </c>
      <c r="C8" t="s">
        <v>423</v>
      </c>
      <c r="D8" s="82" t="s">
        <v>413</v>
      </c>
      <c r="G8" s="83" t="s">
        <v>424</v>
      </c>
    </row>
    <row r="9" spans="2:7">
      <c r="B9" s="81">
        <v>7</v>
      </c>
      <c r="C9" t="s">
        <v>425</v>
      </c>
      <c r="D9" s="82" t="s">
        <v>413</v>
      </c>
      <c r="G9" s="83" t="s">
        <v>426</v>
      </c>
    </row>
    <row r="10" spans="2:7">
      <c r="B10" s="81">
        <v>8</v>
      </c>
      <c r="C10" t="s">
        <v>427</v>
      </c>
      <c r="D10" s="82" t="s">
        <v>413</v>
      </c>
      <c r="G10" s="84" t="s">
        <v>428</v>
      </c>
    </row>
    <row r="11" spans="2:7">
      <c r="B11" s="81">
        <v>9</v>
      </c>
      <c r="C11" t="s">
        <v>429</v>
      </c>
      <c r="D11" s="82" t="s">
        <v>413</v>
      </c>
    </row>
    <row r="12" spans="2:7">
      <c r="B12" s="81">
        <v>10</v>
      </c>
      <c r="C12" t="s">
        <v>430</v>
      </c>
      <c r="D12" s="82" t="s">
        <v>413</v>
      </c>
    </row>
    <row r="13" spans="2:7">
      <c r="B13" s="81">
        <v>11</v>
      </c>
      <c r="C13" t="s">
        <v>431</v>
      </c>
      <c r="D13" s="82" t="s">
        <v>413</v>
      </c>
    </row>
    <row r="14" spans="2:7">
      <c r="B14" s="81">
        <v>12</v>
      </c>
      <c r="C14" t="s">
        <v>432</v>
      </c>
      <c r="D14" s="82" t="s">
        <v>413</v>
      </c>
    </row>
    <row r="15" spans="2:7">
      <c r="B15" s="81">
        <v>13</v>
      </c>
      <c r="C15" t="s">
        <v>433</v>
      </c>
      <c r="D15" s="82" t="s">
        <v>413</v>
      </c>
    </row>
    <row r="16" spans="2:7">
      <c r="B16" s="81">
        <v>14</v>
      </c>
      <c r="C16" t="s">
        <v>434</v>
      </c>
      <c r="D16" s="82" t="s">
        <v>413</v>
      </c>
    </row>
    <row r="17" spans="2:4">
      <c r="B17" s="81">
        <v>15</v>
      </c>
      <c r="C17" t="s">
        <v>435</v>
      </c>
      <c r="D17" s="82" t="s">
        <v>413</v>
      </c>
    </row>
    <row r="18" spans="2:4">
      <c r="B18" s="81">
        <v>16</v>
      </c>
      <c r="C18" t="s">
        <v>436</v>
      </c>
      <c r="D18" s="82" t="s">
        <v>413</v>
      </c>
    </row>
    <row r="19" spans="2:4">
      <c r="B19" s="81">
        <v>17</v>
      </c>
      <c r="C19" t="s">
        <v>437</v>
      </c>
      <c r="D19" s="82" t="s">
        <v>413</v>
      </c>
    </row>
    <row r="20" spans="2:4">
      <c r="B20" s="85">
        <v>18</v>
      </c>
      <c r="C20" s="86" t="s">
        <v>438</v>
      </c>
      <c r="D20" s="87" t="s">
        <v>413</v>
      </c>
    </row>
    <row r="22" spans="2:4">
      <c r="B22" s="77" t="s">
        <v>408</v>
      </c>
      <c r="C22" s="78" t="s">
        <v>439</v>
      </c>
      <c r="D22" s="79" t="s">
        <v>440</v>
      </c>
    </row>
    <row r="23" spans="2:4">
      <c r="B23" s="81">
        <v>1</v>
      </c>
      <c r="C23" t="s">
        <v>441</v>
      </c>
      <c r="D23" s="82" t="s">
        <v>413</v>
      </c>
    </row>
    <row r="24" spans="2:4">
      <c r="B24" s="81">
        <v>2</v>
      </c>
      <c r="C24" t="s">
        <v>442</v>
      </c>
      <c r="D24" s="82" t="s">
        <v>413</v>
      </c>
    </row>
    <row r="25" spans="2:4">
      <c r="B25" s="81">
        <v>3</v>
      </c>
      <c r="C25" t="s">
        <v>443</v>
      </c>
      <c r="D25" s="82" t="s">
        <v>413</v>
      </c>
    </row>
    <row r="26" spans="2:4">
      <c r="B26" s="81">
        <v>4</v>
      </c>
      <c r="C26" t="s">
        <v>444</v>
      </c>
      <c r="D26" s="82" t="s">
        <v>413</v>
      </c>
    </row>
    <row r="27" spans="2:4">
      <c r="B27" s="81">
        <v>5</v>
      </c>
      <c r="C27" t="s">
        <v>445</v>
      </c>
      <c r="D27" s="82" t="s">
        <v>413</v>
      </c>
    </row>
    <row r="28" spans="2:4">
      <c r="B28" s="81">
        <v>6</v>
      </c>
      <c r="C28" t="s">
        <v>446</v>
      </c>
      <c r="D28" s="82" t="s">
        <v>413</v>
      </c>
    </row>
    <row r="29" spans="2:4">
      <c r="B29" s="81">
        <v>7</v>
      </c>
      <c r="C29" t="s">
        <v>447</v>
      </c>
      <c r="D29" s="82" t="s">
        <v>413</v>
      </c>
    </row>
    <row r="30" spans="2:4">
      <c r="B30" s="81">
        <v>8</v>
      </c>
      <c r="C30" t="s">
        <v>448</v>
      </c>
      <c r="D30" s="82" t="s">
        <v>413</v>
      </c>
    </row>
    <row r="31" spans="2:4">
      <c r="B31" s="85">
        <v>9</v>
      </c>
      <c r="C31" s="86" t="s">
        <v>449</v>
      </c>
      <c r="D31" s="87" t="s">
        <v>413</v>
      </c>
    </row>
    <row r="33" spans="2:4">
      <c r="B33" s="88" t="s">
        <v>408</v>
      </c>
      <c r="C33" s="89" t="s">
        <v>450</v>
      </c>
      <c r="D33" s="90" t="s">
        <v>440</v>
      </c>
    </row>
    <row r="34" spans="2:4">
      <c r="B34" s="88">
        <v>1</v>
      </c>
      <c r="C34" s="89" t="s">
        <v>451</v>
      </c>
      <c r="D34" s="90" t="s">
        <v>413</v>
      </c>
    </row>
    <row r="35" spans="2:4">
      <c r="B35" s="81">
        <v>2</v>
      </c>
      <c r="C35" t="s">
        <v>452</v>
      </c>
      <c r="D35" s="82" t="s">
        <v>413</v>
      </c>
    </row>
    <row r="36" spans="2:4">
      <c r="B36" s="81">
        <v>3</v>
      </c>
      <c r="C36" t="s">
        <v>453</v>
      </c>
      <c r="D36" s="82" t="s">
        <v>413</v>
      </c>
    </row>
    <row r="37" spans="2:4">
      <c r="B37" s="85">
        <v>4</v>
      </c>
      <c r="C37" s="86" t="s">
        <v>454</v>
      </c>
      <c r="D37" s="87" t="s">
        <v>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Frequency</vt:lpstr>
      <vt:lpstr>Progressive Jackpots</vt:lpstr>
      <vt:lpstr>Delivery</vt:lpstr>
      <vt:lpstr>Odds Table</vt:lpstr>
      <vt:lpstr>Summary(Delivery)</vt:lpstr>
      <vt:lpstr>Prize Breakdown</vt:lpstr>
      <vt:lpstr>Summary</vt:lpstr>
      <vt:lpstr>Tiers</vt:lpstr>
      <vt:lpstr>Win Methods</vt:lpstr>
      <vt:lpstr>Free Plays</vt:lpstr>
      <vt:lpstr>Pay Table</vt:lpstr>
      <vt:lpstr>Data Analysis</vt:lpstr>
      <vt:lpstr>Unit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dc:creator>
  <cp:lastModifiedBy>Chaoyu Chu</cp:lastModifiedBy>
  <dcterms:created xsi:type="dcterms:W3CDTF">2016-04-04T10:50:06Z</dcterms:created>
  <dcterms:modified xsi:type="dcterms:W3CDTF">2026-06-02T16:12:27Z</dcterms:modified>
</cp:coreProperties>
</file>